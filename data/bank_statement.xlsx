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zaomlac-my.sharepoint.com/personal/nasmodien_oldmutual_com/Documents/Documents/legal docs/"/>
    </mc:Choice>
  </mc:AlternateContent>
  <xr:revisionPtr revIDLastSave="5" documentId="11_0851903CEE7F739F6E8ECF8450133F8A808E631E" xr6:coauthVersionLast="47" xr6:coauthVersionMax="47" xr10:uidLastSave="{6423E50A-55BF-460B-9252-87414C0A6AFB}"/>
  <bookViews>
    <workbookView xWindow="28680" yWindow="-8310" windowWidth="29040" windowHeight="15720" xr2:uid="{00000000-000D-0000-FFFF-FFFF00000000}"/>
  </bookViews>
  <sheets>
    <sheet name="Dashboard" sheetId="1" r:id="rId1"/>
    <sheet name="Transactions" sheetId="2" r:id="rId2"/>
    <sheet name="Monthly Summary" sheetId="3" r:id="rId3"/>
    <sheet name="Profit &amp; Loss" sheetId="4" r:id="rId4"/>
    <sheet name="Reconciliation" sheetId="5" r:id="rId5"/>
    <sheet name="Category Rules" sheetId="6" r:id="rId6"/>
    <sheet name="Source Statemen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3" i="5"/>
  <c r="B2" i="5"/>
  <c r="B4" i="5" s="1"/>
  <c r="F10" i="4"/>
  <c r="D10" i="4"/>
  <c r="E10" i="4" s="1"/>
  <c r="C10" i="4"/>
  <c r="F9" i="4"/>
  <c r="D9" i="4"/>
  <c r="E9" i="4" s="1"/>
  <c r="C9" i="4"/>
  <c r="F8" i="4"/>
  <c r="D8" i="4"/>
  <c r="E8" i="4" s="1"/>
  <c r="C8" i="4"/>
  <c r="F7" i="4"/>
  <c r="D7" i="4"/>
  <c r="E7" i="4" s="1"/>
  <c r="C7" i="4"/>
  <c r="F6" i="4"/>
  <c r="D6" i="4"/>
  <c r="E6" i="4" s="1"/>
  <c r="C6" i="4"/>
  <c r="F5" i="4"/>
  <c r="D5" i="4"/>
  <c r="E5" i="4" s="1"/>
  <c r="C5" i="4"/>
  <c r="F4" i="4"/>
  <c r="E4" i="4"/>
  <c r="D4" i="4"/>
  <c r="C4" i="4"/>
  <c r="F3" i="4"/>
  <c r="E3" i="4"/>
  <c r="D3" i="4"/>
  <c r="C3" i="4"/>
  <c r="F2" i="4"/>
  <c r="E2" i="4"/>
  <c r="D2" i="4"/>
  <c r="C2" i="4"/>
  <c r="I7" i="3"/>
  <c r="H7" i="3"/>
  <c r="G7" i="3"/>
  <c r="F7" i="3"/>
  <c r="E7" i="3"/>
  <c r="C7" i="3"/>
  <c r="D7" i="3" s="1"/>
  <c r="B7" i="3"/>
  <c r="I6" i="3"/>
  <c r="H6" i="3"/>
  <c r="G6" i="3"/>
  <c r="F6" i="3"/>
  <c r="E6" i="3"/>
  <c r="C6" i="3"/>
  <c r="D6" i="3" s="1"/>
  <c r="B6" i="3"/>
  <c r="I5" i="3"/>
  <c r="H5" i="3"/>
  <c r="G5" i="3"/>
  <c r="F5" i="3"/>
  <c r="E5" i="3"/>
  <c r="C5" i="3"/>
  <c r="B5" i="3"/>
  <c r="D5" i="3" s="1"/>
  <c r="I4" i="3"/>
  <c r="H4" i="3"/>
  <c r="G4" i="3"/>
  <c r="F4" i="3"/>
  <c r="E4" i="3"/>
  <c r="D4" i="3"/>
  <c r="C4" i="3"/>
  <c r="B4" i="3"/>
  <c r="I3" i="3"/>
  <c r="H3" i="3"/>
  <c r="G3" i="3"/>
  <c r="F3" i="3"/>
  <c r="E3" i="3"/>
  <c r="C3" i="3"/>
  <c r="D3" i="3" s="1"/>
  <c r="B3" i="3"/>
  <c r="I2" i="3"/>
  <c r="H2" i="3"/>
  <c r="G2" i="3"/>
  <c r="F2" i="3"/>
  <c r="E2" i="3"/>
  <c r="D2" i="3"/>
  <c r="C2" i="3"/>
  <c r="B2" i="3"/>
  <c r="B21" i="1"/>
  <c r="B20" i="1"/>
  <c r="B19" i="1"/>
  <c r="B18" i="1"/>
  <c r="B17" i="1"/>
  <c r="B16" i="1"/>
  <c r="B15" i="1"/>
  <c r="B14" i="1"/>
  <c r="B13" i="1"/>
  <c r="B10" i="1"/>
  <c r="B9" i="1"/>
  <c r="B7" i="1"/>
  <c r="B6" i="1"/>
  <c r="B8" i="1" s="1"/>
  <c r="B7" i="5" l="1"/>
  <c r="B8" i="5" s="1"/>
</calcChain>
</file>

<file path=xl/sharedStrings.xml><?xml version="1.0" encoding="utf-8"?>
<sst xmlns="http://schemas.openxmlformats.org/spreadsheetml/2006/main" count="21174" uniqueCount="1951">
  <si>
    <t>Professional Bookkeeping Workbook</t>
  </si>
  <si>
    <t>Business / Account</t>
  </si>
  <si>
    <t>LUXE TRADING MARKETS (PTY) LTD - Gold Business Account 63130993777</t>
  </si>
  <si>
    <t>Statements processed</t>
  </si>
  <si>
    <t>Transactions extracted</t>
  </si>
  <si>
    <t>Date range</t>
  </si>
  <si>
    <t>2025-01-31 to 2025-08-31</t>
  </si>
  <si>
    <t>Total money in</t>
  </si>
  <si>
    <t>Total money out</t>
  </si>
  <si>
    <t>Net movement</t>
  </si>
  <si>
    <t>Transactions flagged for review</t>
  </si>
  <si>
    <t>VAT extracted on bank charges</t>
  </si>
  <si>
    <t>Top Categories</t>
  </si>
  <si>
    <t>Net</t>
  </si>
  <si>
    <t>Bank Charges</t>
  </si>
  <si>
    <t>Card / Payment Gateway Receipts</t>
  </si>
  <si>
    <t>Customer Receipts</t>
  </si>
  <si>
    <t>Internal Transfers</t>
  </si>
  <si>
    <t>International Payments</t>
  </si>
  <si>
    <t>Online Payments</t>
  </si>
  <si>
    <t>Other Income</t>
  </si>
  <si>
    <t>Other Payments</t>
  </si>
  <si>
    <t>Supplier / Payout Payments</t>
  </si>
  <si>
    <t>Txn ID</t>
  </si>
  <si>
    <t>Date</t>
  </si>
  <si>
    <t>Month</t>
  </si>
  <si>
    <t>Statement No</t>
  </si>
  <si>
    <t>Source File</t>
  </si>
  <si>
    <t>Page</t>
  </si>
  <si>
    <t>Description</t>
  </si>
  <si>
    <t>Counterparty Code</t>
  </si>
  <si>
    <t>Category</t>
  </si>
  <si>
    <t>GL Account</t>
  </si>
  <si>
    <t>Type</t>
  </si>
  <si>
    <t>Debit</t>
  </si>
  <si>
    <t>Credit</t>
  </si>
  <si>
    <t>Net Amount</t>
  </si>
  <si>
    <t>Running Balance</t>
  </si>
  <si>
    <t>VAT Rate</t>
  </si>
  <si>
    <t>VAT Amount</t>
  </si>
  <si>
    <t>Review Flag</t>
  </si>
  <si>
    <t>Accountant Notes</t>
  </si>
  <si>
    <t>2025-01</t>
  </si>
  <si>
    <t>2</t>
  </si>
  <si>
    <t>GOLD_BUSINESS_ACCOUNT_2.pdf</t>
  </si>
  <si>
    <t>AccountFee</t>
  </si>
  <si>
    <t>Bank Fees</t>
  </si>
  <si>
    <t>2025-02</t>
  </si>
  <si>
    <t>3</t>
  </si>
  <si>
    <t>GOLD_BUSINESS_ACCOUNT_3.pdf</t>
  </si>
  <si>
    <t>Int-BankingPmtFrmCu32</t>
  </si>
  <si>
    <t>Cu32</t>
  </si>
  <si>
    <t>Sales Income</t>
  </si>
  <si>
    <t>Int-BankingPmtFrmCu10038</t>
  </si>
  <si>
    <t>Cu10038</t>
  </si>
  <si>
    <t>Int-BankingPmtFrmCu10106</t>
  </si>
  <si>
    <t>Cu10106</t>
  </si>
  <si>
    <t>Int-BankingPmtFrmCu10122</t>
  </si>
  <si>
    <t>Cu10122</t>
  </si>
  <si>
    <t>Int-BankingPmtFrmCu10256</t>
  </si>
  <si>
    <t>Cu10256</t>
  </si>
  <si>
    <t>Int-BankingPmtFrmCu10265</t>
  </si>
  <si>
    <t>Cu10265</t>
  </si>
  <si>
    <t>FNBOBTrfFNBOBTrfInv12/02/2025</t>
  </si>
  <si>
    <t>Transfers</t>
  </si>
  <si>
    <t>FNBOBPmtFNBOB000000002Cu1 Cu1029254</t>
  </si>
  <si>
    <t>Cu1</t>
  </si>
  <si>
    <t>Cost of Sales / Supplier Payments</t>
  </si>
  <si>
    <t>FNBOBPmtFNBOB000000001Cu1 Cu1020733</t>
  </si>
  <si>
    <t>Int-BankingPmtFrmCu10348</t>
  </si>
  <si>
    <t>Cu10348</t>
  </si>
  <si>
    <t>Int-BankingPmtFrmCu10473</t>
  </si>
  <si>
    <t>Cu10473</t>
  </si>
  <si>
    <t>FNBOBPmtFNBOB000000003Cu1 Cu1034868</t>
  </si>
  <si>
    <t>Int-BankingPmtFrmCu10283</t>
  </si>
  <si>
    <t>Cu10283</t>
  </si>
  <si>
    <t>Int-BankingPmtFrmCu10130</t>
  </si>
  <si>
    <t>Cu10130</t>
  </si>
  <si>
    <t>InternetPmtTo11964250498648 808800266000000008</t>
  </si>
  <si>
    <t>FNBOBPmtFNBOB000000004Cu1 Cu1043269</t>
  </si>
  <si>
    <t>FNBOBPmtFNBOB000000005Cu1 Cu1016767</t>
  </si>
  <si>
    <t>Int-BankingPmtFrmCu10369</t>
  </si>
  <si>
    <t>Cu10369</t>
  </si>
  <si>
    <t>FNBOBPmtFNBOB000000006Cu1 Cu1013076</t>
  </si>
  <si>
    <t>FNBOBPmtFNBOB000000007Cu1 Cu1047374</t>
  </si>
  <si>
    <t>FNBOBPmtFNBOB000000008Cu1 Cu1043273</t>
  </si>
  <si>
    <t>Int-BankingPmtFrmCu10141</t>
  </si>
  <si>
    <t>Cu10141</t>
  </si>
  <si>
    <t>Int-BankingPmtFrmCu10502</t>
  </si>
  <si>
    <t>Cu10502</t>
  </si>
  <si>
    <t>Int-BankingPmtFrmCu10587</t>
  </si>
  <si>
    <t>Cu10587</t>
  </si>
  <si>
    <t>FNBOBPmtFNBOB000000009Cu1 Cu1058783</t>
  </si>
  <si>
    <t>Int-BankingPmtFrmCu10604</t>
  </si>
  <si>
    <t>Cu10604</t>
  </si>
  <si>
    <t>Int-BankingPmtFrmCu10638</t>
  </si>
  <si>
    <t>Cu10638</t>
  </si>
  <si>
    <t>Int-BankingPmtFrmCu10628</t>
  </si>
  <si>
    <t>Cu10628</t>
  </si>
  <si>
    <t>Int-BankingPmtFrmCu10530</t>
  </si>
  <si>
    <t>Cu10530</t>
  </si>
  <si>
    <t>Int-BankingPmtFrmCu10552</t>
  </si>
  <si>
    <t>Cu10552</t>
  </si>
  <si>
    <t>FNBOBPmtFNBOB000000010Cu1 Cu10140109</t>
  </si>
  <si>
    <t>FNBOBPmtFNBOB000000011Cu1 Cu10608110</t>
  </si>
  <si>
    <t>FNBOBPmtFNBOB000000012Cu1 Cu10141111</t>
  </si>
  <si>
    <t>FNBOBPmtFNBOB000000013Cu1 Cu10633144</t>
  </si>
  <si>
    <t>Int-BankingPmtFrmCu10193</t>
  </si>
  <si>
    <t>Cu10193</t>
  </si>
  <si>
    <t>Int-BankingPmtFrmCu10683</t>
  </si>
  <si>
    <t>Cu10683</t>
  </si>
  <si>
    <t>Int-BankingPmtFrmCu10745</t>
  </si>
  <si>
    <t>Cu10745</t>
  </si>
  <si>
    <t>FNBOBPmtFNBOB000000014Cu1 Cu10745144</t>
  </si>
  <si>
    <t>FNBOBPmtFNBOB000000015Cu1 Cu10745173</t>
  </si>
  <si>
    <t>Int-BankingPmtFrmCu10660</t>
  </si>
  <si>
    <t>Cu10660</t>
  </si>
  <si>
    <t>FNBOBPmtFNBOB000000016Cu1 Cu10910197</t>
  </si>
  <si>
    <t>Int-BankingPmtFrmCu10977</t>
  </si>
  <si>
    <t>Cu10977</t>
  </si>
  <si>
    <t>Int-BankingPmtFrmCu10833</t>
  </si>
  <si>
    <t>Cu10833</t>
  </si>
  <si>
    <t>Int-BankingPmtFrmCu10997</t>
  </si>
  <si>
    <t>Cu10997</t>
  </si>
  <si>
    <t>Int-BankingPmtFrmCu10858</t>
  </si>
  <si>
    <t>Cu10858</t>
  </si>
  <si>
    <t>Int-BankingPmtFrmCu11041</t>
  </si>
  <si>
    <t>Cu11041</t>
  </si>
  <si>
    <t>FNBOBPmtFNBOB000000019Cu1 Cu10858286</t>
  </si>
  <si>
    <t>FNBOBPmtFNBOB000000018Cu1 Cu10901268</t>
  </si>
  <si>
    <t>FNBOBPmtFNBOB000000017Cu1 Cu10745257</t>
  </si>
  <si>
    <t>Int-BankingPmtFrmCu10722</t>
  </si>
  <si>
    <t>Cu10722</t>
  </si>
  <si>
    <t>Int-BankingPmtFrmCu11084</t>
  </si>
  <si>
    <t>Cu11084</t>
  </si>
  <si>
    <t>FNBOBPmtFNBOB000000020Cu1 Cu10130293</t>
  </si>
  <si>
    <t>FNBOBPmtFNBOB000000021Cu1 Cu10283312</t>
  </si>
  <si>
    <t>Int-BankingPmtFrmCu10807</t>
  </si>
  <si>
    <t>Cu10807</t>
  </si>
  <si>
    <t>FNBOBPmtFNBOB000000022Cu1 Cu10583315</t>
  </si>
  <si>
    <t>FNBOBPmtFNBOB000000023Cu1 Cu10191316</t>
  </si>
  <si>
    <t>FNBOBPmtFNBOB000000024Cu1 Cu10977317</t>
  </si>
  <si>
    <t>FNBOBPmtFNBOB000000025Cu1 Cu10592324</t>
  </si>
  <si>
    <t>Int-BankingPmtFrmCu10264</t>
  </si>
  <si>
    <t>Cu10264</t>
  </si>
  <si>
    <t>FNBOBPmtFNBOB000000027Cu1 Cu10745372</t>
  </si>
  <si>
    <t>Int-BankingPmtFrmCu11326</t>
  </si>
  <si>
    <t>Cu11326</t>
  </si>
  <si>
    <t>FNBOBPmtFNBOB000000028Cu1 Cu10487395</t>
  </si>
  <si>
    <t>FNBOBPmtFNBOB000000026Cu1 Cu10530342</t>
  </si>
  <si>
    <t>FNBOBPmtFNBOB000000029Cu1 Cu10530401</t>
  </si>
  <si>
    <t>FNBOBPmtFNBOB000000030Cu1 Cu10821404</t>
  </si>
  <si>
    <t>Int-BankingPmtFrmCu11444</t>
  </si>
  <si>
    <t>Cu11444</t>
  </si>
  <si>
    <t>FNBOBPmtFNBOB000000031Cu1 Cu10130415</t>
  </si>
  <si>
    <t>Int-BankingPmtFrmCu10550</t>
  </si>
  <si>
    <t>Cu10550</t>
  </si>
  <si>
    <t>Int-BankingPmtFrmCu11473</t>
  </si>
  <si>
    <t>Cu11473</t>
  </si>
  <si>
    <t>FNBOBPmtFNBOB000000037Cu1 Cu10592449</t>
  </si>
  <si>
    <t>FNBOBPmtFNBOB000000038Cu1 Cu10264473</t>
  </si>
  <si>
    <t>Int-BankingPmtFrmCu10361</t>
  </si>
  <si>
    <t>Cu10361</t>
  </si>
  <si>
    <t>FNBOBPmtFNBOB000000032Cu1 Cu11086424</t>
  </si>
  <si>
    <t>FNBOBPmtFNBOB000000034Cu1 Cu10769429</t>
  </si>
  <si>
    <t>FNBOBPmtFNBOB000000035Cu1 Cu10348430</t>
  </si>
  <si>
    <t>FNBOBPmtFNBOB000000036Cu1 Cu10492301</t>
  </si>
  <si>
    <t>FNBOBPmtFNBOB000000033Cu1 Cu10745428</t>
  </si>
  <si>
    <t>ElectronicPaymentsBis/Int1OnTrueTiering 5.00 0.00</t>
  </si>
  <si>
    <t>Review</t>
  </si>
  <si>
    <t>Fees</t>
  </si>
  <si>
    <t>General Expenses</t>
  </si>
  <si>
    <t>2025-03</t>
  </si>
  <si>
    <t>4</t>
  </si>
  <si>
    <t>GOLD_BUSINESS_ACCOUNT_4.pdf</t>
  </si>
  <si>
    <t>Int-Banking Pmt Frm Cu11601</t>
  </si>
  <si>
    <t>Cu11601</t>
  </si>
  <si>
    <t>FNB OB Pmt FNB OB 000000045 Cu1 Cu11427 492</t>
  </si>
  <si>
    <t>FNB OB Pmt FNB OB 000000040 Cu1 Cu11470 480</t>
  </si>
  <si>
    <t>FNB OB Pmt FNB OB 000000042 Cu1 Cu10530 481</t>
  </si>
  <si>
    <t>FNB OB Pmt FNB OB 000000044 Cu1 Cu10607 487</t>
  </si>
  <si>
    <t>FNB OB Pmt FNB OB 000000043 Cu1 Cu10923 483</t>
  </si>
  <si>
    <t>FNB OB Pmt FNB OB 000000041 Cu1 Cu10348 488</t>
  </si>
  <si>
    <t>FNB OB Pmt FNB OB 000000039 Cu1 Cu11423 500</t>
  </si>
  <si>
    <t>Int-Banking Pmt Frm Cu11440</t>
  </si>
  <si>
    <t>Cu11440</t>
  </si>
  <si>
    <t>Int-Banking Pmt Frm Cu11585</t>
  </si>
  <si>
    <t>Cu11585</t>
  </si>
  <si>
    <t>Int-Banking Pmt Frm Cu11127</t>
  </si>
  <si>
    <t>Cu11127</t>
  </si>
  <si>
    <t>Int-Banking Pmt Frm Cu10745</t>
  </si>
  <si>
    <t>Int-Banking Pmt Frm Cu10552</t>
  </si>
  <si>
    <t>Int-Banking Pmt Frm Cu10256</t>
  </si>
  <si>
    <t>Int-Banking Pmt Frm Cu10348</t>
  </si>
  <si>
    <t>Int-Banking Pmt Frm Cu11767</t>
  </si>
  <si>
    <t>Cu11767</t>
  </si>
  <si>
    <t>Int-Banking Pmt Frm Cu10947</t>
  </si>
  <si>
    <t>Cu10947</t>
  </si>
  <si>
    <t>Int-Banking Pmt Frm Cu10997</t>
  </si>
  <si>
    <t>Int-Banking Pmt Frm Cu11741</t>
  </si>
  <si>
    <t>Cu11741</t>
  </si>
  <si>
    <t>Int-Banking Pmt Frm Cu10530</t>
  </si>
  <si>
    <t>Int-Banking Pmt Frm Cu11084</t>
  </si>
  <si>
    <t>Int-Banking Pmt Frm Cu10130</t>
  </si>
  <si>
    <t>FNB OB Pmt FNB OB 000000050 Cu1 Cu11544 592</t>
  </si>
  <si>
    <t>FNB OB Pmt FNB OB 000000051 Cu1 Cu10745 594</t>
  </si>
  <si>
    <t>FNB OB Pmt FNB OB 000000052 Cu1 Cu10570 590</t>
  </si>
  <si>
    <t>FNB OB Pmt FNB OB 000000053 Cu1 Cu10348</t>
  </si>
  <si>
    <t>FNB OB Pmt FNB OB 000000048 Cu1 Cu10745</t>
  </si>
  <si>
    <t>FNB OB Pmt FNB OB 000000047 Cu1 Cu11767</t>
  </si>
  <si>
    <t>FNB OB Pmt FNB OB 000000046 Cu1 Cu10530</t>
  </si>
  <si>
    <t>FNB OB Pmt FNB OB 000000049 Cu1 Cu10348 559</t>
  </si>
  <si>
    <t>Int-Banking Pmt Frm Cu11466</t>
  </si>
  <si>
    <t>Cu11466</t>
  </si>
  <si>
    <t>FNB OB Pmt FNB OB 000000054 Cu1 Cu10592 651</t>
  </si>
  <si>
    <t>FNB OB Pmt FNB OB 000000055 Cu1 Cu11767 663</t>
  </si>
  <si>
    <t>FNB OB Pmt FNB OB 000000056 Cu1 Cu11312 671</t>
  </si>
  <si>
    <t>FNB OB Pmt FNB OB 000000057 Cu1 Cu10283 673</t>
  </si>
  <si>
    <t>FNB OB Pmt FNB OB 000000058 Cu1 Cu10836 679</t>
  </si>
  <si>
    <t>FNB OB Pmt FNB OB 000000059 Cu1 Cu10348 690</t>
  </si>
  <si>
    <t>FNB OB Pmt FNB OB 000000060 Cu1 Cu10570 692</t>
  </si>
  <si>
    <t>FNB OB Pmt FNB OB 000000061 Cu1 Cu10745 630</t>
  </si>
  <si>
    <t>FNB OB Trf FNB OB Trf 000000066 Luxe Internal</t>
  </si>
  <si>
    <t>FNB OB Pmt FNB OB 000000067 Cu1 Cu11767 701</t>
  </si>
  <si>
    <t>FNB OB Pmt FNB OB 000000068 Cu1 Cu10745 733</t>
  </si>
  <si>
    <t>Int-Banking Pmt Frm Cu12042</t>
  </si>
  <si>
    <t>Cu12042</t>
  </si>
  <si>
    <t>Int-Banking Pmt Frm Cu10477</t>
  </si>
  <si>
    <t>Cu10477</t>
  </si>
  <si>
    <t>Int-Banking Pmt Frm Cu12132</t>
  </si>
  <si>
    <t>Cu12132</t>
  </si>
  <si>
    <t>Int-Banking Pmt Frm Cu11892</t>
  </si>
  <si>
    <t>Cu11892</t>
  </si>
  <si>
    <t>Int-Banking Pmt Frm Cu10361</t>
  </si>
  <si>
    <t>FNB OB Pmt FNB OB 000000063 Cu1 Cu10262 677</t>
  </si>
  <si>
    <t>FNB OB Pmt FNB OB 000000062 Cu1 Cu10608 670</t>
  </si>
  <si>
    <t>FNB OB Pmt FNB OB 000000065 Cu1 Cu11350</t>
  </si>
  <si>
    <t>FNB OB Pmt FNB OB 000000064 Cu1 Cu11508 681</t>
  </si>
  <si>
    <t>FNB OB Pmt FNB OB 000000072 Cu1 Cu10530 762</t>
  </si>
  <si>
    <t>FNB OB Pmt FNB OB 000000073 Cu1 Cu10577 768</t>
  </si>
  <si>
    <t>Int-Banking Pmt Frm Cu12183</t>
  </si>
  <si>
    <t>Cu12183</t>
  </si>
  <si>
    <t>Int-Banking Pmt Frm Cu11296</t>
  </si>
  <si>
    <t>Cu11296</t>
  </si>
  <si>
    <t>FNB OB Trf FNB OB Trf 000000074 Internal Transfer</t>
  </si>
  <si>
    <t>Int-Banking Pmt Frm Cu12199</t>
  </si>
  <si>
    <t>Cu12199</t>
  </si>
  <si>
    <t>Int-Banking Pmt Frm Cu11832</t>
  </si>
  <si>
    <t>Cu11832</t>
  </si>
  <si>
    <t>Int-Banking Pmt Frm Cu12224</t>
  </si>
  <si>
    <t>Cu12224</t>
  </si>
  <si>
    <t>Int-Banking Pmt Frm Cu12153</t>
  </si>
  <si>
    <t>Cu12153</t>
  </si>
  <si>
    <t>Int-Banking Pmt Frm Cu10473</t>
  </si>
  <si>
    <t>Int-Banking Pmt Frm Cu10224</t>
  </si>
  <si>
    <t>Cu10224</t>
  </si>
  <si>
    <t>Int-Banking Pmt Frm Cu12031</t>
  </si>
  <si>
    <t>Cu12031</t>
  </si>
  <si>
    <t>Int-Banking Pmt Frm Cu10355</t>
  </si>
  <si>
    <t>Cu10355</t>
  </si>
  <si>
    <t>FNB OB Trf FNB OB Trf 000000075 Internal Transfer</t>
  </si>
  <si>
    <t>FNB OB Pmt FNB OB 000000076 Cu1 Cu11767 806</t>
  </si>
  <si>
    <t>FNB OB Pmt FNB OB 000000077 Cu1 Cu10745 810</t>
  </si>
  <si>
    <t>FNB OB Pmt FNB OB 000000078 Cu1 Cu11002 804</t>
  </si>
  <si>
    <t>Int-Banking Pmt Frm Cu12258</t>
  </si>
  <si>
    <t>Cu12258</t>
  </si>
  <si>
    <t>FNB OB Pmt FNB OB 000000079 Cu1 Cu10745 831</t>
  </si>
  <si>
    <t>FNB OB Pmt FNB OB 000000080 Cu1 Cu10348 836</t>
  </si>
  <si>
    <t>FNB OB Pmt FNB OB 000000081 Cu1 Cu11767 825</t>
  </si>
  <si>
    <t>Int-Banking Pmt Frm Cu11538</t>
  </si>
  <si>
    <t>Cu11538</t>
  </si>
  <si>
    <t>FNB OB Pmt FNB OB 000000069 Cu1 Cu11767 756</t>
  </si>
  <si>
    <t>FNB OB Pmt FNB OB 000000070 Cu1 Cu10530 759</t>
  </si>
  <si>
    <t>FNB OB Pmt FNB OB 000000071 Cu1 Cu10348 760</t>
  </si>
  <si>
    <t>Int-Banking Pmt Frm Cu12325</t>
  </si>
  <si>
    <t>Cu12325</t>
  </si>
  <si>
    <t>Int-Banking Pmt Frm Cu10772</t>
  </si>
  <si>
    <t>Cu10772</t>
  </si>
  <si>
    <t>Int-Banking Pmt Frm Cu10502</t>
  </si>
  <si>
    <t>Int-Banking Pmt Frm Cu11388</t>
  </si>
  <si>
    <t>Cu11388</t>
  </si>
  <si>
    <t>FNB OB Pmt FNB OB 000000082 Cu1 Cu10130 951</t>
  </si>
  <si>
    <t>Int-Banking Pmt Frm Cu12541</t>
  </si>
  <si>
    <t>Cu12541</t>
  </si>
  <si>
    <t>Int-Banking Pmt Frm Cu10550</t>
  </si>
  <si>
    <t>Int-Banking Pmt Frm Cu12597</t>
  </si>
  <si>
    <t>Cu12597</t>
  </si>
  <si>
    <t>FNB OB Pmt FNB OB 000000087 Cu1 Cu10593 1010</t>
  </si>
  <si>
    <t>FNB OB Pmt FNB OB 000000088 Cu1 Cu10348 1071</t>
  </si>
  <si>
    <t>FNB OB Pmt FNB OB 000000089 Cu1 Cu10355 1081</t>
  </si>
  <si>
    <t>FNB OB Pmt FNB OB 000000090 Cu1 Cu10502 1110</t>
  </si>
  <si>
    <t>FNB OB Pmt FNB OB 000000091 Cu1 Cu10745 1119</t>
  </si>
  <si>
    <t>Int-Banking Pmt Frm Cu11804</t>
  </si>
  <si>
    <t>Cu11804</t>
  </si>
  <si>
    <t>FNB OB Pmt FNB OB 000000084 Cu1 Cu10593 1010</t>
  </si>
  <si>
    <t>FNB OB Pmt FNB OB 000000085 Cu1 Cu10745 1013</t>
  </si>
  <si>
    <t>FNB OB Pmt FNB OB 000000086 Cu1 Cu10592 1022</t>
  </si>
  <si>
    <t>FNB OB Pmt FNB OB 000000083 Cu1 Cu10258 988</t>
  </si>
  <si>
    <t>Int-Banking Pmt Frm Cu12662</t>
  </si>
  <si>
    <t>Cu12662</t>
  </si>
  <si>
    <t>FNB OB Pmt FNB OB 000000092 Cu1 Cu12258 1126</t>
  </si>
  <si>
    <t>FNB OB Pmt FNB OB 000000093 Cu1 Cu12224 985</t>
  </si>
  <si>
    <t>FNB OB Pmt FNB OB 000000094 Cu1 Cu10745 1165</t>
  </si>
  <si>
    <t>FNB OB Pmt FNB OB 000000095 Cu1 Cu11296 1166</t>
  </si>
  <si>
    <t>FNB OB Pmt FNB OB 000000096 Cu1 Cu10283 1169</t>
  </si>
  <si>
    <t>FNB OB Pmt FNB OB 000000097 Cu1 Cu12258 1172</t>
  </si>
  <si>
    <t>Int-Banking Pmt Frm Cu10683</t>
  </si>
  <si>
    <t>FNB OB Pmt FNB OB 000000098 Cu1 Cu10745 1196</t>
  </si>
  <si>
    <t>FNB OB Pmt FNB OB 000000099 Cu1 Cu10477 1198</t>
  </si>
  <si>
    <t>FNB OB Pmt FNB OB 000000100 Cu1 Cu10530 1199</t>
  </si>
  <si>
    <t>FNB OB Pmt FNB OB 000000101 Cu1 Cu10502 1209</t>
  </si>
  <si>
    <t>FNB OB Pmt FNB OB 000000102 Cu1 Cu12597 1236</t>
  </si>
  <si>
    <t>Int-Banking Pmt Frm Cu12427</t>
  </si>
  <si>
    <t>Cu12427</t>
  </si>
  <si>
    <t>Int-Banking Pmt Frm Cu12834</t>
  </si>
  <si>
    <t>Cu12834</t>
  </si>
  <si>
    <t>Int-Banking Pmt Frm Cu12849</t>
  </si>
  <si>
    <t>Cu12849</t>
  </si>
  <si>
    <t>FNB OB Trf FNB OB Trf 000000103 Inv13032025</t>
  </si>
  <si>
    <t>Int-Banking Pmt Frm Cu10833</t>
  </si>
  <si>
    <t>FNB OB Pmt FNB OB 000000104 Cu1 Cu11466 1295</t>
  </si>
  <si>
    <t>FNB OB Pmt FNB OB 000000105 Cu1 Cu10592 1320</t>
  </si>
  <si>
    <t>FNB OB Pmt FNB OB 000000106 Cu1 Cu10477 1419</t>
  </si>
  <si>
    <t>FNB OB Pmt FNB OB 000000107 Cu1 Cu12597 1423</t>
  </si>
  <si>
    <t>FNB OB Pmt FNB OB 000000108 Cu1 Cu10258 1429</t>
  </si>
  <si>
    <t>Int-Banking Pmt Frm Cu11852</t>
  </si>
  <si>
    <t>Cu11852</t>
  </si>
  <si>
    <t>Int-Banking Pmt Frm Cu12882</t>
  </si>
  <si>
    <t>Cu12882</t>
  </si>
  <si>
    <t>Int-Banking Pmt Frm Cu13170</t>
  </si>
  <si>
    <t>Cu13170</t>
  </si>
  <si>
    <t>Int-Banking Pmt Frm Cu13214</t>
  </si>
  <si>
    <t>Cu13214</t>
  </si>
  <si>
    <t>FNB OB Pmt FNB OB 000000116 Cu1 Cu10530 1513</t>
  </si>
  <si>
    <t>FNB OB Pmt FNB OB 000000117 Cu1 Cu10477 1597</t>
  </si>
  <si>
    <t>FNB OB Pmt FNB OB 000000118 Cu1 Cu11427 1636</t>
  </si>
  <si>
    <t>FNB OB Pmt FNB OB 000000109 Cu1 Cu11852 1446</t>
  </si>
  <si>
    <t>FNB OB Pmt FNB OB 000000110 Cu1 Cu10355 1452</t>
  </si>
  <si>
    <t>FNB OB Pmt FNB OB 000000115 Cu1 Cu10833 1492</t>
  </si>
  <si>
    <t>FNB OB Pmt FNB OB 000000113 Cu1 Cu12113 1480</t>
  </si>
  <si>
    <t>FNB OB Pmt FNB OB 000000111 Cu1 Cu11427 1461</t>
  </si>
  <si>
    <t>FNB OB Pmt FNB OB 000000112 Cu1 Cu10477 1472</t>
  </si>
  <si>
    <t>FNB OB Pmt FNB OB 000000114 Cu1 Cu10592 1486</t>
  </si>
  <si>
    <t>Outward Swift R025Wj9Jt0 Cu12228 1374</t>
  </si>
  <si>
    <t>Cu12228</t>
  </si>
  <si>
    <t>Foreign Payments</t>
  </si>
  <si>
    <t>Bank / transaction fee</t>
  </si>
  <si>
    <t>FNB OB Pmt FNB OB 000000119 Cu1 Cu12183 1449</t>
  </si>
  <si>
    <t>Int-Banking Pmt Frm Cu13568</t>
  </si>
  <si>
    <t>Cu13568</t>
  </si>
  <si>
    <t>Int-Banking Pmt Frm Cu10722</t>
  </si>
  <si>
    <t>Int-Banking Pmt Frm Cu13208</t>
  </si>
  <si>
    <t>Cu13208</t>
  </si>
  <si>
    <t>Int-Banking Pmt Frm Cu13555</t>
  </si>
  <si>
    <t>Cu13555</t>
  </si>
  <si>
    <t>FNB OB Pmt FNB OB 000000121 Cu1 Cu11427 1646</t>
  </si>
  <si>
    <t>FNB OB Pmt FNB OB 000000122 Cu1 Cu10530 1654</t>
  </si>
  <si>
    <t>FNB OB Pmt FNB OB 000000123 Cu1 Cu12832 1670</t>
  </si>
  <si>
    <t>FNB OB Pmt FNB OB 000000124 Cu1 Cu10477 1672</t>
  </si>
  <si>
    <t>Int-Banking Pmt Frm Cu12691</t>
  </si>
  <si>
    <t>Cu12691</t>
  </si>
  <si>
    <t>FNB OB Pmt FNB OB 000000125 Cu1 Cu10745 1737</t>
  </si>
  <si>
    <t>FNB OB Pmt FNB OB 000000126 Cu1 Cu10477 1747</t>
  </si>
  <si>
    <t>FNB OB Pmt FNB OB 000000127 Cu1 Cu10530 1753</t>
  </si>
  <si>
    <t>FNB OB Pmt FNB OB 000000128 Cu1 Cu12662 1752</t>
  </si>
  <si>
    <t>FNB OB Pmt FNB OB 000000129 Cu1 Cu10477 1757</t>
  </si>
  <si>
    <t>FNB OB Pmt FNB OB 000000130 Cu1 Cu12832 1770</t>
  </si>
  <si>
    <t>Outward Swift R025Wdtpz0 Cu11525 1724</t>
  </si>
  <si>
    <t>Cu11525</t>
  </si>
  <si>
    <t>Int-Banking Pmt Frm Cu10682</t>
  </si>
  <si>
    <t>Cu10682</t>
  </si>
  <si>
    <t>FNB OB Pmt FNB OB 000000120 Cu1 Cu10355 1639</t>
  </si>
  <si>
    <t>Int-Banking Pmt Frm Cu13710</t>
  </si>
  <si>
    <t>Cu13710</t>
  </si>
  <si>
    <t>Int-Banking Pmt Frm Cu13070</t>
  </si>
  <si>
    <t>Cu13070</t>
  </si>
  <si>
    <t>Int-Banking Pmt Frm Cu13112</t>
  </si>
  <si>
    <t>Cu13112</t>
  </si>
  <si>
    <t>FNB OB Pmt FNB OB 000000131 Cu1 Cu12258 1172</t>
  </si>
  <si>
    <t>Int-Banking Pmt Frm Cu10283</t>
  </si>
  <si>
    <t>FNB OB Pmt FNB OB 000000132 Cu1 Cu10502 1786</t>
  </si>
  <si>
    <t>FNB OB Pmt FNB OB 000000133 Cu1 Cu10699 1789</t>
  </si>
  <si>
    <t>FNB OB Pmt FNB OB 000000134 Cu1 Cu10477 1791</t>
  </si>
  <si>
    <t>FNB OB Pmt FNB OB 000000135 Cu1 Cu10167 1793</t>
  </si>
  <si>
    <t>FNB OB Pmt FNB OB 000000136 Cu1 Cu11427 1795</t>
  </si>
  <si>
    <t>Int-Banking Pmt Frm Cu13893</t>
  </si>
  <si>
    <t>Cu13893</t>
  </si>
  <si>
    <t>FNB OB Trf FNB OB Trf 000000151 Inv19032025</t>
  </si>
  <si>
    <t>FNB OB Pmt FNB OB 000000152 Cu1 Cu13250 1924</t>
  </si>
  <si>
    <t>FNB OB Pmt FNB OB 000000153 Cu1 Cu10745 1927</t>
  </si>
  <si>
    <t>FNB OB Pmt FNB OB 000000154 Cu1 Cu10477 1931</t>
  </si>
  <si>
    <t>FNB OB Pmt FNB OB 000000155 Cu1 Cu10477 1942</t>
  </si>
  <si>
    <t>FNB OB Pmt FNB OB 000000156 Cu1 Cu10699 1950</t>
  </si>
  <si>
    <t>FNB OB Pmt FNB OB 000000157 Cu1 Cu10530 1948</t>
  </si>
  <si>
    <t>FNB OB Pmt FNB OB 000000158 Cu1 Cu12832 1956</t>
  </si>
  <si>
    <t>Int-Banking Pmt Frm Cu13964</t>
  </si>
  <si>
    <t>Cu13964</t>
  </si>
  <si>
    <t>FNB OB Pmt FNB OB 000000147 Cu1 Cu11075 1863</t>
  </si>
  <si>
    <t>FNB OB Pmt FNB OB 000000148 Cu1 Cu12394 1862</t>
  </si>
  <si>
    <t>FNB OB Pmt FNB OB 000000144 Cu1 Cu10699 1859</t>
  </si>
  <si>
    <t>FNB OB Pmt FNB OB 000000149 Cu1 Cu10135 1861</t>
  </si>
  <si>
    <t>FNB OB Pmt FNB OB 000000142 Cu1 Cu10863 1849</t>
  </si>
  <si>
    <t>FNB OB Pmt FNB OB 000000140 Cu1 Cu10320 1854</t>
  </si>
  <si>
    <t>FNB OB Pmt FNB OB 000000146 Cu1 Cu11912 1868</t>
  </si>
  <si>
    <t>FNB OB Pmt FNB OB 000000145 Cu1 Cu10570 1875</t>
  </si>
  <si>
    <t>FNB OB Pmt FNB OB 000000143 Cu1 Cu10997 1857</t>
  </si>
  <si>
    <t>FNB OB Pmt FNB OB 000000138 Cu1 Cu12439 1845</t>
  </si>
  <si>
    <t>FNB OB Pmt FNB OB 000000141 Cu1 Cu11762 1848</t>
  </si>
  <si>
    <t>FNB OB Pmt FNB OB 000000137 Cu1 Cu10477 1847</t>
  </si>
  <si>
    <t>FNB OB Pmt FNB OB 000000139 Cu1 Cu13758 1842</t>
  </si>
  <si>
    <t>FNB OB Pmt FNB OB 000000150 Ib Ib Retainer</t>
  </si>
  <si>
    <t>FNB OB Pmt FNB OB 000000159 Cu1 Cu10745 1994</t>
  </si>
  <si>
    <t>FNB OB Pmt FNB OB 000000160 Cu1 Cu11767 2063</t>
  </si>
  <si>
    <t>FNB OB Pmt FNB OB 000000161 Cu1 Cu10374 1574</t>
  </si>
  <si>
    <t>FNB OB Pmt FNB OB 000000162 Cu1 Cu1259 2066</t>
  </si>
  <si>
    <t>Int-Banking Pmt Frm Cu14038</t>
  </si>
  <si>
    <t>Cu14038</t>
  </si>
  <si>
    <t>FNB OB Pmt FNB OB 000000166 Cu1 Cu12240 2084</t>
  </si>
  <si>
    <t>FNB OB Pmt FNB OB 000000167 Cu1 Cu11767 2183</t>
  </si>
  <si>
    <t>FNB OB Pmt FNB OB 000000168 Cu1 Cu10699 2211</t>
  </si>
  <si>
    <t>FNB OB Pmt FNB OB 000000169 Cu1 Cu11530 2228</t>
  </si>
  <si>
    <t>Int-Banking Pmt Frm Cu14322</t>
  </si>
  <si>
    <t>Cu14322</t>
  </si>
  <si>
    <t>FNB OB Pmt FNB OB 000000170 Cu1 Cu10477 2243</t>
  </si>
  <si>
    <t>FNB OB Pmt FNB OB 000000171 Cu1 Cu12427 2241</t>
  </si>
  <si>
    <t>FNB OB Pmt FNB OB 000000172 Cu1 Cu10530 2256</t>
  </si>
  <si>
    <t>FNB OB Pmt FNB OB 000000173 Cu1 Cu10502 2266</t>
  </si>
  <si>
    <t>FNB OB Pmt FNB OB 000000174 Cu1 Cu11530 2269</t>
  </si>
  <si>
    <t>FNB OB Pmt FNB OB 000000175 Cu1 Cu10502 2273</t>
  </si>
  <si>
    <t>FNB OB Pmt FNB OB 000000164 Cu1 Cu10135 2085</t>
  </si>
  <si>
    <t>FNB OB Pmt FNB OB 000000163 Cu1 Cu11767 2082</t>
  </si>
  <si>
    <t>FNB OB Pmt FNB OB 000000165 Cu1 Cu13215 2135</t>
  </si>
  <si>
    <t>FNB OB Pmt FNB OB 000000176 Cu1 Cu11530 2317</t>
  </si>
  <si>
    <t>FNB OB Pmt FNB OB 000000177 Cu1 Cu14160 2332</t>
  </si>
  <si>
    <t>FNB OB Pmt FNB OB 000000178 Cu1 Cu12258 2254</t>
  </si>
  <si>
    <t>Int-Banking Pmt Frm Cu12120</t>
  </si>
  <si>
    <t>Cu12120</t>
  </si>
  <si>
    <t>Int-Banking Pmt Frm Cu10135</t>
  </si>
  <si>
    <t>Cu10135</t>
  </si>
  <si>
    <t>FNB OB Pmt FNB OB 000000179 Cu1 Cu13776 2364</t>
  </si>
  <si>
    <t>Int-Banking Pmt Frm Cu14566</t>
  </si>
  <si>
    <t>Cu14566</t>
  </si>
  <si>
    <t>Int-Banking Pmt Frm Cu13737</t>
  </si>
  <si>
    <t>Cu13737</t>
  </si>
  <si>
    <t>Int-Banking Pmt Frm Cu14658</t>
  </si>
  <si>
    <t>Cu14658</t>
  </si>
  <si>
    <t>FNB OB Pmt FNB OB 000000186 Cu1 Cu12276 2410</t>
  </si>
  <si>
    <t>FNB OB Pmt FNB OB 000000187 Cu1 Cu11530 2413</t>
  </si>
  <si>
    <t>FNB OB Pmt FNB OB 000000188 Cu1 Cu10477 2443</t>
  </si>
  <si>
    <t>FNB OB Pmt FNB OB 000000189 Cu1 Cu12584 2482</t>
  </si>
  <si>
    <t>FNB OB Pmt FNB OB 000000190 Cu1 Cu10135 2497</t>
  </si>
  <si>
    <t>FNB OB Trf FNB OB Trf Inv25032025</t>
  </si>
  <si>
    <t>FNB OB Pmt FNB OB 000000191 Cu1 Cu10130 1960</t>
  </si>
  <si>
    <t>FNB OB Pmt FNB OB 000000192 Cu1 Cu13576 2513</t>
  </si>
  <si>
    <t>FNB OB Pmt FNB OB 000000193 Cu1 Cu10311 2514</t>
  </si>
  <si>
    <t>FNB OB Pmt FNB OB 000000194 Cu1 Cu10151 2516</t>
  </si>
  <si>
    <t>FNB OB Pmt FNB OB 000000195 Cu1 Cu14566 2519</t>
  </si>
  <si>
    <t>FNB OB Pmt FNB OB 000000196 Cu1 Cu11893 2521</t>
  </si>
  <si>
    <t>FNB OB Pmt FNB OB 000000197 Cu1 Cu11312 2526</t>
  </si>
  <si>
    <t>Int-Banking Pmt Frm Cu14609</t>
  </si>
  <si>
    <t>Cu14609</t>
  </si>
  <si>
    <t>FNB OB Pmt FNB OB 000000183 Cu1 Cu10485 2398</t>
  </si>
  <si>
    <t>FNB OB Pmt FNB OB 000000182 Cu1 Cu10791 2394</t>
  </si>
  <si>
    <t>FNB OB Pmt FNB OB 000000180 Cu1 Cu11427 2374</t>
  </si>
  <si>
    <t>FNB OB Pmt FNB OB 000000185 Cu1 Cu11917 2400</t>
  </si>
  <si>
    <t>FNB OB Pmt FNB OB 000000181 Cu1 Cu12256 2395</t>
  </si>
  <si>
    <t>FNB OB Pmt FNB OB 000000184 Cu1 Cu13000 2399</t>
  </si>
  <si>
    <t>FNB OB Pmt FNB OB 000000198 Cu1 Cu10477 2533</t>
  </si>
  <si>
    <t>FNB OB Pmt FNB OB 000000199 Cu1 Cu10745 2534</t>
  </si>
  <si>
    <t>FNB OB Pmt FNB OB 000000200 Cu1 Cu11427 2540</t>
  </si>
  <si>
    <t>FNB OB Pmt FNB OB 000000201 Cu1 Cu10477 2566</t>
  </si>
  <si>
    <t>FNB OB Pmt FNB OB 000000202 Cu1 Cu14609 2564</t>
  </si>
  <si>
    <t>Int-Banking Pmt Frm Cu14806</t>
  </si>
  <si>
    <t>Cu14806</t>
  </si>
  <si>
    <t>FNB OB Pmt FNB OB 000000203 Cu1 Cu10477 2598</t>
  </si>
  <si>
    <t>FNB OB Pmt FNB OB 000000204 Cu1 Cu10664 2608</t>
  </si>
  <si>
    <t>FNB OB Pmt FNB OB 000000205 Cu1 Cu14038 2618</t>
  </si>
  <si>
    <t>FNB OB Pmt FNB OB 000000206 Cu1 Cu11427 2620</t>
  </si>
  <si>
    <t>FNB OB Pmt FNB OB 000000207 Cu1 Cu10130 2623</t>
  </si>
  <si>
    <t>FNB OB Pmt FNB OB 000000208 Cu1 Cu11812 2659</t>
  </si>
  <si>
    <t>FNB OB Pmt FNB OB 000000209 Cu1 Cu14566 2660</t>
  </si>
  <si>
    <t>FNB OB Pmt FNB OB 000000210 Cu1 Cu12113 2669</t>
  </si>
  <si>
    <t>FNB OB Pmt FNB OB 000000211 Cu1 Cu10530 2713</t>
  </si>
  <si>
    <t>Int-Banking Pmt Frm Cu11669</t>
  </si>
  <si>
    <t>Cu11669</t>
  </si>
  <si>
    <t>FNB OB Pmt FNB OB 000000212 Cu1 Cu12113 2744</t>
  </si>
  <si>
    <t>FNB OB Pmt FNB OB 000000213 Cu1 Cu10530 2747</t>
  </si>
  <si>
    <t>FNB OB Pmt FNB OB 000000214 Cu1 Cu11002 2752</t>
  </si>
  <si>
    <t>FNB OB Pmt FNB OB 000000215 Cu1 Cu10130 2754</t>
  </si>
  <si>
    <t>FNB OB Pmt FNB OB 000000216 Cu1 Cu10858 2760</t>
  </si>
  <si>
    <t>FNB OB Pmt FNB OB 000000217 Cu1 Cu14566 2847</t>
  </si>
  <si>
    <t>FNB OB Pmt FNB OB 000000218 Cu1 Cu14806 2895</t>
  </si>
  <si>
    <t>FNB OB Pmt FNB OB 000000219 Cu1 Cu10258 2854</t>
  </si>
  <si>
    <t>FNB OB Pmt FNB OB 000000220 Cu1 Cu10477 2815</t>
  </si>
  <si>
    <t>FNB OB Pmt FNB OB 000000221 Cu1 Cu13776 2808</t>
  </si>
  <si>
    <t>FNB OB Pmt FNB OB 000000222 Cu1 Cu12113 2786</t>
  </si>
  <si>
    <t>Int-Banking Pmt Frm Cu12653</t>
  </si>
  <si>
    <t>Cu12653</t>
  </si>
  <si>
    <t>FNB OB Pmt FNB OB 000000223 Cu1 Cu12093 2878</t>
  </si>
  <si>
    <t>FNB OB Pmt FNB OB 000000224 Cu1 Cu13215 2896</t>
  </si>
  <si>
    <t>Int-Banking Pmt Frm Cu14478</t>
  </si>
  <si>
    <t>Cu14478</t>
  </si>
  <si>
    <t>Int-Banking Pmt Frm Cu15304</t>
  </si>
  <si>
    <t>Cu15304</t>
  </si>
  <si>
    <t>Int-Banking Pmt Frm Cu14739</t>
  </si>
  <si>
    <t>Cu14739</t>
  </si>
  <si>
    <t>Int-Banking Pmt Frm Cu11898</t>
  </si>
  <si>
    <t>Cu11898</t>
  </si>
  <si>
    <t>Int-Banking Pmt Frm Cu15411</t>
  </si>
  <si>
    <t>Cu15411</t>
  </si>
  <si>
    <t>Int-Banking Pmt Frm Cu15335</t>
  </si>
  <si>
    <t>Cu15335</t>
  </si>
  <si>
    <t>FNB OB Pmt FNB OB 000000225 Cu1 Cu13215 2915</t>
  </si>
  <si>
    <t>FNB OB Pmt FNB OB 000000226 Cu1 Cu12834 2923</t>
  </si>
  <si>
    <t>FNB OB Pmt FNB OB 000000227 Cu1 Cu15444 2961</t>
  </si>
  <si>
    <t>FNB OB Pmt FNB OB 000000228 Cu1 Cu14038 2962</t>
  </si>
  <si>
    <t>FNB OB Pmt FNB OB 000000229 Cu1 Cu11427 3016</t>
  </si>
  <si>
    <t>Int-Banking Pmt Frm Cu11907</t>
  </si>
  <si>
    <t>Cu11907</t>
  </si>
  <si>
    <t>Int-Banking Pmt Frm Cu13990</t>
  </si>
  <si>
    <t>Cu13990</t>
  </si>
  <si>
    <t>Int-Banking Pmt Frm Cu15904</t>
  </si>
  <si>
    <t>Cu15904</t>
  </si>
  <si>
    <t>FNB OB Pmt FNB OB 000000230 Cu1 Cu13060 3032</t>
  </si>
  <si>
    <t>FNB OB Pmt FNB OB 000000231 Cu1 Cu12834 3040</t>
  </si>
  <si>
    <t>2025-04</t>
  </si>
  <si>
    <t>5</t>
  </si>
  <si>
    <t>GOLD_BUSINESS_ACCOUNT_5.pdf</t>
  </si>
  <si>
    <t>Int-Banking Pmt Frm Cu13096</t>
  </si>
  <si>
    <t>Cu13096</t>
  </si>
  <si>
    <t>FNB OB Pmt FNB OB 000000232 Cu1 Cu11312 3054</t>
  </si>
  <si>
    <t>FNB OB Pmt FNB OB 000000233 Cu1 Cu12113 3059</t>
  </si>
  <si>
    <t>FNB OB Pmt FNB OB 000000234 Cu1 Cu10684 3075</t>
  </si>
  <si>
    <t>FNB OB Pmt FNB OB 000000235 Cu1 Cu12691 3076</t>
  </si>
  <si>
    <t>FNB OB Pmt FNB OB 000000236 Cu1 Cu13096 3098</t>
  </si>
  <si>
    <t>FNB OB Pmt FNB OB 000000237 Cu1 Cu14566 3099</t>
  </si>
  <si>
    <t>FNB OB Pmt FNB OB 000000238 Cu1 Cu12870 3100</t>
  </si>
  <si>
    <t>FNB OB Pmt FNB OB 000000239 Cu1 Cu10745 3101</t>
  </si>
  <si>
    <t>FNB OB Pmt FNB OB 000000240 Cu1 Cu11811 3113</t>
  </si>
  <si>
    <t>Int-Banking Pmt Frm Cu12884</t>
  </si>
  <si>
    <t>Cu12884</t>
  </si>
  <si>
    <t>FNB OB Pmt FNB OB 000000241 Cu1 Cu11767 3138</t>
  </si>
  <si>
    <t>FNB OB Pmt FNB OB 000000242 Cu1 Cu11312 3146</t>
  </si>
  <si>
    <t>FNB OB Pmt FNB OB 000000244 Cu1 Cu10552 3174</t>
  </si>
  <si>
    <t>FNB OB Pmt FNB OB 000000245 Cu1 Cu12834 3176</t>
  </si>
  <si>
    <t>Outward Swift R025Vszlq0 Cu12228 3106</t>
  </si>
  <si>
    <t>Outward Swift R025Vsz620 Cu14098 3155</t>
  </si>
  <si>
    <t>Cu14098</t>
  </si>
  <si>
    <t>Int-Banking Pmt Frm Cu10756</t>
  </si>
  <si>
    <t>Cu10756</t>
  </si>
  <si>
    <t>Outward Swift R025Vtv1B0 Cu14149 3050</t>
  </si>
  <si>
    <t>Cu14149</t>
  </si>
  <si>
    <t>FNB OB Pmt FNB OB 000000254 Cu1 Cu10130 3060</t>
  </si>
  <si>
    <t>FNB OB Pmt FNB OB 000000255 Cu1 Cu10374 3239</t>
  </si>
  <si>
    <t>FNB OB Pmt FNB OB 000000256 Cu1 Cu11427 3267</t>
  </si>
  <si>
    <t>FNB OB Pmt FNB OB 000000257 Cu1 Cu12113 3276</t>
  </si>
  <si>
    <t>FNB OB Pmt FNB OB 000000258 Cu1 Cu10745 3297</t>
  </si>
  <si>
    <t>FNB OB Pmt FNB OB 000000259 Cu1 Cu12832 3132</t>
  </si>
  <si>
    <t>FNB OB Pmt FNB OB 000000260 Cu1 Cu10130 3234</t>
  </si>
  <si>
    <t>FNB OB Pmt FNB OB 000000261 Cu1 Cu13000 3154</t>
  </si>
  <si>
    <t>Outward Swift R025Vrhkr0 Cu10878 3232</t>
  </si>
  <si>
    <t>Cu10878</t>
  </si>
  <si>
    <t>FNB OB Pmt FNB OB 000000262 Cu1 Cu11962 3298</t>
  </si>
  <si>
    <t>FNB OB Pmt FNB OB 000000263 Cu1 Cu10283 3326</t>
  </si>
  <si>
    <t>FNB OB Pmt FNB OB 000000264 Cu1 Cu10348 3334</t>
  </si>
  <si>
    <t>FNB OB Pmt FNB OB 000000265 Cu1 Cu11767 3339</t>
  </si>
  <si>
    <t>FNB OB Pmt FNB OB 000000266 Cu1 Cu12113 3343</t>
  </si>
  <si>
    <t>FNB OB Pmt FNB OB 000000247 Cu1 Cu11842 3192</t>
  </si>
  <si>
    <t>FNB OB Pmt FNB OB 000000253 Cu1 Cu10530 3230</t>
  </si>
  <si>
    <t>FNB OB Pmt FNB OB 000000251 Cu1 Cu10258 3179</t>
  </si>
  <si>
    <t>FNB OB Pmt FNB OB 000000252 Cu1 Cu12832 3222</t>
  </si>
  <si>
    <t>FNB OB Pmt FNB OB 000000246 Cu1 Cu10151 3191</t>
  </si>
  <si>
    <t>FNB OB Pmt FNB OB 000000248 Cu1 Cu10374 3097</t>
  </si>
  <si>
    <t>FNB OB Pmt FNB OB 000000249 Cu1 Cu10699 3128</t>
  </si>
  <si>
    <t>FNB OB Pmt FNB OB 000000250 Cu1 Cu10283 3220</t>
  </si>
  <si>
    <t>Outward Swift R025Vq2R10 Cu12780 3103</t>
  </si>
  <si>
    <t>Cu12780</t>
  </si>
  <si>
    <t>Int-Banking Pmt Frm Cu16318</t>
  </si>
  <si>
    <t>Cu16318</t>
  </si>
  <si>
    <t>FNB OB Pmt FNB OB 000000267 Cu1 Cu10745 3321</t>
  </si>
  <si>
    <t>FNB OB Pmt FNB OB 000000268 Cu1 Cu11530 3388</t>
  </si>
  <si>
    <t>Int-Banking Pmt Frm Cu16337</t>
  </si>
  <si>
    <t>Cu16337</t>
  </si>
  <si>
    <t>Outward Swift R025Vpxh80 Cu13929 3408</t>
  </si>
  <si>
    <t>Cu13929</t>
  </si>
  <si>
    <t>Int-Banking Pmt Frm Cu16346</t>
  </si>
  <si>
    <t>Cu16346</t>
  </si>
  <si>
    <t>Int-Banking Pmt Frm Cu12702</t>
  </si>
  <si>
    <t>Cu12702</t>
  </si>
  <si>
    <t>Int-Banking Pmt Frm Cu11570</t>
  </si>
  <si>
    <t>Cu11570</t>
  </si>
  <si>
    <t>Int-Banking Pmt Frm Cu12983</t>
  </si>
  <si>
    <t>Cu12983</t>
  </si>
  <si>
    <t>FNB OB Pmt FNB OB 000000270 Cu1 Cu11427 3453</t>
  </si>
  <si>
    <t>FNB OB Pmt FNB OB 000000271 Cu1 Cu16197 3458</t>
  </si>
  <si>
    <t>FNB OB Pmt FNB OB 000000272 Cu1 Cu11767 3476</t>
  </si>
  <si>
    <t>FNB OB Pmt FNB OB 000000273 Cu1 Cu11852 3475</t>
  </si>
  <si>
    <t>FNB OB Pmt FNB OB 000000274 Cu1 Cu10348 3490</t>
  </si>
  <si>
    <t>FNB OB Pmt FNB OB 000000275 Cu1 Cu10530 3535</t>
  </si>
  <si>
    <t>FNB OB Pmt FNB OB 000000277 Cu1 Cu15444 3555</t>
  </si>
  <si>
    <t>FNB OB Pmt FNB OB 000000279 Inv</t>
  </si>
  <si>
    <t>FNB OB Pmt FNB OB 000000282 Cu1 Cu11530 3581</t>
  </si>
  <si>
    <t>FNB OB Pmt FNB OB 000000283 Cu1 Cu15444 3609</t>
  </si>
  <si>
    <t>FNB OB Pmt FNB OB 000000284 Cu1 Cu10502 3650</t>
  </si>
  <si>
    <t>Outward Swift R025Vn1Sm0 Cu12228 3429</t>
  </si>
  <si>
    <t>Outward Swift R025Vn1Gb0 Cu14098 3542</t>
  </si>
  <si>
    <t>Outward Swift R025Vn16W0 Cu13929 3553</t>
  </si>
  <si>
    <t>FNB OB Pmt FNB OB 000000285 Cu1 Cu11427 3665</t>
  </si>
  <si>
    <t>FNB OB Pmt FNB OB 000000286 Cu1 Cu12240 3536</t>
  </si>
  <si>
    <t>FNB OB Pmt FNB OB 000000287 Cu1 Cu14012 3689</t>
  </si>
  <si>
    <t>FNB OB Pmt FNB OB 000000288 Cu1 Cu16337 3708</t>
  </si>
  <si>
    <t>FNB OB Pmt FNB OB 000000289 Cu1 Cu12832</t>
  </si>
  <si>
    <t>FNB OB Pmt FNB OB 000000290 Inv</t>
  </si>
  <si>
    <t>Int-Banking Pmt Frm Cu12736</t>
  </si>
  <si>
    <t>Cu12736</t>
  </si>
  <si>
    <t>Int-Banking Pmt Frm Cu16575</t>
  </si>
  <si>
    <t>Cu16575</t>
  </si>
  <si>
    <t>FNB OB Pmt FNB OB 000000291 Cu1 Cu11427 3742</t>
  </si>
  <si>
    <t>FNB OB Pmt FNB OB 000000292 Cu1 Cu10699 3747</t>
  </si>
  <si>
    <t>FNB OB Pmt FNB OB 000000293 Cu1 Cu10745 3756</t>
  </si>
  <si>
    <t>FNB OB Pmt FNB OB 000000294 Cu1 Cu10858 3759</t>
  </si>
  <si>
    <t>FNB OB Pmt FNB OB 000000295 Cu1 Cu11312 3760</t>
  </si>
  <si>
    <t>FNB OB Pmt FNB OB 000000296 Cu1 Cu12113 3771</t>
  </si>
  <si>
    <t>FNB OB Pmt FNB OB 000000297 Cu1 Cu12261 3802</t>
  </si>
  <si>
    <t>FNB OB Pmt FNB OB 000000298 Cu1 Cu10745 3818</t>
  </si>
  <si>
    <t>Outward Swift R025Vlnqp0 Cu13929 3740</t>
  </si>
  <si>
    <t>Int-Banking Pmt Frm Cu16659</t>
  </si>
  <si>
    <t>Cu16659</t>
  </si>
  <si>
    <t>FNB OB Pmt FNB OB 000000299 Cu1 Cu12113 3825</t>
  </si>
  <si>
    <t>FNB OB Pmt FNB OB 000000300 Cu1 Cu11312 3826</t>
  </si>
  <si>
    <t>FNB OB Pmt FNB OB 000000301 Cu1 Cu10745 3840</t>
  </si>
  <si>
    <t>FNB OB Pmt FNB OB 000000302 Cu1 Cu11898 3841</t>
  </si>
  <si>
    <t>FNB OB Pmt FNB OB 000000303 Cu1 Cu12113 3845</t>
  </si>
  <si>
    <t>FNB OB Pmt FNB OB 000000304 Cu1 Cu11312 3853</t>
  </si>
  <si>
    <t>FNB OB Pmt FNB OB 000000305 Cu1 Cu12113 3856</t>
  </si>
  <si>
    <t>FNB OB Pmt FNB OB 000000306 Cu1 Cu15951 3863</t>
  </si>
  <si>
    <t>FNB OB Pmt FNB OB 000000307 Cu1 Cu11570 3882</t>
  </si>
  <si>
    <t>FNB OB Pmt FNB OB 000000308 Cu1 Cu14566 3865</t>
  </si>
  <si>
    <t>FNB OB Pmt FNB OB 000000309 Cu1 Cu12113 3893</t>
  </si>
  <si>
    <t>FNB OB Pmt FNB OB 000000310 Cu1 Cu14566 3910</t>
  </si>
  <si>
    <t>FNB OB Pmt FNB OB 000000311 Cu1 Cu10745 3917</t>
  </si>
  <si>
    <t>FNB OB Pmt FNB OB 000000312 Cu1 Cu10258 3930</t>
  </si>
  <si>
    <t>FNB OB Pmt FNB OB 000000313 Cu1 Cu10258 3945</t>
  </si>
  <si>
    <t>Int-Banking Pmt Frm Cu13943</t>
  </si>
  <si>
    <t>Cu13943</t>
  </si>
  <si>
    <t>FNB OB Pmt FNB OB 000000314 Cu1 Cu10745 3950</t>
  </si>
  <si>
    <t>FNB OB Pmt FNB OB 000000315 Cu1 Cu12113 3970</t>
  </si>
  <si>
    <t>FNB OB Pmt FNB OB 000000316 Cu1 Cu10745 3988</t>
  </si>
  <si>
    <t>FNB OB Pmt FNB OB 000000317 Cu1 Cu15304 3995</t>
  </si>
  <si>
    <t>Int-Banking Pmt Frm Cu16820</t>
  </si>
  <si>
    <t>Cu16820</t>
  </si>
  <si>
    <t>Int-Banking Pmt Frm Cu16800</t>
  </si>
  <si>
    <t>Cu16800</t>
  </si>
  <si>
    <t>FNB OB Pmt FNB OB 000000318 Cu1 Cu12224 3955</t>
  </si>
  <si>
    <t>FNB OB Pmt FNB OB 000000319 Cu1 Cu11127 4009</t>
  </si>
  <si>
    <t>FNB OB Pmt FNB OB 000000320 Cu1 Cu10699 4010</t>
  </si>
  <si>
    <t>FNB OB Pmt FNB OB 000000321 Cu1 Cu11466 4014</t>
  </si>
  <si>
    <t>FNB OB Pmt FNB OB 000000322 Cu1 Cu15904 4022</t>
  </si>
  <si>
    <t>FNB OB Pmt FNB OB 000000323 Cu1 Cu11223 4042</t>
  </si>
  <si>
    <t>Int-Banking Pmt Frm Cu10335</t>
  </si>
  <si>
    <t>Cu10335</t>
  </si>
  <si>
    <t>FNB OB Pmt FNB OB 000000324 Cu1 Cu11466 4046</t>
  </si>
  <si>
    <t>FNB OB Pmt FNB OB 000000325 Cu1 Cu11898 4068</t>
  </si>
  <si>
    <t>FNB OB Pmt FNB OB 000000326 Cu1 Cu11544 4096</t>
  </si>
  <si>
    <t>FNB OB Pmt FNB OB 000000327 Cu1 Cu13052 4114</t>
  </si>
  <si>
    <t>FNB OB Pmt FNB OB 000000328 Cu1 Cu10858 4116</t>
  </si>
  <si>
    <t>FNB OB Pmt FNB OB 000000330 Cu1 Cu10530 4131</t>
  </si>
  <si>
    <t>Outward Swift R025Vgvg60 Cu16381 4132</t>
  </si>
  <si>
    <t>Cu16381</t>
  </si>
  <si>
    <t>Outward Swift R025Vgv390 Cu12228 4015</t>
  </si>
  <si>
    <t>FNB OB Pmt FNB OB 000000332 Cu1 Cu15951 4140</t>
  </si>
  <si>
    <t>FNB OB Pmt FNB OB 000000333 Cu1 Cu12224 4276</t>
  </si>
  <si>
    <t>FNB OB Pmt FNB OB 000000334 Cu1 Cu10355 4280</t>
  </si>
  <si>
    <t>FNB OB Pmt FNB OB 000000335 Cu1 Cu14087 4281</t>
  </si>
  <si>
    <t>FNB OB Pmt FNB OB 000000336 Cu1 Cu10530 4291</t>
  </si>
  <si>
    <t>Int-Banking Pmt Frm Cu15110</t>
  </si>
  <si>
    <t>Cu15110</t>
  </si>
  <si>
    <t>FNB OB Pmt FNB OB 000000337 Cu1 Cu14087 4297</t>
  </si>
  <si>
    <t>FNB OB Pmt FNB OB 000000338 Cu1 Cu14087 4301</t>
  </si>
  <si>
    <t>FNB OB Pmt FNB OB 000000339 Cu1 Cu16794 4310</t>
  </si>
  <si>
    <t>FNB OB Pmt FNB OB 000000341 Cu1 Cu10335 4352</t>
  </si>
  <si>
    <t>FNB OB Pmt FNB OB 000000342 Cu1 Cu16794 4356</t>
  </si>
  <si>
    <t>FNB OB Pmt FNB OB 000000343 Cu1 Cu10335 4357</t>
  </si>
  <si>
    <t>FNB OB Pmt FNB OB 000000344 Cu1 Cu10745 4360</t>
  </si>
  <si>
    <t>FNB OB Pmt FNB OB 000000348 Cu1 Cu14087 4445</t>
  </si>
  <si>
    <t>FNB OB Pmt FNB OB 000000349 Cu1 Cu16820 4447</t>
  </si>
  <si>
    <t>FNB OB Pmt FNB OB 000000350 Cu1 Cu16820 4447</t>
  </si>
  <si>
    <t>FNB OB Pmt FNB OB 000000351 Cu1 Cu11530 4479</t>
  </si>
  <si>
    <t>FNB OB Pmt FNB OB 000000352 Cu1 Cu16101 4485</t>
  </si>
  <si>
    <t>Int-Banking Pmt Frm Cu17244</t>
  </si>
  <si>
    <t>Cu17244</t>
  </si>
  <si>
    <t>Int-Banking Pmt Frm Cu17239</t>
  </si>
  <si>
    <t>Cu17239</t>
  </si>
  <si>
    <t>FNB OB Pmt FNB OB 000000353 Cu1 Cu14322 4473</t>
  </si>
  <si>
    <t>FNB OB Pmt FNB OB 000000354 Cu1 Cu16794 4507</t>
  </si>
  <si>
    <t>FNB OB Pmt FNB OB 000000355 Cu1 Cu12832 4522</t>
  </si>
  <si>
    <t>FNB OB Pmt FNB OB 000000356 Cu1 Cu10530 4524</t>
  </si>
  <si>
    <t>FNB OB Pmt FNB OB 000000357 Cu1 Cu10745 4535</t>
  </si>
  <si>
    <t>FNB OB Pmt FNB OB 000000358 Cu1 Cu14087 4533</t>
  </si>
  <si>
    <t>FNB App Payment From Cu16820 4447</t>
  </si>
  <si>
    <t>FNB OB Pmt FNB OB 000000346 Cu1 Cu14087 4393</t>
  </si>
  <si>
    <t>FNB OB Pmt FNB OB 000000347 Cu1 Cu15967 4410</t>
  </si>
  <si>
    <t>FNB OB Pmt FNB OB 000000345 Cu1 Cu12832 4389</t>
  </si>
  <si>
    <t>Outward Swift R025Vd4X30 Cu16381 4319</t>
  </si>
  <si>
    <t>Outward Swift R025Vd4Xp0 Cu16573 4255</t>
  </si>
  <si>
    <t>Cu16573</t>
  </si>
  <si>
    <t>Outward Swift R025Vd4Z70 Cu12228 4160</t>
  </si>
  <si>
    <t>Int-Banking Pmt Frm Cu13995</t>
  </si>
  <si>
    <t>Cu13995</t>
  </si>
  <si>
    <t>FNB OB Pmt FNB OB 000000359 Cu1 Cu15411 4594</t>
  </si>
  <si>
    <t>FNB OB Pmt FNB OB 000000360 Cu1 Cu16794 4597</t>
  </si>
  <si>
    <t>FNB OB Pmt FNB OB 000000361 Cu1 Cu15444 4607</t>
  </si>
  <si>
    <t>FNB OB Pmt FNB OB 000000362 Cu1 Cu10745 4605</t>
  </si>
  <si>
    <t>FNB OB Pmt FNB OB 000000363 Cu1 Cu16881 4647</t>
  </si>
  <si>
    <t>FNB OB Pmt FNB OB 000000364 Cu1 Cu11427 4673</t>
  </si>
  <si>
    <t>FNB OB Pmt FNB OB 000000365 Cu1 Cu10699 4645</t>
  </si>
  <si>
    <t>FNB OB Pmt FNB OB 000000366 Cu1 Cu10699 4658</t>
  </si>
  <si>
    <t>Int-Banking Pmt Frm Cu16881</t>
  </si>
  <si>
    <t>Cu16881</t>
  </si>
  <si>
    <t>Int-Banking Pmt Frm Cu10608</t>
  </si>
  <si>
    <t>Cu10608</t>
  </si>
  <si>
    <t>FNB OB Pmt FNB OB 000000367 Cu1 Cu16794 4694</t>
  </si>
  <si>
    <t>FNB OB Pmt FNB OB 000000368 Cu1 Cu10608 4737</t>
  </si>
  <si>
    <t>FNB OB Pmt FNB OB 000000369 Cu1 Cu11342 4691</t>
  </si>
  <si>
    <t>FNB OB Pmt FNB OB 000000370 Cu1 Cu16798 4696</t>
  </si>
  <si>
    <t>FNB OB Pmt FNB OB 000000371 Cu1 Cu17173 4706</t>
  </si>
  <si>
    <t>FNB OB Pmt FNB OB 000000372 Cu1 Cu12569 4639</t>
  </si>
  <si>
    <t>Int-Banking Pmt Frm Cu17181</t>
  </si>
  <si>
    <t>Cu17181</t>
  </si>
  <si>
    <t>FNB OB Pmt FNB OB 000000373 Cu1 Cu17383 4743</t>
  </si>
  <si>
    <t>FNB OB Pmt FNB OB 000000374 Cu1 Cu10530 4749</t>
  </si>
  <si>
    <t>FNB OB Pmt FNB OB 000000375 Cu1 Cu16881 4752</t>
  </si>
  <si>
    <t>FNB OB Pmt FNB OB 000000376 Cu1 Cu11427 4756</t>
  </si>
  <si>
    <t>FNB OB Pmt FNB OB 000000377 Cu1 Cu12832 4758</t>
  </si>
  <si>
    <t>FNB OB Pmt FNB OB 000000378 Cu1 Cu15951 4779</t>
  </si>
  <si>
    <t>FNB OB Pmt FNB OB 000000379 Cu1 Cu16794 4790</t>
  </si>
  <si>
    <t>FNB OB Pmt FNB OB 000000380 Cu1 Cu10745 4909</t>
  </si>
  <si>
    <t>FNB OB Pmt FNB OB 000000381 Cu1 Cu16794 4913</t>
  </si>
  <si>
    <t>FNB OB Pmt FNB OB 000000382 Cu1 Cu12832 4919</t>
  </si>
  <si>
    <t>FNB OB Pmt FNB OB 000000383 Cu1 Cu17239 4954</t>
  </si>
  <si>
    <t>FNB OB Pmt FNB OB 000000384 Cu1 Cu10745 4965</t>
  </si>
  <si>
    <t>FNB OB Pmt FNB OB 000000385 Cu1 Cu12870 4895</t>
  </si>
  <si>
    <t>Outward Swift R025V40C10 Cu16023 4906</t>
  </si>
  <si>
    <t>Cu16023</t>
  </si>
  <si>
    <t>FNB OB Pmt FNB OB 000000386 Cu1 Cu11427 5000</t>
  </si>
  <si>
    <t>FNB OB Pmt FNB OB 000000387 Cu1 Cu11767 5009</t>
  </si>
  <si>
    <t>FNB OB Pmt FNB OB 000000388 Cu1 Cu11427 5064</t>
  </si>
  <si>
    <t>FNB OB Pmt FNB OB 000000389 Cu1 Cu11427 5064</t>
  </si>
  <si>
    <t>FNB OB Pmt FNB OB 000000390 Cu1 Cu17239 5050</t>
  </si>
  <si>
    <t>Int-Banking Pmt Frm Cu11582</t>
  </si>
  <si>
    <t>Cu11582</t>
  </si>
  <si>
    <t>Int-Banking Pmt Frm Cu17141</t>
  </si>
  <si>
    <t>Cu17141</t>
  </si>
  <si>
    <t>Outward Swift R025V6J7N0 Cu16023 4906</t>
  </si>
  <si>
    <t>FNB OB Pmt FNB OB 000000391 Cu1 Cu11427 5088</t>
  </si>
  <si>
    <t>Int-Banking Pmt Frm Cu15203</t>
  </si>
  <si>
    <t>Cu15203</t>
  </si>
  <si>
    <t>FNB OB Pmt FNB OB 000000392 Cu1 Cu11427 5119</t>
  </si>
  <si>
    <t>Int-Banking Pmt Frm Cu11256</t>
  </si>
  <si>
    <t>Cu11256</t>
  </si>
  <si>
    <t>FNB OB Pmt FNB OB 000000393 Cu1 Cu16881 5130</t>
  </si>
  <si>
    <t>FNB OB Pmt FNB OB 000000394 Cu1 Cu11530 5139</t>
  </si>
  <si>
    <t>FNB OB Pmt FNB OB 000000395 Cu1 Cu14038 4645</t>
  </si>
  <si>
    <t>FNB OB Pmt FNB OB 000000396 Cu1 Cu10151 5205</t>
  </si>
  <si>
    <t>Int-Banking Pmt Frm Cu17440</t>
  </si>
  <si>
    <t>Cu17440</t>
  </si>
  <si>
    <t>FNB OB Pmt FNB OB 000000397 Cu1 Cu11369 5218</t>
  </si>
  <si>
    <t>Outward Swift R025V9Nhl0 Cu11647 5109</t>
  </si>
  <si>
    <t>Cu11647</t>
  </si>
  <si>
    <t>Outward Swift R025V9Nfz0 Cu17353 5165</t>
  </si>
  <si>
    <t>Cu17353</t>
  </si>
  <si>
    <t>FNB OB Pmt FNB OB 000000398 Cu1 Cu11570 5292</t>
  </si>
  <si>
    <t>Int-Banking Pmt Frm Cu18042</t>
  </si>
  <si>
    <t>Cu18042</t>
  </si>
  <si>
    <t>FNB OB Pmt FNB OB 000000399 Cu1 Cu14437 5295</t>
  </si>
  <si>
    <t>FNB OB Pmt FNB OB 000000400 Cu1 Cu10699 5329</t>
  </si>
  <si>
    <t>FNB OB Pmt FNB OB 000000401 Cu1 Cu10699 5362</t>
  </si>
  <si>
    <t>Int-Banking Pmt Frm Cu10562</t>
  </si>
  <si>
    <t>Cu10562</t>
  </si>
  <si>
    <t>FNB OB Pmt FNB OB 000000407 Cu1 Cu10258 5447</t>
  </si>
  <si>
    <t>Int-Banking Pmt Frm Cu16969</t>
  </si>
  <si>
    <t>Cu16969</t>
  </si>
  <si>
    <t>Int-Banking Pmt Frm Cu18148</t>
  </si>
  <si>
    <t>Cu18148</t>
  </si>
  <si>
    <t>Int-Banking Pmt Frm Cu18013</t>
  </si>
  <si>
    <t>Cu18013</t>
  </si>
  <si>
    <t>FNB OB Pmt FNB OB 000000405 Cu1 Cu14038 4645</t>
  </si>
  <si>
    <t>FNB OB Pmt FNB OB 000000404 Cu1 Cu11466 5401</t>
  </si>
  <si>
    <t>FNB OB Pmt FNB OB 000000406 Cu1 Cu16337 5403</t>
  </si>
  <si>
    <t>FNB OB Pmt FNB OB 000000403 Cu1 Cu16794 5378</t>
  </si>
  <si>
    <t>FNB OB Pmt FNB OB 000000402 Cu1 Cu14437 5322</t>
  </si>
  <si>
    <t>2025-05</t>
  </si>
  <si>
    <t>6</t>
  </si>
  <si>
    <t>GOLD_BUSINESS_ACCOUNT_6.pdf</t>
  </si>
  <si>
    <t>Int-Banking Pmt Frm Cu18201</t>
  </si>
  <si>
    <t>Cu18201</t>
  </si>
  <si>
    <t>Int-Banking Pmt Frm Cu11312</t>
  </si>
  <si>
    <t>Cu11312</t>
  </si>
  <si>
    <t>FNB OB Trf FNB OB Trf 000000408 Reimbursement</t>
  </si>
  <si>
    <t>Int-Banking Pmt Frm Cu10264</t>
  </si>
  <si>
    <t>FNB OB Pmt FNB OB 000000409 Cu1 Cu15411 5608</t>
  </si>
  <si>
    <t>FNB OB Pmt FNB OB 000000410 Cu1 Cu10258 5610</t>
  </si>
  <si>
    <t>FNB OB Pmt FNB OB 000000411 Cu1 Cu10530 5613</t>
  </si>
  <si>
    <t>FNB OB Pmt FNB OB 000000412 Cu1 Cu10699 5616</t>
  </si>
  <si>
    <t>FNB OB Pmt FNB OB 000000413 Cu1 Cu16881 5623</t>
  </si>
  <si>
    <t>FNB OB Pmt FNB OB 000000414 Cu1 Cu11312 5625</t>
  </si>
  <si>
    <t>FNB OB Pmt FNB OB 000000415 Cu1 Cu10374 5626</t>
  </si>
  <si>
    <t>FNB OB Pmt FNB OB 000000416 Cu1 Cu17239 5629</t>
  </si>
  <si>
    <t>FNB OB Pmt FNB OB 000000417 Cu1 Cu16969 5634</t>
  </si>
  <si>
    <t>FNB OB Pmt FNB OB 000000418 Cu1 Cu14038 5640</t>
  </si>
  <si>
    <t>FNB OB Pmt FNB OB 000000419 Cu1 Cu14566 5648</t>
  </si>
  <si>
    <t>FNB OB Pmt FNB OB 000000420 Cu1 Cu10502 5652</t>
  </si>
  <si>
    <t>FNB OB Pmt FNB OB 000000421 Cu1 Cu12832 5654</t>
  </si>
  <si>
    <t>FNB OB Pmt FNB OB 000000422 Cu1 Cu10699 5657</t>
  </si>
  <si>
    <t>FNB OB Pmt FNB OB 000000423 Cu1 Cu14038 5670</t>
  </si>
  <si>
    <t>FNB OB Pmt FNB OB 000000424 Cu1 Cu15411 5677</t>
  </si>
  <si>
    <t>FNB OB Pmt FNB OB 000000425 Cu1 Cu12113 5679</t>
  </si>
  <si>
    <t>Int-Banking Pmt Frm Cu14966</t>
  </si>
  <si>
    <t>Cu14966</t>
  </si>
  <si>
    <t>FNB OB Pmt FNB OB 000000426 Cu1 Cu17199 5591</t>
  </si>
  <si>
    <t>FNB OB Pmt FNB OB 000000427 Cu1 Cu10699 5735</t>
  </si>
  <si>
    <t>FNB OB Pmt FNB OB 000000428 Cu1 Cu16794 5736</t>
  </si>
  <si>
    <t>FNB OB Pmt FNB OB 000000429 Cu1 Cu14038 5741</t>
  </si>
  <si>
    <t>FNB OB Pmt FNB OB 000000430 Cu1 Cu10745 5761</t>
  </si>
  <si>
    <t>FNB OB Pmt FNB OB 000000431 Cu1 Cu10258 5764</t>
  </si>
  <si>
    <t>FNB OB Pmt FNB OB 000000432 Cu1 Cu14038 5766</t>
  </si>
  <si>
    <t>FNB OB Pmt FNB OB 000000433 Cu1 Cu10699 5769</t>
  </si>
  <si>
    <t>FNB OB Pmt FNB OB 000000434 Cu1 Cu12528 5777</t>
  </si>
  <si>
    <t>FNB OB Pmt FNB OB 000000435 Cu1 Cu10502 5782</t>
  </si>
  <si>
    <t>FNB OB Pmt FNB OB 000000436 Cu1 Cu10258 5785</t>
  </si>
  <si>
    <t>FNB OB Pmt FNB OB 000000437 Cu1 Cu10745 5796</t>
  </si>
  <si>
    <t>FNB OB Pmt FNB OB 000000438 Cu1 Cu11466 5797</t>
  </si>
  <si>
    <t>FNB OB Pmt FNB OB 000000439 Cu1 Cu11530 5246</t>
  </si>
  <si>
    <t>FNB OB Pmt FNB OB 000000441 Cu1 Cu12528 5814</t>
  </si>
  <si>
    <t>Int-Banking Pmt Frm Cu18222</t>
  </si>
  <si>
    <t>Cu18222</t>
  </si>
  <si>
    <t>Int-Banking Pmt Frm Cu18240</t>
  </si>
  <si>
    <t>Cu18240</t>
  </si>
  <si>
    <t>FNB OB Pmt FNB OB 000000442 Cu1 Cu14038 5839</t>
  </si>
  <si>
    <t>FNB OB Pmt FNB OB 000000443 Cu1 Cu10745 5865</t>
  </si>
  <si>
    <t>FNB OB Pmt FNB OB 000000444 Cu1 Cu10258 5872</t>
  </si>
  <si>
    <t>FNB OB Pmt FNB OB 000000445 Cu1 Cu18375 5681</t>
  </si>
  <si>
    <t>FNB OB Pmt FNB OB 000000446 Cu1 Cu11570 5886</t>
  </si>
  <si>
    <t>FNB OB Pmt FNB OB 000000447 Cu1 Cu11530 5887</t>
  </si>
  <si>
    <t>FNB OB Pmt FNB OB 000000448 Cu1 Cu11247 5888</t>
  </si>
  <si>
    <t>FNB OB Pmt FNB OB 000000449 Cu1 Cu18224 5891</t>
  </si>
  <si>
    <t>FNB OB Pmt FNB OB 000000450 Cu1 Cu17162 5892</t>
  </si>
  <si>
    <t>FNB OB Pmt FNB OB 000000451 Cu1 Cu18053 5894</t>
  </si>
  <si>
    <t>FNB OB Pmt FNB OB 000000452 Cu1 Cu16540 5895</t>
  </si>
  <si>
    <t>FNB OB Pmt FNB OB 000000453 Cu1 Cu13661 5897</t>
  </si>
  <si>
    <t>FNB OB Pmt FNB OB 000000454 Cu1 Cu16337 5899</t>
  </si>
  <si>
    <t>FNB OB Pmt FNB OB 000000455 Cu1 Cu10745 5900</t>
  </si>
  <si>
    <t>FNB OB Pmt FNB OB 000000456 Cu1 Cu12053 5905</t>
  </si>
  <si>
    <t>FNB OB Pmt FNB OB 000000457 Cu1 Cu16794 5920</t>
  </si>
  <si>
    <t>FNB OB Pmt FNB OB 000000458 Cu1 Cu12113 5916</t>
  </si>
  <si>
    <t>FNB OB Pmt FNB OB 000000459 Cu1 Cu10530 5960</t>
  </si>
  <si>
    <t>FNB OB Pmt FNB OB 000000460 Cu1 Cu18275 5967</t>
  </si>
  <si>
    <t>FNB OB Pmt FNB OB 000000461 Cu1 Cu10745 5969</t>
  </si>
  <si>
    <t>FNB OB Pmt FNB OB 000000462 Cu1 Cu10745 5971</t>
  </si>
  <si>
    <t>FNB OB Pmt FNB OB 000000463 Cu1 Cu11427 5979</t>
  </si>
  <si>
    <t>FNB OB Pmt FNB OB 000000464 Cu1 Cu10745 5983</t>
  </si>
  <si>
    <t>FNB OB Pmt FNB OB 000000465 Cu1 Cu10699 5986</t>
  </si>
  <si>
    <t>FNB OB Pmt FNB OB 000000466 Cu1 Cu12832 5989</t>
  </si>
  <si>
    <t>FNB OB Pmt FNB OB 000000467 Cu1 Cu10473 5998</t>
  </si>
  <si>
    <t>FNB OB Pmt FNB OB 000000468 Cu1 Cu14011 5997</t>
  </si>
  <si>
    <t>FNB OB Pmt FNB OB 000000469 Cu1 Cu11767 5999</t>
  </si>
  <si>
    <t>FNB OB Pmt FNB OB 000000470 Cu1 Cu10699 6003</t>
  </si>
  <si>
    <t>FNB OB Pmt FNB OB 000000471 Cu1 Cu13052 6007</t>
  </si>
  <si>
    <t>FNB OB Pmt FNB OB 000000472 Cu1 Cu11466 6008</t>
  </si>
  <si>
    <t>FNB OB Pmt FNB OB 000000473 Cu1 Cu10270 6014</t>
  </si>
  <si>
    <t>FNB OB Pmt FNB OB 000000474 Cu1 Cu14038 6026</t>
  </si>
  <si>
    <t>FNB OB Pmt FNB OB 000000475 Cu1 Cu12528 6035</t>
  </si>
  <si>
    <t>Outward Swift R025Tjd2C0 Cu16381 5801</t>
  </si>
  <si>
    <t>Outward Swift R025Tjd7M0 Cu16381 6024</t>
  </si>
  <si>
    <t>FNB OB Pmt FNB OB 000000476 Cu1 Cu16337 6044</t>
  </si>
  <si>
    <t>FNB OB Pmt FNB OB 000000477 Cu1 Cu14038 6048</t>
  </si>
  <si>
    <t>FNB OB Pmt FNB OB 000000478 Cu1 Cu14038 6062</t>
  </si>
  <si>
    <t>FNB OB Pmt FNB OB 000000479 Cu1 Cu12528 6050</t>
  </si>
  <si>
    <t>FNB OB Pmt FNB OB 000000480 Cu1 Cu12832 6051</t>
  </si>
  <si>
    <t>FNB OB Trf FNB OB Trf 000000481 Inv090525</t>
  </si>
  <si>
    <t>Int-Banking Pmt Frm Cu18035</t>
  </si>
  <si>
    <t>Cu18035</t>
  </si>
  <si>
    <t>Int-Banking Pmt Frm Cu17791</t>
  </si>
  <si>
    <t>Cu17791</t>
  </si>
  <si>
    <t>Int-Banking Pmt Frm Cu18690</t>
  </si>
  <si>
    <t>Cu18690</t>
  </si>
  <si>
    <t>FNB OB Pmt FNB OB 000000482 Ib Ib Retainer</t>
  </si>
  <si>
    <t>FNB OB Pmt FNB OB 000000483 Cu1 Cu14038 6080</t>
  </si>
  <si>
    <t>FNB OB Pmt FNB OB 000000484 Cu1 Cu11427 6096</t>
  </si>
  <si>
    <t>FNB OB Pmt FNB OB 000000485 Cu1 Cu14038 6086</t>
  </si>
  <si>
    <t>FNB OB Pmt FNB OB 000000486 Cu1 Cu14038 6100</t>
  </si>
  <si>
    <t>FNB OB Pmt FNB OB 000000487 Cu1 Cu14216 6112</t>
  </si>
  <si>
    <t>FNB OB Pmt FNB OB 000000488 Cu1 Cu17239 6137</t>
  </si>
  <si>
    <t>Int-Banking Pmt Frm Cu14540</t>
  </si>
  <si>
    <t>Cu14540</t>
  </si>
  <si>
    <t>FNB OB Pmt FNB OB 000000489 Cu1 Cu10258 6143</t>
  </si>
  <si>
    <t>FNB OB Pmt FNB OB 000000490 Cu1 Cu16822 6195</t>
  </si>
  <si>
    <t>FNB OB Pmt FNB OB 000000495 Cu1 Cu11427 6257</t>
  </si>
  <si>
    <t>FNB OB Pmt FNB OB 000000496 Cu1 Cu10745 6261</t>
  </si>
  <si>
    <t>FNB OB Pmt FNB OB 000000497 Cu1 Cu13893 6288</t>
  </si>
  <si>
    <t>Payment Cr Flash Mobile Vending</t>
  </si>
  <si>
    <t>Int-Banking Pmt Frm Cu18796</t>
  </si>
  <si>
    <t>Cu18796</t>
  </si>
  <si>
    <t>Int-Banking Pmt Frm Cu18840</t>
  </si>
  <si>
    <t>Cu18840</t>
  </si>
  <si>
    <t>FNB OB Pmt FNB OB 000000491 Cu1 Cu11898 6207</t>
  </si>
  <si>
    <t>FNB OB Pmt FNB OB 000000494 Cu1 Cu10502 6224</t>
  </si>
  <si>
    <t>FNB OB Pmt FNB OB 000000492 Cu1 Cu14011 6210</t>
  </si>
  <si>
    <t>FNB OB Pmt FNB OB 000000493 Cu1 Cu11427 6215</t>
  </si>
  <si>
    <t>Int-Banking Pmt Frm Cu18680</t>
  </si>
  <si>
    <t>Cu18680</t>
  </si>
  <si>
    <t>Int-Banking Pmt Frm Cu18841</t>
  </si>
  <si>
    <t>Cu18841</t>
  </si>
  <si>
    <t>FNB OB Pmt FNB OB 000000498 Cu1 Cu18459 6362</t>
  </si>
  <si>
    <t>FNB OB Pmt FNB OB 000000499 Cu1 Cu16924 6364</t>
  </si>
  <si>
    <t>FNB OB Pmt FNB OB 000000500 Cu1 Cu18841 6376</t>
  </si>
  <si>
    <t>2025-08</t>
  </si>
  <si>
    <t>10</t>
  </si>
  <si>
    <t>GOLD BUSINESS ACCOUNT 10.pdf</t>
  </si>
  <si>
    <t>FNB OB Trf FNB OB Trf 000001514 Internal Transfer</t>
  </si>
  <si>
    <t>FNB OB Trf FNB OB Trf 000001515 Luxe Internal</t>
  </si>
  <si>
    <t>Int-Banking Pmt Frm Cu24868</t>
  </si>
  <si>
    <t>Cu24868</t>
  </si>
  <si>
    <t>Int-Banking Pmt Frm Cu11257</t>
  </si>
  <si>
    <t>Cu11257</t>
  </si>
  <si>
    <t>FNB OB Pmt FNB OB 000001516 Cu1 Cu12183 12227</t>
  </si>
  <si>
    <t>FNB OB Pmt FNB OB 000001517 Cu1 Cu16337 12352</t>
  </si>
  <si>
    <t>FNB OB Pmt FNB OB 000001518 Cu1 Cu11558 12353</t>
  </si>
  <si>
    <t>FNB OB Pmt FNB OB 000001519 Cu2 Cu26098 12354</t>
  </si>
  <si>
    <t>Cu2</t>
  </si>
  <si>
    <t>FNB OB Pmt FNB OB 000001520 Cu2 Cu26229 12362</t>
  </si>
  <si>
    <t>FNB OB Pmt FNB OB 000001521 Cu2 Cu24453 12364</t>
  </si>
  <si>
    <t>FNB OB Pmt FNB OB 000001522 Cu2 Cu25810 12378</t>
  </si>
  <si>
    <t>FNB OB Pmt FNB OB 000001523 Cu1 Cu18430 12379</t>
  </si>
  <si>
    <t>FNB OB Pmt FNB OB 000001524 Cu1 Cu19983 12383</t>
  </si>
  <si>
    <t>FNB OB Pmt FNB OB 000001525 Cu2 Cu23262 12385</t>
  </si>
  <si>
    <t>FNB OB Pmt FNB OB 000001526 Cu2 Cu20101 12386</t>
  </si>
  <si>
    <t>FNB OB Pmt FNB OB 000001527 Cu1 Cu11454 12391</t>
  </si>
  <si>
    <t>Int-Banking Pmt Frm Cu27156</t>
  </si>
  <si>
    <t>Cu27156</t>
  </si>
  <si>
    <t>Int-Banking Pmt Frm Cu25486</t>
  </si>
  <si>
    <t>Cu25486</t>
  </si>
  <si>
    <t>Payment Cr Netcash021Zapper6994 Zapper69944250801</t>
  </si>
  <si>
    <t>Outward Swift R025Qbjfj0 Cu12165 12162</t>
  </si>
  <si>
    <t>Cu12165</t>
  </si>
  <si>
    <t>Outward Swift R025Qbhll0 Cu20407 12180</t>
  </si>
  <si>
    <t>Cu20407</t>
  </si>
  <si>
    <t>FNB OB Pmt FNB OB 000001528 Cu1 Cu19273 12404</t>
  </si>
  <si>
    <t>FNB OB Pmt FNB OB 000001529 Cu1 Cu18055 12409</t>
  </si>
  <si>
    <t>FNB OB Pmt FNB OB 000001530 Cu2 Cu22664 12416</t>
  </si>
  <si>
    <t>FNB OB Pmt FNB OB 000001531 Cu2 Cu27016 12411</t>
  </si>
  <si>
    <t>FNB OB Pmt FNB OB 000001532 Cu2 Cu24176 12420</t>
  </si>
  <si>
    <t>FNB OB Pmt FNB OB 000001533 Cu2 Cu26374 12421</t>
  </si>
  <si>
    <t>FNB OB Pmt FNB OB 000001534 Cu2 Cu24453 12424</t>
  </si>
  <si>
    <t>FNB OB Pmt FNB OB 000001535 Cu2 Cu26338 12425</t>
  </si>
  <si>
    <t>FNB OB Pmt FNB OB 000001536 Cu2 Cu21354 12426</t>
  </si>
  <si>
    <t>FNB OB Pmt FNB OB 000001537 Cu1 Cu15283 12436</t>
  </si>
  <si>
    <t>FNB OB Pmt FNB OB 000001538 Cu2 Cu21433 12437</t>
  </si>
  <si>
    <t>FNB OB Pmt FNB OB 000001539 Cu1 Cu18430 12444</t>
  </si>
  <si>
    <t>FNB OB Pmt FNB OB 000001540 Cu1 Cu10933 12445</t>
  </si>
  <si>
    <t>Int-Banking Pmt Frm Cu10134</t>
  </si>
  <si>
    <t>Cu10134</t>
  </si>
  <si>
    <t>FNB OB Pmt FNB OB 000001541 Cu2 Cu22688 12427</t>
  </si>
  <si>
    <t>FNB OB Pmt FNB OB 000001542 Cu2 Cu24465 12447</t>
  </si>
  <si>
    <t>FNB OB Pmt FNB OB 000001543 Cu1 Cu12203 12452</t>
  </si>
  <si>
    <t>FNB OB Pmt FNB OB 000001544 Cu2 Cu20463 12453</t>
  </si>
  <si>
    <t>FNB OB Pmt FNB OB 000001545 Cu2 Cu25164 12466</t>
  </si>
  <si>
    <t>FNB OB Pmt FNB OB 000001546 Cu1 Cu11292 12469</t>
  </si>
  <si>
    <t>FNB OB Pmt FNB OB 000001547 Cu2 Cu24868 12472</t>
  </si>
  <si>
    <t>FNB OB Pmt FNB OB 000001548 Cu2 Cu25403 12474</t>
  </si>
  <si>
    <t>FNB OB Pmt FNB OB 000001549 Cu1 Cu11802 12483</t>
  </si>
  <si>
    <t>FNB OB Pmt FNB OB 000001550 Cu2 Cu24453 12435</t>
  </si>
  <si>
    <t>FNB OB Pmt FNB OB 000001551 Cu1 Cu11257 12471</t>
  </si>
  <si>
    <t>FNB OB Pmt FNB OB 000001552 Cu2 Cu21522 12486</t>
  </si>
  <si>
    <t>FNB OB Pmt FNB OB 000001553 Cu1 Cu11174 12488</t>
  </si>
  <si>
    <t>FNB OB Pmt FNB OB 000001554 Cu1 Cu10224 12493</t>
  </si>
  <si>
    <t>FNB OB Pmt FNB OB 000001555 Cu2 Cu21029 12523</t>
  </si>
  <si>
    <t>FNB OB Pmt FNB OB 000001556 Cu1 Cu18113 12527</t>
  </si>
  <si>
    <t>FNB OB Pmt FNB OB 000001557 Cu1 Cu12560 12534</t>
  </si>
  <si>
    <t>FNB OB Pmt FNB OB 000001558 Cu1 Cu11238 12539</t>
  </si>
  <si>
    <t>Int-Banking Pmt Frm Cu26810</t>
  </si>
  <si>
    <t>Cu26810</t>
  </si>
  <si>
    <t>FNB OB Pmt FNB OB 000001503 Cu1 Cu16337 12324</t>
  </si>
  <si>
    <t>FNB OB Pmt FNB OB 000001498 Cu2 Cu26962 12314</t>
  </si>
  <si>
    <t>FNB OB Pmt FNB OB 000001500 Cu2 Cu26540 12318</t>
  </si>
  <si>
    <t>FNB OB Pmt FNB OB 000001505 Cu1 Cu17033 12326</t>
  </si>
  <si>
    <t>FNB OB Pmt FNB OB 000001506 Cu2 Cu22844 12330</t>
  </si>
  <si>
    <t>FNB OB Pmt FNB OB 000001501 Cu2 Cu21567 12319</t>
  </si>
  <si>
    <t>FNB OB Pmt FNB OB 000001504 Cu1 Cu11418 12325</t>
  </si>
  <si>
    <t>FNB OB Pmt FNB OB 000001508 Cu1 Cu19781 12350</t>
  </si>
  <si>
    <t>FNB OB Pmt FNB OB 000001509 Cu2 Cu25191 12351</t>
  </si>
  <si>
    <t>FNB OB Pmt FNB OB 000001513 Cu1 Cu14038 12361</t>
  </si>
  <si>
    <t>FNB OB Pmt FNB OB 000001502 Cu2 Cu25755 12320</t>
  </si>
  <si>
    <t>FNB OB Pmt FNB OB 000001507 Cu1 Cu19224 12335</t>
  </si>
  <si>
    <t>FNB OB Pmt FNB OB 000001510 Cu2 Cu26281 12356</t>
  </si>
  <si>
    <t>FNB OB Pmt FNB OB 000001499 Cu1 Cu13745 12316</t>
  </si>
  <si>
    <t>FNB OB Pmt FNB OB 000001511 Cu1 Cu17226 12358</t>
  </si>
  <si>
    <t>FNB OB Pmt FNB OB 000001512 Cu2 Cu22775 12359</t>
  </si>
  <si>
    <t>FNB OB Pmt FNB OB 000001496 Cu1 Cu14638 12308</t>
  </si>
  <si>
    <t>FNB OB Pmt FNB OB 000001497 Cu1 Cu18113 12310</t>
  </si>
  <si>
    <t>Magtape Credit ABSA Bank Cu26087</t>
  </si>
  <si>
    <t>Cu26087</t>
  </si>
  <si>
    <t>Magtape Credit Cu26559</t>
  </si>
  <si>
    <t>Cu26559</t>
  </si>
  <si>
    <t>Magtape Credit Cu11716</t>
  </si>
  <si>
    <t>Cu11716</t>
  </si>
  <si>
    <t>Magtape Credit ABSA Bank Cu17810</t>
  </si>
  <si>
    <t>Cu17810</t>
  </si>
  <si>
    <t>Magtape Credit Cu24761</t>
  </si>
  <si>
    <t>Cu24761</t>
  </si>
  <si>
    <t>Magtape Credit Cu17894</t>
  </si>
  <si>
    <t>Cu17894</t>
  </si>
  <si>
    <t>Magtape Credit ABSA Bank Cu26389</t>
  </si>
  <si>
    <t>Cu26389</t>
  </si>
  <si>
    <t>Magtape Credit ABSA Bank Cu18748</t>
  </si>
  <si>
    <t>Cu18748</t>
  </si>
  <si>
    <t>Magtape Credit Cu12853</t>
  </si>
  <si>
    <t>Cu12853</t>
  </si>
  <si>
    <t>Magtape Credit Cu25589</t>
  </si>
  <si>
    <t>Cu25589</t>
  </si>
  <si>
    <t>Magtape Credit Cu12016</t>
  </si>
  <si>
    <t>Cu12016</t>
  </si>
  <si>
    <t>Magtape Credit Cu27016</t>
  </si>
  <si>
    <t>Cu27016</t>
  </si>
  <si>
    <t>Magtape Credit Cu27162</t>
  </si>
  <si>
    <t>Cu27162</t>
  </si>
  <si>
    <t>FNB OB Trf FNB OB Trf 000001559 Inter020825</t>
  </si>
  <si>
    <t>Int-Banking Pmt Frm Cu26659</t>
  </si>
  <si>
    <t>Cu26659</t>
  </si>
  <si>
    <t>Magtape Credit Cu27180</t>
  </si>
  <si>
    <t>Cu27180</t>
  </si>
  <si>
    <t>Magtape Credit Cu26105</t>
  </si>
  <si>
    <t>Cu26105</t>
  </si>
  <si>
    <t>Magtape Credit ABSA Bank Cu24548</t>
  </si>
  <si>
    <t>Cu24548</t>
  </si>
  <si>
    <t>FNB OB Pmt FNB OB 000001560 Cu1 Cu10264 12490</t>
  </si>
  <si>
    <t>FNB OB Pmt FNB OB 000001561 Cu1 Cu11217 12549</t>
  </si>
  <si>
    <t>FNB OB Pmt FNB OB 000001562 Cu2 Cu22215 12558</t>
  </si>
  <si>
    <t>FNB OB Pmt FNB OB 000001563 Cu2 Cu23692 12559</t>
  </si>
  <si>
    <t>FNB OB Pmt FNB OB 000001564 Cu2 Cu25191 12560</t>
  </si>
  <si>
    <t>FNB OB Pmt FNB OB 000001565 Cu2 Cu25626 12561</t>
  </si>
  <si>
    <t>FNB OB Pmt FNB OB 000001566 Cu2 Cu24209 12566</t>
  </si>
  <si>
    <t>FNB OB Pmt FNB OB 000001567 Cu2 Cu20101 12551</t>
  </si>
  <si>
    <t>FNB OB Pmt FNB OB 000001568 Cu2 Cu25550 12603</t>
  </si>
  <si>
    <t>FNB OB Pmt FNB OB 000001569 Cu2 Cu21064 12607</t>
  </si>
  <si>
    <t>FNB OB Pmt FNB OB 000001570 Cu2 Cu25679 12609</t>
  </si>
  <si>
    <t>FNB OB Pmt FNB OB 000001571 Cu2 Cu21494 12614</t>
  </si>
  <si>
    <t>FNB OB Pmt FNB OB 000001572 Cu1 Cu10135 12623</t>
  </si>
  <si>
    <t>FNB OB Pmt FNB OB 000001573 Cu2 Cu25141 12645</t>
  </si>
  <si>
    <t>FNB OB Pmt FNB OB 000001574 Cu1 Cu19640 12442</t>
  </si>
  <si>
    <t>FNB OB Pmt FNB OB 000001575 Cu2 Cu21064 12607</t>
  </si>
  <si>
    <t>Int-Banking Pmt Frm Cu25656</t>
  </si>
  <si>
    <t>Cu25656</t>
  </si>
  <si>
    <t>Int-Banking Pmt Frm Cu24623</t>
  </si>
  <si>
    <t>Cu24623</t>
  </si>
  <si>
    <t>Int-Banking Pmt Frm Cu26649</t>
  </si>
  <si>
    <t>Cu26649</t>
  </si>
  <si>
    <t>Int-Banking Pmt Frm Cu25560</t>
  </si>
  <si>
    <t>Cu25560</t>
  </si>
  <si>
    <t>Int-Banking Pmt Frm Cu27009</t>
  </si>
  <si>
    <t>Cu27009</t>
  </si>
  <si>
    <t>Payment Cr Netcash021Zapper6994 Zapper69944250804</t>
  </si>
  <si>
    <t>FNB OB Pmt FNB OB 000001576 Cu1 Cu12702 12543</t>
  </si>
  <si>
    <t>FNB OB Pmt FNB OB 000001577 Cu2 Cu24410 12463</t>
  </si>
  <si>
    <t>FNB OB Pmt FNB OB 000001578 Cu1 Cu15283 12547</t>
  </si>
  <si>
    <t>FNB OB Pmt FNB OB 000001579 Cu2 Cu20101 12414</t>
  </si>
  <si>
    <t>FNB OB Pmt FNB OB 000001580 Cu2 Cu21190 12579</t>
  </si>
  <si>
    <t>FNB OB Pmt FNB OB 000001581 Cu1 Cu12381 12586</t>
  </si>
  <si>
    <t>FNB OB Pmt FNB OB 000001582 Cu1 Cu12811 12597</t>
  </si>
  <si>
    <t>FNB OB Trf FNB OB Trf 000001583 Luxe Internal</t>
  </si>
  <si>
    <t>FNB OB Trf FNB OB Trf 000001584 Luxe Internal</t>
  </si>
  <si>
    <t>FNB OB Pmt FNB OB 000001585 Cu2 Cu24734 12618</t>
  </si>
  <si>
    <t>FNB OB Pmt FNB OB 000001586 Cu1 Cu13481 12631</t>
  </si>
  <si>
    <t>FNB OB Pmt FNB OB 000001587 Cu2 Cu25582 12321</t>
  </si>
  <si>
    <t>FNB OB Pmt FNB OB 000001588 Cu1 Cu15149 12621</t>
  </si>
  <si>
    <t>FNB OB Pmt FNB OB 000001589 Cu1 Cu11068 12649</t>
  </si>
  <si>
    <t>FNB OB Pmt FNB OB 000001590 Cu2 Cu21678 12658</t>
  </si>
  <si>
    <t>FNB OB Pmt FNB OB 000001591 Cu2 Cu25582 12670</t>
  </si>
  <si>
    <t>FNB OB Pmt FNB OB 000001592 Cu1 Cu17903 12676</t>
  </si>
  <si>
    <t>FNB OB Pmt FNB OB 000001593 Cu2 Cu26941 12696</t>
  </si>
  <si>
    <t>FNB OB Pmt FNB OB 000001594 Cu1 Cu15872 12717</t>
  </si>
  <si>
    <t>FNB OB Pmt FNB OB 000001595 Cu1 Cu11633 12720</t>
  </si>
  <si>
    <t>FNB OB Pmt FNB OB 000001596 Cu2 Cu27156 12736</t>
  </si>
  <si>
    <t>FNB OB Pmt FNB OB 000001597 Cu2 Cu27143 12755</t>
  </si>
  <si>
    <t>FNB OB Pmt FNB OB 000001598 Cu1 Cu17538 12763</t>
  </si>
  <si>
    <t>FNB OB Pmt FNB OB 000001599 Cu2 Cu25191 12764</t>
  </si>
  <si>
    <t>FNB OB Pmt FNB OB 000001600 Cu1 Cu18113 12769</t>
  </si>
  <si>
    <t>Int-Banking Pmt Frm Cu24762</t>
  </si>
  <si>
    <t>Cu24762</t>
  </si>
  <si>
    <t>Int-Banking Pmt Frm Cu20787</t>
  </si>
  <si>
    <t>Cu20787</t>
  </si>
  <si>
    <t>FNB OB Pmt FNB OB 000001601 Cu2 Cu22775 12608</t>
  </si>
  <si>
    <t>FNB OB Pmt FNB OB 000001603 Cu1 Cu11244 12776</t>
  </si>
  <si>
    <t>FNB OB Pmt FNB OB 000001604 Cu2 Cu27035 12792</t>
  </si>
  <si>
    <t>FNB OB Pmt FNB OB 000001605 Cu2 Cu22879 12795</t>
  </si>
  <si>
    <t>Magtape Credit Cu10769</t>
  </si>
  <si>
    <t>Cu10769</t>
  </si>
  <si>
    <t>Magtape Credit Cu15797</t>
  </si>
  <si>
    <t>Cu15797</t>
  </si>
  <si>
    <t>Magtape Credit Cu10188</t>
  </si>
  <si>
    <t>Cu10188</t>
  </si>
  <si>
    <t>Magtape Credit Cu25831</t>
  </si>
  <si>
    <t>Cu25831</t>
  </si>
  <si>
    <t>Magtape Credit Cu24540</t>
  </si>
  <si>
    <t>Cu24540</t>
  </si>
  <si>
    <t>Magtape Credit Ozow Slu87V7Nl5B6B1Bd1</t>
  </si>
  <si>
    <t>Magtape Credit Ozow Slu8817Jv678B55Fe</t>
  </si>
  <si>
    <t>Magtape Credit Ozow Slu8828T09E8488C0</t>
  </si>
  <si>
    <t>FNB OB Trf FNB OB Trf 000001606 Luxe Internal</t>
  </si>
  <si>
    <t>FNB OB Pmt FNB OB 000001607 Cu2 Cu26638 12756</t>
  </si>
  <si>
    <t>FNB OB Pmt FNB OB 000001608 Cu2 Cu25545 12761</t>
  </si>
  <si>
    <t>FNB OB Pmt FNB OB 000001609 Cu2 Cu26971 12790</t>
  </si>
  <si>
    <t>FNB OB Pmt FNB OB 000001610 Cu1 Cu10188 12798</t>
  </si>
  <si>
    <t>Int-Banking Pmt Frm Cu27289</t>
  </si>
  <si>
    <t>Cu27289</t>
  </si>
  <si>
    <t>FNB OB Trf FNB OB Trf 000001611 Inter05082025</t>
  </si>
  <si>
    <t>Payment Cr Netcash021Zapper6994 Zapper69944250805</t>
  </si>
  <si>
    <t>FNB OB Pmt FNB OB 000001612 Cu2 Cu26553 12799</t>
  </si>
  <si>
    <t>FNB OB Pmt FNB OB 000001613 Cu1 Cu11257 12802</t>
  </si>
  <si>
    <t>FNB OB Pmt FNB OB 000001614 Cu1 Cu17806 12803</t>
  </si>
  <si>
    <t>FNB OB Pmt FNB OB 000001615 Cu2 Cu22738 12817</t>
  </si>
  <si>
    <t>FNB OB Pmt FNB OB 000001616 Cu1 Cu10602 12819</t>
  </si>
  <si>
    <t>FNB OB Pmt FNB OB 000001617 Cu2 Cu20262 12820</t>
  </si>
  <si>
    <t>FNB OB Pmt FNB OB 000001618 Cu1 Cu12103 12833</t>
  </si>
  <si>
    <t>FNB OB Pmt FNB OB 000001619 Cu2 Cu25292 12842</t>
  </si>
  <si>
    <t>FNB OB Pmt FNB OB 000001620 Cu2 Cu26383 12849</t>
  </si>
  <si>
    <t>FNB OB Pmt FNB OB 000001621 Cu1 Cu12560 12857</t>
  </si>
  <si>
    <t>FNB OB Pmt FNB OB 000001622 Cu2 Cu24782 12865</t>
  </si>
  <si>
    <t>FNB OB Pmt FNB OB 000001623 Cu2 Cu26789 12870</t>
  </si>
  <si>
    <t>FNB OB Pmt FNB OB 000001624 Cu2 Cu26631 12871</t>
  </si>
  <si>
    <t>FNB OB Pmt FNB OB 000001625 Cu2 Cu24820 12878</t>
  </si>
  <si>
    <t>FNB OB Pmt FNB OB 000001626 Cu1 Cu18065 12886</t>
  </si>
  <si>
    <t>FNB OB Pmt FNB OB 000001627 Cu2 Cu24282 12903</t>
  </si>
  <si>
    <t>FNB OB Pmt FNB OB 000001628 Cu2 Cu21354 12691</t>
  </si>
  <si>
    <t>FNB OB Pmt FNB OB 000001629 Cu1 Cu15041 12205</t>
  </si>
  <si>
    <t>FNB OB Pmt FNB OB 000001630 Cu1 Cu15247 12412</t>
  </si>
  <si>
    <t>FNB OB Pmt FNB OB 000001631 Cu1 Cu15294 12415</t>
  </si>
  <si>
    <t>FNB OB Pmt FNB OB 000001632 Cu1 Cu15171 12691</t>
  </si>
  <si>
    <t>FNB OB Pmt FNB OB 000001633 Cu1 Cu11419 12185</t>
  </si>
  <si>
    <t>FNB OB Trf FNB OB Trf 000001634 Luxe Internal</t>
  </si>
  <si>
    <t>FNB OB Trf FNB OB Trf 000001635 Internal Transfer</t>
  </si>
  <si>
    <t>Outward Swift R025Q373V0 Cu19511 12398</t>
  </si>
  <si>
    <t>Cu19511</t>
  </si>
  <si>
    <t>Magtape Credit Cu23774</t>
  </si>
  <si>
    <t>Cu23774</t>
  </si>
  <si>
    <t>Magtape Credit Cu11530</t>
  </si>
  <si>
    <t>Cu11530</t>
  </si>
  <si>
    <t>Magtape Credit Cu10699</t>
  </si>
  <si>
    <t>Cu10699</t>
  </si>
  <si>
    <t>Magtape Credit Cu16660</t>
  </si>
  <si>
    <t>Cu16660</t>
  </si>
  <si>
    <t>Magtape Credit Ozow Slu884711B767E61A</t>
  </si>
  <si>
    <t>FNB OB Trf FNB OB Trf 000001646 Luxe Internal</t>
  </si>
  <si>
    <t>Int-Banking Pmt Frm Cu19499</t>
  </si>
  <si>
    <t>Cu19499</t>
  </si>
  <si>
    <t>Int-Banking Pmt Frm Cu22897</t>
  </si>
  <si>
    <t>Cu22897</t>
  </si>
  <si>
    <t>Int-Banking Pmt Frm Cu25978</t>
  </si>
  <si>
    <t>Cu25978</t>
  </si>
  <si>
    <t>Int-Banking Pmt Frm Cu24769</t>
  </si>
  <si>
    <t>Cu24769</t>
  </si>
  <si>
    <t>Payment Cr Netcash021Zapper6994 Zapper69944250806</t>
  </si>
  <si>
    <t>FNB OB Pmt FNB OB 000001647 Cu1 Cu10217</t>
  </si>
  <si>
    <t>Int-Banking Pmt Frm Cu26799</t>
  </si>
  <si>
    <t>Cu26799</t>
  </si>
  <si>
    <t>Int-Banking Pmt Frm Cu25661</t>
  </si>
  <si>
    <t>Cu25661</t>
  </si>
  <si>
    <t>FNB OB Pmt FNB OB 000001648 Cu2 Cu26644 12869</t>
  </si>
  <si>
    <t>FNB OB Pmt FNB OB 000001649 Cu1 Cu15868 12889</t>
  </si>
  <si>
    <t>FNB OB Pmt FNB OB 000001650 Cu2 Cu22029 12923</t>
  </si>
  <si>
    <t>FNB OB Pmt FNB OB 000001651 Cu2 Cu26797 12954</t>
  </si>
  <si>
    <t>FNB OB Pmt FNB OB 000001652 Cu1 Cu17903 12969</t>
  </si>
  <si>
    <t>FNB OB Pmt FNB OB 000001653 Cu2 Cu22775 12977</t>
  </si>
  <si>
    <t>FNB OB Pmt FNB OB 000001654 Cu1 Cu10487 12989</t>
  </si>
  <si>
    <t>FNB OB Pmt FNB OB 000001655 Cu2 Cu26749 12997</t>
  </si>
  <si>
    <t>FNB OB Pmt FNB OB 000001656 Cu2 Cu22829 13001</t>
  </si>
  <si>
    <t>FNB OB Pmt FNB OB 000001657 Cu2 Cu26861 13006</t>
  </si>
  <si>
    <t>FNB OB Pmt FNB OB 000001658 Cu2 Cu21223 13011</t>
  </si>
  <si>
    <t>FNB OB Pmt FNB OB 000001659 Cu2 Cu25403 13015</t>
  </si>
  <si>
    <t>FNB OB Pmt FNB OB 000001660 Cu1 Cu17810 13018</t>
  </si>
  <si>
    <t>FNB OB Pmt FNB OB 000001661 Cu2 Cu26322 13020</t>
  </si>
  <si>
    <t>FNB OB Pmt FNB OB 000001662 Cu1 Cu11872 13024</t>
  </si>
  <si>
    <t>Outward Swift R025Q5Pt10 Cu21035 12713</t>
  </si>
  <si>
    <t>Cu21035</t>
  </si>
  <si>
    <t>Outward Swift R025Q5Pnr0 Cu24277 12749</t>
  </si>
  <si>
    <t>Cu24277</t>
  </si>
  <si>
    <t>FNB OB Pmt FNB OB 000001663 Cu1 Cu10699 12826</t>
  </si>
  <si>
    <t>FNB OB Pmt FNB OB 000001664 Cu1 Cu16079 13033</t>
  </si>
  <si>
    <t>FNB OB Pmt FNB OB 000001665 Cu2 Cu25582 13031</t>
  </si>
  <si>
    <t>FNB OB Trf FNB OB Trf 000001666 Luxe Internal</t>
  </si>
  <si>
    <t>FNB OB Trf FNB OB Trf 000001667 Luxe Internal</t>
  </si>
  <si>
    <t>FNB OB Pmt FNB OB 000001639 Cu1 Cu10139 12926</t>
  </si>
  <si>
    <t>FNB OB Pmt FNB OB 000001637 Cu1 Cu10139 12919</t>
  </si>
  <si>
    <t>FNB OB Pmt FNB OB 000001642 Cu2 Cu22303 12932</t>
  </si>
  <si>
    <t>FNB OB Pmt FNB OB 000001643 Cu1 Cu18785 12940</t>
  </si>
  <si>
    <t>FNB OB Pmt FNB OB 000001636 Cu2 Cu27261 12918</t>
  </si>
  <si>
    <t>FNB OB Pmt FNB OB 000001644 Cu1 Cu13241 12951</t>
  </si>
  <si>
    <t>FNB OB Pmt FNB OB 000001645 Cu2 Cu21151 12952</t>
  </si>
  <si>
    <t>FNB OB Pmt FNB OB 000001638 Cu2 Cu22879 12921</t>
  </si>
  <si>
    <t>FNB OB Pmt FNB OB 000001641 Cu2 Cu27098 12929</t>
  </si>
  <si>
    <t>FNB OB Pmt FNB OB 000001640 Cu2 Cu26971 12928</t>
  </si>
  <si>
    <t>Magtape Credit Cu26088</t>
  </si>
  <si>
    <t>Cu26088</t>
  </si>
  <si>
    <t>Magtape Credit Cu26004</t>
  </si>
  <si>
    <t>Cu26004</t>
  </si>
  <si>
    <t>Magtape Credit Cu24937</t>
  </si>
  <si>
    <t>Cu24937</t>
  </si>
  <si>
    <t>Magtape Credit Cu26511</t>
  </si>
  <si>
    <t>Cu26511</t>
  </si>
  <si>
    <t>Magtape Credit ABSA Bank Cu18631</t>
  </si>
  <si>
    <t>Cu18631</t>
  </si>
  <si>
    <t>Magtape Credit Ozow Slu8857Fceb33CC62</t>
  </si>
  <si>
    <t>FNB OB Pmt FNB OB 000001677 Cu2 Cu21354</t>
  </si>
  <si>
    <t>FNB OB Pmt FNB OB 000001678 Cu1 Cu19909 12994</t>
  </si>
  <si>
    <t>FNB OB Pmt FNB OB 000001679 Cu1 Cu14038 13052</t>
  </si>
  <si>
    <t>FNB OB Pmt FNB OB 000001680 Cu2 Cu27081 13075</t>
  </si>
  <si>
    <t>FNB OB Pmt FNB OB 000001681 Cu1 Cu18262 13077</t>
  </si>
  <si>
    <t>FNB OB Pmt FNB OB 000001682 Cu1 Cu11217 12575</t>
  </si>
  <si>
    <t>FNB OB Pmt FNB OB 000001683 Cu1 Cu13317 13083</t>
  </si>
  <si>
    <t>FNB OB Pmt FNB OB 000001684 Cu2 Cu27008 13098</t>
  </si>
  <si>
    <t>FNB OB Pmt FNB OB 000001685 Cu1 Cu18564 12981</t>
  </si>
  <si>
    <t>Outward Swift R025Q6Mgv0 Cu21035 12760</t>
  </si>
  <si>
    <t>Payment Cr Netcash021Zapper6994 Zapper69944250807</t>
  </si>
  <si>
    <t>FNB App Payment From Hineley</t>
  </si>
  <si>
    <t>FNB OB Pmt FNB OB 000001686 Cu1 Cu10597 12874</t>
  </si>
  <si>
    <t>FNB OB Pmt FNB OB 000001687 Cu2 Cu27311 13082</t>
  </si>
  <si>
    <t>FNB OB Pmt FNB OB 000001688 Cu1 Cu12811 13100</t>
  </si>
  <si>
    <t>FNB OB Pmt FNB OB 000001689 Cu2 Cu21494 13105</t>
  </si>
  <si>
    <t>FNB OB Pmt FNB OB 000001690 Cu2 Cu25418 13120</t>
  </si>
  <si>
    <t>FNB OB Pmt FNB OB 000001691 Cu1 Cu11238 13121</t>
  </si>
  <si>
    <t>FNB OB Pmt FNB OB 000001692 Cu2 Cu26578 13122</t>
  </si>
  <si>
    <t>FNB OB Pmt FNB OB 000001693 Cu2 Cu23568 13123</t>
  </si>
  <si>
    <t>FNB OB Pmt FNB OB 000001694 Cu2 Cu25800 13127</t>
  </si>
  <si>
    <t>FNB OB Pmt FNB OB 000001695 Cu2 Cu25806 13126</t>
  </si>
  <si>
    <t>FNB OB Pmt FNB OB 000001696 Cu2 Cu20506 13129</t>
  </si>
  <si>
    <t>FNB OB Trf FNB OB Trf 000001697 Luxe Internal</t>
  </si>
  <si>
    <t>Outward Swift R025Q659H0 Cu22815 12999</t>
  </si>
  <si>
    <t>Cu22815</t>
  </si>
  <si>
    <t>Outward Swift R025Q66Ww0 Cu27009 13004</t>
  </si>
  <si>
    <t>Outward Swift R025Q66Tz0 Cu10555 12971</t>
  </si>
  <si>
    <t>Cu10555</t>
  </si>
  <si>
    <t>FNB OB Pmt FNB OB 000001698 Cu2 Cu26821 13136</t>
  </si>
  <si>
    <t>FNB OB Pmt FNB OB 000001700 Cu2 Cu22909 13147</t>
  </si>
  <si>
    <t>FNB OB Pmt FNB OB 000001701 Cu1 Cu18065 13148</t>
  </si>
  <si>
    <t>FNB OB Pmt FNB OB 000001702 Cu1 Cu12103 12833</t>
  </si>
  <si>
    <t>FNB OB Pmt FNB OB 000001703 Cu2 Cu25663 13150</t>
  </si>
  <si>
    <t>FNB OB Pmt FNB OB 000001704 Cu2 Cu22215 13152</t>
  </si>
  <si>
    <t>FNB OB Pmt FNB OB 000001705 Cu2 Cu22968 13156</t>
  </si>
  <si>
    <t>FNB OB Pmt FNB OB 000001706 Cu2 Cu20494 13158</t>
  </si>
  <si>
    <t>FNB OB Pmt FNB OB 000001707 Cu2 Cu27146 13167</t>
  </si>
  <si>
    <t>FNB OB Pmt FNB OB 000001708 Cu1 Cu12103 13168</t>
  </si>
  <si>
    <t>FNB OB Pmt FNB OB 000001709 Cu1 Cu18065 13171</t>
  </si>
  <si>
    <t>FNB OB Pmt FNB OB 000001710 Cu1 Cu17117 12815</t>
  </si>
  <si>
    <t>FNB OB Pmt FNB OB 000001711 Cu1 Cu15551 12478</t>
  </si>
  <si>
    <t>FNB OB Pmt FNB OB 000001712 Cu1 Cu12437 13173</t>
  </si>
  <si>
    <t>FNB OB Trf FNB OB Trf 000001668 Internal060825</t>
  </si>
  <si>
    <t>FNB OB Pmt FNB OB 000001674 Cu1 Cu10516 13065</t>
  </si>
  <si>
    <t>FNB OB Pmt FNB OB 000001669 Cu2 Cu23666 13048</t>
  </si>
  <si>
    <t>FNB OB Pmt FNB OB 000001670 Cu2 Cu26941 13055</t>
  </si>
  <si>
    <t>FNB OB Pmt FNB OB 000001671 Cu2 Cu26941 13055</t>
  </si>
  <si>
    <t>FNB OB Pmt FNB OB 000001675 Cu2 Cu24744 13066</t>
  </si>
  <si>
    <t>FNB OB Pmt FNB OB 000001672 Cu1 Cu17905 13060</t>
  </si>
  <si>
    <t>FNB OB Pmt FNB OB 000001673 Cu1 Cu19420 13059</t>
  </si>
  <si>
    <t>FNB OB Pmt FNB OB 000001676 Cu1 Cu10917 13074</t>
  </si>
  <si>
    <t>Magtape Credit Cu24331</t>
  </si>
  <si>
    <t>Cu24331</t>
  </si>
  <si>
    <t>Magtape Credit Cu10618</t>
  </si>
  <si>
    <t>Cu10618</t>
  </si>
  <si>
    <t>Magtape Credit ABSA Bank Cu13840</t>
  </si>
  <si>
    <t>Cu13840</t>
  </si>
  <si>
    <t>Magtape Credit Cu22894</t>
  </si>
  <si>
    <t>Cu22894</t>
  </si>
  <si>
    <t>Magtape Credit Cu27797</t>
  </si>
  <si>
    <t>Cu27797</t>
  </si>
  <si>
    <t>Magtape Credit Ozow Slu8868Y529B6D23C</t>
  </si>
  <si>
    <t>FNB OB Pmt FNB OB 000001715 Cu1 Cu12199 13248</t>
  </si>
  <si>
    <t>Outward Swift R025Q7Dv30 Cu18106 13096</t>
  </si>
  <si>
    <t>Cu18106</t>
  </si>
  <si>
    <t>Outward Swift R025Q7D9H0 Cu19690 13140</t>
  </si>
  <si>
    <t>Cu19690</t>
  </si>
  <si>
    <t>FNB OB Pmt FNB OB 000001716 Cu2 Cu27307 13088</t>
  </si>
  <si>
    <t>FNB OB Pmt FNB OB 000001717 Cu2 Cu26822 13128</t>
  </si>
  <si>
    <t>FNB OB Pmt FNB OB 000001718 Cu2 Cu25700 13188</t>
  </si>
  <si>
    <t>FNB OB Pmt FNB OB 000001719 Cu1 Cu18418 13189</t>
  </si>
  <si>
    <t>FNB OB Pmt FNB OB 000001720 Cu1 Cu18708 13149</t>
  </si>
  <si>
    <t>FNB OB Pmt FNB OB 000001721 Cu2 Cu21029 13205</t>
  </si>
  <si>
    <t>FNB OB Pmt FNB OB 000001722 Cu1 Cu19523 13209</t>
  </si>
  <si>
    <t>FNB OB Pmt FNB OB 000001723 Cu2 Cu25990 13224</t>
  </si>
  <si>
    <t>FNB OB Pmt FNB OB 000001724 Cu2 Cu21354 13225</t>
  </si>
  <si>
    <t>FNB OB Pmt FNB OB 000001725 Cu2 Cu26266 13236</t>
  </si>
  <si>
    <t>FNB OB Pmt FNB OB 000001726 Cu1 Cu18065 13250</t>
  </si>
  <si>
    <t>FNB OB Pmt FNB OB 000001727 Cu2 Cu23688 13196</t>
  </si>
  <si>
    <t>Payment Cr Netcash021Zapper6994 Zapper69944250808</t>
  </si>
  <si>
    <t>FNB OB Pmt FNB OB 000001728 Cu1 Cu16569 12141</t>
  </si>
  <si>
    <t>FNB OB Pmt FNB OB 000001729 Cu1 Cu18748 12970</t>
  </si>
  <si>
    <t>FNB OB Pmt FNB OB 000001730 Cu1 Cu15225 12811</t>
  </si>
  <si>
    <t>FNB OB Pmt FNB OB 000001731 Cu1 Cu17535 13106</t>
  </si>
  <si>
    <t>FNB OB Pmt FNB OB 000001732 Cu2 Cu26810 13164</t>
  </si>
  <si>
    <t>FNB OB Pmt FNB OB 000001733 Cu2 Cu20101 13175</t>
  </si>
  <si>
    <t>FNB OB Pmt FNB OB 000001734 Cu1 Cu11923 13181</t>
  </si>
  <si>
    <t>FNB OB Pmt FNB OB 000001735 Cu1 Cu11247 13183</t>
  </si>
  <si>
    <t>FNB App Payment From Avron Solomons</t>
  </si>
  <si>
    <t>FNB OB Pmt FNB OB 000001713 Cu1 Cu15273 12770</t>
  </si>
  <si>
    <t>FNB OB Pmt FNB OB 000001714 Cu1 Cu12199 13039</t>
  </si>
  <si>
    <t>Magtape Credit Cu25835</t>
  </si>
  <si>
    <t>Cu25835</t>
  </si>
  <si>
    <t>Magtape Credit Cu13681</t>
  </si>
  <si>
    <t>Cu13681</t>
  </si>
  <si>
    <t>Magtape Credit Ozow Slu88776G901Dbbe0</t>
  </si>
  <si>
    <t>FNB OB Pmt FNB OB 000001757 Pmt Pmt 09082025</t>
  </si>
  <si>
    <t>FNB OB Trf FNB OB Trf 000001758 Luxe Internal</t>
  </si>
  <si>
    <t>FNB OB Pmt FNB OB 000001759 Cu1 Cu10354 13326</t>
  </si>
  <si>
    <t>FNB OB Pmt FNB OB 000001760 Cu2 Cu27956 13327</t>
  </si>
  <si>
    <t>FNB OB Pmt FNB OB 000001761 Cu1 Cu17226 13332</t>
  </si>
  <si>
    <t>FNB OB Pmt FNB OB 000001762 Cu2 Cu26687 13338</t>
  </si>
  <si>
    <t>FNB OB Pmt FNB OB 000001763 Cu1 Cu11238 13323</t>
  </si>
  <si>
    <t>FNB OB Trf FNB OB Trf 000001764 Internal09082025</t>
  </si>
  <si>
    <t>Int-Banking Pmt Frm Cu25700</t>
  </si>
  <si>
    <t>Cu25700</t>
  </si>
  <si>
    <t>Int-Banking Pmt Frm Cu10660</t>
  </si>
  <si>
    <t>FNB OB Pmt FNB OB 000001765 Cu1 Cu17033 13356</t>
  </si>
  <si>
    <t>FNB OB Pmt FNB OB 000001766 Cu2 Cu25285 13358</t>
  </si>
  <si>
    <t>FNB OB Pmt FNB OB 000001767 Cu2 Cu25212 13370</t>
  </si>
  <si>
    <t>FNB OB Pmt FNB OB 000001768 Cu1 Cu14220 13374</t>
  </si>
  <si>
    <t>FNB OB Pmt FNB OB 000001769 Cu1 Cu18857 13385</t>
  </si>
  <si>
    <t>FNB OB Pmt FNB OB 000001770 Cu2 Cu24176 13393</t>
  </si>
  <si>
    <t>FNB OB Pmt FNB OB 000001771 Cu2 Cu24176 13399</t>
  </si>
  <si>
    <t>FNB OB Pmt FNB OB 000001772 Cu1 Cu19078 13397</t>
  </si>
  <si>
    <t>FNB OB Pmt FNB OB 000001773 Cu1 Cu14666 13404</t>
  </si>
  <si>
    <t>FNB OB Pmt FNB OB 000001774 Cu2 Cu22149 13406</t>
  </si>
  <si>
    <t>FNB OB Pmt FNB OB 000001775 Cu2 Cu27009 13007</t>
  </si>
  <si>
    <t>Payment Cr Netcash021Zapper6994 Zapper69944250811</t>
  </si>
  <si>
    <t>FNB OB Pmt FNB OB 000001776 Cu1 Cu10151 13253</t>
  </si>
  <si>
    <t>FNB OB Pmt FNB OB 000001777 Cu2 Cu27611 13258</t>
  </si>
  <si>
    <t>FNB OB Pmt FNB OB 000001778 Cu2 Cu25212 13370</t>
  </si>
  <si>
    <t>FNB OB Pmt FNB OB 000001779 Cu2 Cu21354 13396</t>
  </si>
  <si>
    <t>FNB OB Pmt FNB OB 000001780 Cu2 Cu25735 13410</t>
  </si>
  <si>
    <t>FNB OB Pmt FNB OB 000001781 Cu2 Cu26986 13422</t>
  </si>
  <si>
    <t>FNB OB Pmt FNB OB 000001782 Cu2 Cu21358 13425</t>
  </si>
  <si>
    <t>FNB OB Pmt FNB OB 000001783 Cu1 Cu15105 13433</t>
  </si>
  <si>
    <t>FNB OB Pmt FNB OB 000001784 Cu1 Cu11914 13435</t>
  </si>
  <si>
    <t>FNB OB Pmt FNB OB 000001785 Cu2 Cu21790 13436</t>
  </si>
  <si>
    <t>FNB OB Pmt FNB OB 000001786 Cu2 Cu22664 13446</t>
  </si>
  <si>
    <t>FNB OB Pmt FNB OB 000001787 Cu2 Cu22353 13455</t>
  </si>
  <si>
    <t>FNB OB Pmt FNB OB 000001788 Cu2 Cu27935 13469</t>
  </si>
  <si>
    <t>FNB OB Pmt FNB OB 000001789 Cu2 Cu23495 13471</t>
  </si>
  <si>
    <t>FNB OB Pmt FNB OB 000001749 Cu2 Cu23224 13298</t>
  </si>
  <si>
    <t>FNB OB Pmt FNB OB 000001744 Cu2 Cu23493 13277</t>
  </si>
  <si>
    <t>FNB OB Pmt FNB OB 000001743 Cu2 Cu27671 13275</t>
  </si>
  <si>
    <t>FNB OB Pmt FNB OB 000001748 Cu2 Cu25196 13294</t>
  </si>
  <si>
    <t>FNB OB Pmt FNB OB 000001746 Cu1 Cu18065 13288</t>
  </si>
  <si>
    <t>FNB OB Pmt FNB OB 000001747 Cu2 Cu25196 13289</t>
  </si>
  <si>
    <t>FNB OB Pmt FNB OB 000001737 Cu1 Cu17226 13262</t>
  </si>
  <si>
    <t>FNB OB Pmt FNB OB 000001741 Cu1 Cu19801 13271</t>
  </si>
  <si>
    <t>FNB OB Pmt FNB OB 000001740 Cu2 Cu27040 13270</t>
  </si>
  <si>
    <t>FNB OB Pmt FNB OB 000001738 Cu2 Cu21504 13263</t>
  </si>
  <si>
    <t>FNB OB Pmt FNB OB 000001745 Cu2 Cu22664 13286</t>
  </si>
  <si>
    <t>FNB OB Pmt FNB OB 000001752 Cu1 Cu11751 13322</t>
  </si>
  <si>
    <t>FNB OB Pmt FNB OB 000001751 Cu2 Cu27805 13320</t>
  </si>
  <si>
    <t>FNB OB Pmt FNB OB 000001756 Cu1 Cu15203 13296</t>
  </si>
  <si>
    <t>FNB OB Pmt FNB OB 000001739 Cu2 Cu25735 13264</t>
  </si>
  <si>
    <t>FNB OB Pmt FNB OB 000001750 Cu1 Cu12609 13316</t>
  </si>
  <si>
    <t>FNB OB Pmt FNB OB 000001755 Cu1 Cu12103 13285</t>
  </si>
  <si>
    <t>FNB OB Pmt FNB OB 000001742 Cu1 Cu11532 11408</t>
  </si>
  <si>
    <t>FNB OB Pmt FNB OB 000001754 Cu1 Cu14598 9079</t>
  </si>
  <si>
    <t>FNB OB Pmt FNB OB 000001736 Cu2 Cu23895 12950</t>
  </si>
  <si>
    <t>FNB OB Pmt FNB OB 000001753 Cu1 Cu15663 12978</t>
  </si>
  <si>
    <t>Magtape Credit Cu12206</t>
  </si>
  <si>
    <t>Cu12206</t>
  </si>
  <si>
    <t>Magtape Credit Cu28251</t>
  </si>
  <si>
    <t>Cu28251</t>
  </si>
  <si>
    <t>Magtape Credit ABSA Bank Cu25005</t>
  </si>
  <si>
    <t>Cu25005</t>
  </si>
  <si>
    <t>Magtape Credit Cu18304</t>
  </si>
  <si>
    <t>Cu18304</t>
  </si>
  <si>
    <t>Magtape Credit Cu25275</t>
  </si>
  <si>
    <t>Cu25275</t>
  </si>
  <si>
    <t>Magtape Credit Ozow Slu888787Fcbe6Be2</t>
  </si>
  <si>
    <t>Magtape Credit Ozow Slu889Hlzab42Cf79</t>
  </si>
  <si>
    <t>Int-Banking Pmt Frm Cu22776</t>
  </si>
  <si>
    <t>Cu22776</t>
  </si>
  <si>
    <t>Outward Swift R025Pxp090 Cu19690 13283</t>
  </si>
  <si>
    <t>FNB OB Pmt FNB OB 000001799 Cu2 Cu22030 13472</t>
  </si>
  <si>
    <t>FNB OB Pmt FNB OB 000001800 Cu2 Cu27514 13487</t>
  </si>
  <si>
    <t>Forex Transfer In S500Pxptt0 R025Q66Ww0 Bene Acc Inval</t>
  </si>
  <si>
    <t>Payment Cr Netcash021Zapper6994 Zapper69944250812</t>
  </si>
  <si>
    <t>Int-Banking Pmt Frm Cu15283</t>
  </si>
  <si>
    <t>Cu15283</t>
  </si>
  <si>
    <t>FNB OB Pmt FNB OB 000001801 120 12082025</t>
  </si>
  <si>
    <t>FNB OB Trf FNB OB Trf 000001802 Int12082025</t>
  </si>
  <si>
    <t>FNB OB Pmt FNB OB 000001803 Cu2 Cu28058 13497</t>
  </si>
  <si>
    <t>FNB OB Pmt FNB OB 000001804 Cu1 Cu12103 13498</t>
  </si>
  <si>
    <t>FNB OB Pmt FNB OB 000001805 Cu2 Cu26822 13507</t>
  </si>
  <si>
    <t>FNB OB Pmt FNB OB 000001806 Cu2 Cu20787 13508</t>
  </si>
  <si>
    <t>FNB OB Pmt FNB OB 000001807 Cu2 Cu26822 13523</t>
  </si>
  <si>
    <t>FNB OB Pmt FNB OB 000001808 Cu2 Cu28267 13525</t>
  </si>
  <si>
    <t>FNB OB Pmt FNB OB 000001809 Cu1 Cu12510 13528</t>
  </si>
  <si>
    <t>FNB OB Pmt FNB OB 000001814 Cu2 Cu25832 13550</t>
  </si>
  <si>
    <t>FNB OB Pmt FNB OB 000001815 Cu2 Cu20052 13398</t>
  </si>
  <si>
    <t>FNB OB Pmt FNB OB 000001816 Cu1 Cu15105 13431</t>
  </si>
  <si>
    <t>FNB OB Pmt FNB OB 000001817 Cu1 Cu12239 13545</t>
  </si>
  <si>
    <t>FNB OB Pmt FNB OB 000001818 Cu2 Cu25536 13546</t>
  </si>
  <si>
    <t>Outward Swift R025Px8T80 Cu10927 13444</t>
  </si>
  <si>
    <t>Cu10927</t>
  </si>
  <si>
    <t>Outward Swift R025Px8Qs0 Cu22815 13519</t>
  </si>
  <si>
    <t>FNB OB Trf FNB OB Trf 000001819 Luxe Internal</t>
  </si>
  <si>
    <t>FNB OB Trf FNB OB Trf 000001820 Luxe Internal</t>
  </si>
  <si>
    <t>FNB OB Trf FNB OB Trf 000001821 Luxe Internal</t>
  </si>
  <si>
    <t>FNB OB Pmt FNB OB 000001822 Cu2 Cu22752 13551</t>
  </si>
  <si>
    <t>FNB OB Pmt FNB OB 000001823 Cu1 Cu16191 13555</t>
  </si>
  <si>
    <t>FNB OB Pmt FNB OB 000001824 Cu2 Cu27008 13556</t>
  </si>
  <si>
    <t>FNB OB Pmt FNB OB 000001825 Cu1 Cu13863 13573</t>
  </si>
  <si>
    <t>FNB OB Pmt FNB OB 000001826 Cu1 Cu10466 13590</t>
  </si>
  <si>
    <t>FNB OB Pmt FNB OB 000001827 Cu1 Cu11732 13595</t>
  </si>
  <si>
    <t>FNB OB Pmt FNB OB 000001828 Cu1 Cu16263 13596</t>
  </si>
  <si>
    <t>FNB OB Pmt FNB OB 000001829 Cu2 Cu23495 13597</t>
  </si>
  <si>
    <t>FNB OB Pmt FNB OB 000001794 Cu2 Cu22030 13472</t>
  </si>
  <si>
    <t>FNB OB Pmt FNB OB 000001795 Cu1 Cu17319 13473</t>
  </si>
  <si>
    <t>FNB OB Pmt FNB OB 000001793 Cu2 Cu26789 13645</t>
  </si>
  <si>
    <t>FNB OB Pmt FNB OB 000001798 Cu2 Cu26752 13489</t>
  </si>
  <si>
    <t>FNB OB Pmt FNB OB 000001796 Cu2 Cu27514 13487</t>
  </si>
  <si>
    <t>FNB OB Pmt FNB OB 000001797 Cu2 Cu25883 13488</t>
  </si>
  <si>
    <t>FNB OB Pmt FNB OB 000001791 Cu2 Cu24412 13434</t>
  </si>
  <si>
    <t>FNB OB Pmt FNB OB 000001792 Cu2 Cu24378 13197</t>
  </si>
  <si>
    <t>FNB OB Pmt FNB OB 000001790 Cu1 Cu11247 13321</t>
  </si>
  <si>
    <t>Magtape Credit Cu23195</t>
  </si>
  <si>
    <t>Cu23195</t>
  </si>
  <si>
    <t>Magtape Credit Cu28319</t>
  </si>
  <si>
    <t>Cu28319</t>
  </si>
  <si>
    <t>Magtape Credit Cu28337</t>
  </si>
  <si>
    <t>Cu28337</t>
  </si>
  <si>
    <t>Magtape Credit Cu10418</t>
  </si>
  <si>
    <t>Cu10418</t>
  </si>
  <si>
    <t>Magtape Credit Ozow Slu88B7O37A75C215</t>
  </si>
  <si>
    <t>FNB OB Pmt FNB OB 000001843 Cu2 Cu28219 13645</t>
  </si>
  <si>
    <t>FNB OB Pmt FNB OB 000001844 Cu1 Cu10597</t>
  </si>
  <si>
    <t>FNB OB Pmt FNB OB 000001845 Cu2 Cu27296 13655</t>
  </si>
  <si>
    <t>FNB OB Pmt FNB OB 000001846 Cu2 Cu25148 13665</t>
  </si>
  <si>
    <t>Payment Cr Netcash021Zapper6994 Zapper69944250813</t>
  </si>
  <si>
    <t>FNB OB Trf FNB OB Trf 000001847 Luxe Internal</t>
  </si>
  <si>
    <t>FNB OB Pmt FNB OB 000001848 Cu1 Cu16775 13687</t>
  </si>
  <si>
    <t>FNB OB Pmt FNB OB 000001849 Cu2 Cu26822 13677</t>
  </si>
  <si>
    <t>FNB OB Pmt FNB OB 000001850 Cu2 Cu21180 13689</t>
  </si>
  <si>
    <t>FNB OB Pmt FNB OB 000001851 Cu1 Cu15065 13533</t>
  </si>
  <si>
    <t>FNB OB Pmt FNB OB 000001852 Cu1 Cu15052 13535</t>
  </si>
  <si>
    <t>FNB OB Pmt FNB OB 000001853 Cu1 Cu15136 13652</t>
  </si>
  <si>
    <t>FNB OB Pmt FNB OB 000001854 Cu1 Cu19437 13703</t>
  </si>
  <si>
    <t>FNB OB Pmt FNB OB 000001855 Cu2 Cu20235 13710</t>
  </si>
  <si>
    <t>FNB OB Pmt FNB OB 000001856 Cu1 Cu17336 13714</t>
  </si>
  <si>
    <t>FNB OB Pmt FNB OB 000001857 Cu2 Cu26687 13717</t>
  </si>
  <si>
    <t>FNB OB Pmt FNB OB 000001858 Cu1 Cu16417 13720</t>
  </si>
  <si>
    <t>FNB OB Pmt FNB OB 000001859 Cu2 Cu26861 13721</t>
  </si>
  <si>
    <t>FNB OB Pmt FNB OB 000001833 Cu2 Cu25744 13604</t>
  </si>
  <si>
    <t>FNB OB Pmt FNB OB 000001838 Cu1 Cu11893 13637</t>
  </si>
  <si>
    <t>FNB OB Pmt FNB OB 000001834 Cu1 Cu10195 13605</t>
  </si>
  <si>
    <t>FNB OB Pmt FNB OB 000001836 Cu1 Cu15916 13627</t>
  </si>
  <si>
    <t>FNB OB Pmt FNB OB 000001841 Cu2 Cu26108 13643</t>
  </si>
  <si>
    <t>FNB OB Pmt FNB OB 000001832 Cu2 Cu25542 13602</t>
  </si>
  <si>
    <t>FNB OB Pmt FNB OB 000001837 Cu2 Cu28017 13636</t>
  </si>
  <si>
    <t>FNB OB Pmt FNB OB 000001840 Cu2 Cu25591 13642</t>
  </si>
  <si>
    <t>FNB OB Pmt FNB OB 000001831 Cu2 Cu26822 13523</t>
  </si>
  <si>
    <t>FNB OB Pmt FNB OB 000001839 Cu2 Cu23692 13639</t>
  </si>
  <si>
    <t>FNB OB Pmt FNB OB 000001830 Cu1 Cu14803 13579</t>
  </si>
  <si>
    <t>Magtape Credit Cu27941</t>
  </si>
  <si>
    <t>Cu27941</t>
  </si>
  <si>
    <t>Magtape Credit Ozow Slu88C7D46C4116D18</t>
  </si>
  <si>
    <t>Int-Banking Pmt Frm Cu28488</t>
  </si>
  <si>
    <t>Cu28488</t>
  </si>
  <si>
    <t>Int-Banking Pmt Frm Cu20771</t>
  </si>
  <si>
    <t>Cu20771</t>
  </si>
  <si>
    <t>Int-Banking Pmt Frm Cu24837</t>
  </si>
  <si>
    <t>Cu24837</t>
  </si>
  <si>
    <t>Payment Cr Netcash021Zapper6994 Zapper69944250814</t>
  </si>
  <si>
    <t>FNB OB Pmt FNB OB 000001868 Cu2 Cu20097 13733</t>
  </si>
  <si>
    <t>FNB OB Pmt FNB OB 000001869 Cu2 Cu26118 13738</t>
  </si>
  <si>
    <t>FNB OB Pmt FNB OB 000001870 Cu1 Cu12103 13744</t>
  </si>
  <si>
    <t>FNB OB Pmt FNB OB 000001871 Cu2 Cu27834 13747</t>
  </si>
  <si>
    <t>FNB OB Pmt FNB OB 000001872 Cu2 Cu27089 13749</t>
  </si>
  <si>
    <t>FNB OB Pmt FNB OB 000001873 Cu1 Cu10418 13750</t>
  </si>
  <si>
    <t>FNB OB Pmt FNB OB 000001874 Cu2 Cu25808 13754</t>
  </si>
  <si>
    <t>FNB OB Pmt FNB OB 000001875 Cu1 Cu11558 13756</t>
  </si>
  <si>
    <t>FNB OB Pmt FNB OB 000001876 Cu1 Cu11832 13761</t>
  </si>
  <si>
    <t>FNB OB Pmt FNB OB 000001877 Cu1 Cu16263 13762</t>
  </si>
  <si>
    <t>FNB OB Pmt FNB OB 000001878 Cu2 Cu26322 13766</t>
  </si>
  <si>
    <t>FNB OB Pmt FNB OB 000001879 Cu2 Cu26095 13767</t>
  </si>
  <si>
    <t>FNB OB Pmt FNB OB 000001880 Cu1 Cu11769 13768</t>
  </si>
  <si>
    <t>FNB OB Pmt FNB OB 000001881 Cu1 Cu17033 13772</t>
  </si>
  <si>
    <t>FNB OB Pmt FNB OB 000001882 Cu2 Cu25895 13776</t>
  </si>
  <si>
    <t>FNB OB Pmt FNB OB 000001883 Cu2 Cu25626 13778</t>
  </si>
  <si>
    <t>FNB OB Pmt FNB OB 000001884 Cu2 Cu25822 13786</t>
  </si>
  <si>
    <t>FNB OB Pmt FNB OB 000001885 Cu2 Cu23960 13788</t>
  </si>
  <si>
    <t>General Credit - Domestic Trea Eftbbs8D1Wd1N007 Eft2508144505350</t>
  </si>
  <si>
    <t>FNB OB Pmt FNB OB 000001886 Cu1 Cu18031 13752</t>
  </si>
  <si>
    <t>FNB OB Pmt FNB OB 000001887 Cu2 Cu27258 13765</t>
  </si>
  <si>
    <t>FNB OB Pmt FNB OB 000001888 Cu1 Cu12162 13773</t>
  </si>
  <si>
    <t>FNB OB Pmt FNB OB 000001889 Cu2 Cu22951 13793</t>
  </si>
  <si>
    <t>FNB OB Pmt FNB OB 000001890 Cu2 Cu28479 13796</t>
  </si>
  <si>
    <t>FNB OB Pmt FNB OB 000001891 Cu1 Cu10245 13798</t>
  </si>
  <si>
    <t>FNB OB Pmt FNB OB 000001892 Cu2 Cu25921 13809</t>
  </si>
  <si>
    <t>FNB OB Pmt FNB OB 000001893 Cu2 Cu27941 13810</t>
  </si>
  <si>
    <t>FNB OB Pmt FNB OB 000001894 Cu1 Cu13032 13812</t>
  </si>
  <si>
    <t>FNB OB Pmt FNB OB 000001895 Cu2 Cu22708 13815</t>
  </si>
  <si>
    <t>FNB OB Pmt FNB OB 000001896 Cu1 Cu11872 13825</t>
  </si>
  <si>
    <t>FNB OB Pmt FNB OB 000001897 Cu2 Cu26580 13831</t>
  </si>
  <si>
    <t>FNB OB Pmt FNB OB 000001898 Cu1 Cu19607 13834</t>
  </si>
  <si>
    <t>FNB OB Pmt FNB OB 000001899 Cu1 Cu10418 13751</t>
  </si>
  <si>
    <t>FNB OB Trf FNB OB Trf 000001860 Luxe Internal Trans</t>
  </si>
  <si>
    <t>FNB OB Trf FNB OB Trf 000001866 Int13082025</t>
  </si>
  <si>
    <t>FNB OB Pmt FNB OB 000001863 Cu1 Cu14220 13730</t>
  </si>
  <si>
    <t>FNB OB Pmt FNB OB 000001867 Cu1 Cu13840 13713</t>
  </si>
  <si>
    <t>FNB OB Pmt FNB OB 000001862 Cu1 Cu17810 13724</t>
  </si>
  <si>
    <t>FNB OB Pmt FNB OB 000001864 Cu1 Cu17486 13731</t>
  </si>
  <si>
    <t>FNB OB Pmt FNB OB 000001865 Cu2 Cu23960 13732</t>
  </si>
  <si>
    <t>FNB OB Pmt FNB OB 000001861 Cu1 Cu15199 13506</t>
  </si>
  <si>
    <t>Magtape Credit Ozow Slu88D74Ca2B1B66C</t>
  </si>
  <si>
    <t>Outward Swift R025Pvfc60 Cu26144 13685</t>
  </si>
  <si>
    <t>Cu26144</t>
  </si>
  <si>
    <t>Int-Banking Pmt Frm Cu25196</t>
  </si>
  <si>
    <t>Cu25196</t>
  </si>
  <si>
    <t>FNB OB Pmt FNB OB 000001900 Cu1 Cu13681 13802</t>
  </si>
  <si>
    <t>FNB OB Pmt FNB OB 000001901 Cu2 Cu27236 13836</t>
  </si>
  <si>
    <t>FNB OB Pmt FNB OB 000001902 Cu1 Cu11751 13837</t>
  </si>
  <si>
    <t>FNB OB Pmt FNB OB 000001903 Cu2 Cu23960 13849</t>
  </si>
  <si>
    <t>FNB OB Pmt FNB OB 000001904 Cu1 Cu13737 13811</t>
  </si>
  <si>
    <t>FNB OB Pmt FNB OB 000001905 Cu1 Cu11419 26932</t>
  </si>
  <si>
    <t>Payment Cr Netcash021Zapper6994 Zapper69944250815</t>
  </si>
  <si>
    <t>FNB OB Trf FNB OB Trf Luxe Internal</t>
  </si>
  <si>
    <t>FNB OB Pmt FNB OB 000001907 Cu2 Cu21063 13853</t>
  </si>
  <si>
    <t>FNB OB Pmt FNB OB 000001908 Cu2 Cu27141 13865</t>
  </si>
  <si>
    <t>FNB OB Pmt FNB OB 000001909 Cu1 Cu18810 13884</t>
  </si>
  <si>
    <t>FNB OB Pmt FNB OB 000001910 Cu2 Cu26942 13893</t>
  </si>
  <si>
    <t>FNB OB Pmt FNB OB 000001911 Cu2 Cu20934 11528</t>
  </si>
  <si>
    <t>FNB OB Pmt FNB OB 000001912 Cu2 Cu21354 13017</t>
  </si>
  <si>
    <t>FNB OB Pmt FNB OB 000001913 Cu1 Cu16569 12413</t>
  </si>
  <si>
    <t>FNB OB Pmt FNB OB 000001914 Cu1 Cu18269 13871</t>
  </si>
  <si>
    <t>FNB OB Pmt FNB OB 000001915 Cu1 Cu11760 13885</t>
  </si>
  <si>
    <t>FNB OB Pmt FNB OB 000001916 Cu2 Cu24442 13888</t>
  </si>
  <si>
    <t>FNB OB Pmt FNB OB 000001917 Cu1 Cu15268 13894</t>
  </si>
  <si>
    <t>FNB OB Pmt FNB OB 000001918 Cu2 Cu23774 13902</t>
  </si>
  <si>
    <t>FNB OB Pmt FNB OB 000001919 Cu2 Cu25196 13903</t>
  </si>
  <si>
    <t>FNB OB Pmt FNB OB 000001920 Cu2 Cu26403 13908</t>
  </si>
  <si>
    <t>FNB OB Pmt FNB OB 000001921 Cu1 Cu11382 13910</t>
  </si>
  <si>
    <t>Outward Swift R025Prkgl0 Cu20891 13852</t>
  </si>
  <si>
    <t>Cu20891</t>
  </si>
  <si>
    <t>Magtape Credit Cu21930</t>
  </si>
  <si>
    <t>Cu21930</t>
  </si>
  <si>
    <t>Magtape Credit Cu19180</t>
  </si>
  <si>
    <t>Cu19180</t>
  </si>
  <si>
    <t>Magtape Credit Ozow Slu88E7Abd1597544</t>
  </si>
  <si>
    <t>Outward Swift R025Pt72N0 Cu25683 13790</t>
  </si>
  <si>
    <t>Cu25683</t>
  </si>
  <si>
    <t>FNB OB Pmt FNB OB 000001930 Cu2 Cu24863</t>
  </si>
  <si>
    <t>FNB OB Pmt FNB OB 000001928 Cu2 Cu24222 13920</t>
  </si>
  <si>
    <t>FNB OB Pmt FNB OB 000001929 Cu1 Cu19180 13923</t>
  </si>
  <si>
    <t>FNB OB Pmt FNB OB 000001923 Cu1 Cu11419 13895</t>
  </si>
  <si>
    <t>FNB OB Pmt FNB OB 000001924 Cu1 Cu19420 13899</t>
  </si>
  <si>
    <t>FNB OB Pmt FNB OB 000001927 Cu1 Cu18049 13918</t>
  </si>
  <si>
    <t>FNB OB Pmt FNB OB 000001922 Cu2 Cu25054 13887</t>
  </si>
  <si>
    <t>FNB OB Pmt FNB OB 000001926 Cu1 Cu12103 13905</t>
  </si>
  <si>
    <t>FNB OB Pmt FNB OB 000001925 Cu2 Cu21354 13898</t>
  </si>
  <si>
    <t>Magtape Credit Ozow Slu88F9M49Af25B0F5</t>
  </si>
  <si>
    <t>FNB OB Pmt FNB OB 000001931 Cu1 Cu10271 13930</t>
  </si>
  <si>
    <t>FNB OB Pmt FNB OB 000001932 Cu1 Cu11382 13932</t>
  </si>
  <si>
    <t>FNB OB Pmt FNB OB 000001933 Cu2 Cu26722 13938</t>
  </si>
  <si>
    <t>FNB OB Pmt FNB OB 000001934 Cu1 Cu18049 13942</t>
  </si>
  <si>
    <t>FNB OB Pmt FNB OB 000001935 Cu1 Cu18065 13945</t>
  </si>
  <si>
    <t>FNB OB Pmt FNB OB 000001936 Cu1 Cu10973 13948</t>
  </si>
  <si>
    <t>FNB OB Pmt FNB OB 000001937 Cu1 Cu12939 13975</t>
  </si>
  <si>
    <t>FNB OB Pmt FNB OB 000001938 Cu2 Cu20030 13928</t>
  </si>
  <si>
    <t>FNB OB Pmt FNB OB 000001939 Cu1 Cu18061 13929</t>
  </si>
  <si>
    <t>FNB OB Pmt FNB OB 000001940 Cu1 Cu14011 13894</t>
  </si>
  <si>
    <t>FNB OB Pmt FNB OB 000001941 Cu2 Cu22133 14006</t>
  </si>
  <si>
    <t>FNB OB Pmt FNB OB 000001942 Cu1 Cu11238 14017</t>
  </si>
  <si>
    <t>FNB OB Pmt FNB OB 000001943 Cu2 Cu25797 14035</t>
  </si>
  <si>
    <t>FNB OB Pmt FNB OB 000001944 Cu1 Cu12162 14030</t>
  </si>
  <si>
    <t>FNB OB Pmt FNB OB 000001945 Cu2 Cu27296 14007</t>
  </si>
  <si>
    <t>FNB OB Pmt FNB OB 000001946 Cu2 Cu25380 14040</t>
  </si>
  <si>
    <t>FNB OB Pmt FNB OB 000001947 Cu2 Cu27269 14050</t>
  </si>
  <si>
    <t>FNB OB Pmt FNB OB 000001948 Cu1 Cu11382 14054</t>
  </si>
  <si>
    <t>FNB OB Pmt FNB OB 000001949 Cu1 Cu10130 14068</t>
  </si>
  <si>
    <t>FNB OB Pmt FNB OB 000001950 Cu2 Cu21354 14065</t>
  </si>
  <si>
    <t>FNB OB Pmt FNB OB 000001951 Cu2 Cu24284 14067</t>
  </si>
  <si>
    <t>Payment Cr Netcash021Zapper6994 Zapper69944250818</t>
  </si>
  <si>
    <t>FNB OB Pmt FNB OB 000001952 Cu1 Cu16569</t>
  </si>
  <si>
    <t>FNB OB Pmt FNB OB 000001953 Cu2 Cu23164 14070</t>
  </si>
  <si>
    <t>FNB OB Pmt FNB OB 000001954 Cu2 Cu23701 14074</t>
  </si>
  <si>
    <t>FNB OB Pmt FNB OB 000001955 Cu2 Cu26974 14076</t>
  </si>
  <si>
    <t>FNB OB Pmt FNB OB 000001956 Cu2 Cu24222 14083</t>
  </si>
  <si>
    <t>FNB OB Pmt FNB OB 000001957 Cu2 Cu26271 14085</t>
  </si>
  <si>
    <t>FNB OB Pmt FNB OB 000001958 Cu2 Cu22209 14086</t>
  </si>
  <si>
    <t>FNB OB Pmt FNB OB 000001959 Cu1 Cu11382 14089</t>
  </si>
  <si>
    <t>Magtape Credit Cu28720</t>
  </si>
  <si>
    <t>Cu28720</t>
  </si>
  <si>
    <t>Magtape Credit Cu20481</t>
  </si>
  <si>
    <t>Cu20481</t>
  </si>
  <si>
    <t>Magtape Credit Cu25116</t>
  </si>
  <si>
    <t>Cu25116</t>
  </si>
  <si>
    <t>Magtape Credit Cu16494</t>
  </si>
  <si>
    <t>Cu16494</t>
  </si>
  <si>
    <t>Magtape Credit Ozow Slu88I77Qe5C32Bdc</t>
  </si>
  <si>
    <t>Magtape Credit Cu12162</t>
  </si>
  <si>
    <t>Cu12162</t>
  </si>
  <si>
    <t>Magtape Credit Ozow Slu88Gbiu312145Bc</t>
  </si>
  <si>
    <t>Overseas Bank Charge S500Pp5Vz0 Sd3Grmkgr5V9Nhl1</t>
  </si>
  <si>
    <t>Overseas Bank Charge S500Pp5Vz0 Sd3Gr13935Svrw91</t>
  </si>
  <si>
    <t>Overseas Bank Charge S500Pp5Vz0 Sd3Gr33Rp5Sp8PC1</t>
  </si>
  <si>
    <t>Overseas Bank Charge S500Pp5Vz0 Sd3Grwpfc5T3Bl51</t>
  </si>
  <si>
    <t>Overseas Bank Charge S500Pp5Vz0 Sd3Gr53Qw5Shjnf1</t>
  </si>
  <si>
    <t>Int-Banking Pmt Frm Cu22708</t>
  </si>
  <si>
    <t>Cu22708</t>
  </si>
  <si>
    <t>FNB OB Pmt FNB OB 000001964 Cu1 Cu11381</t>
  </si>
  <si>
    <t>FNB OB Pmt FNB OB 000001965 Cu2 Cu22763 13564</t>
  </si>
  <si>
    <t>Payment Cr Netcash021Zapper6994 Zapper69944250819</t>
  </si>
  <si>
    <t>FNB OB Pmt FNB OB 000001966 Cu1 Cu11381</t>
  </si>
  <si>
    <t>FNB OB Pmt FNB OB 000001967 Cu2 Cu24222 14148</t>
  </si>
  <si>
    <t>FNB OB Pmt FNB OB 000001968 Cu1 Cu11642 14171</t>
  </si>
  <si>
    <t>FNB OB Pmt FNB OB 000001969 Cu1 Cu10311 14175</t>
  </si>
  <si>
    <t>FNB OB Pmt FNB OB 000001970 Cu1 Cu15071 14182</t>
  </si>
  <si>
    <t>FNB OB Pmt FNB OB 000001961 Cu2 Cu26749 14101</t>
  </si>
  <si>
    <t>FNB OB Pmt FNB OB 000001962 Cu2 Cu25071 14110</t>
  </si>
  <si>
    <t>FNB OB Pmt FNB OB 000001963 Cu1 Cu15420 14073</t>
  </si>
  <si>
    <t>FNB OB Pmt FNB OB 000001960 Cu1 Cu15239 13664</t>
  </si>
  <si>
    <t>Magtape Credit Ozow Slu88J51Gde635209</t>
  </si>
  <si>
    <t>FNB OB Pmt FNB OB 000001973 Cu1 Cu10311 14200</t>
  </si>
  <si>
    <t>FNB OB Pmt FNB OB 000001974 Cu2 Cu26861 14195</t>
  </si>
  <si>
    <t>FNB OB Pmt FNB OB 000001975 Cu2 Cu28740 14211</t>
  </si>
  <si>
    <t>FNB OB Pmt FNB OB 000001976 Cu2 Cu28575 14212</t>
  </si>
  <si>
    <t>FNB OB Pmt FNB OB 000001977 Cu1 Cu12309 14214</t>
  </si>
  <si>
    <t>FNB OB Pmt FNB OB 000001978 Cu1 Cu10761 14215</t>
  </si>
  <si>
    <t>FNB OB Pmt FNB OB 000001979 Cu2 Cu28483 14216</t>
  </si>
  <si>
    <t>FNB OB Pmt FNB OB 000001980 Cu2 Cu24441 14220</t>
  </si>
  <si>
    <t>Int-Banking Pmt Frm Cu26997</t>
  </si>
  <si>
    <t>Cu26997</t>
  </si>
  <si>
    <t>FNB OB Pmt FNB OB 000001981 Cu1 Cu14666 14223</t>
  </si>
  <si>
    <t>FNB OB Pmt FNB OB 000001982 Cu2 Cu20691 14225</t>
  </si>
  <si>
    <t>FNB OB Pmt FNB OB 000001983 Cu2 Cu27838 14227</t>
  </si>
  <si>
    <t>FNB OB Pmt FNB OB 000001984 Cu2 Cu24822 14230</t>
  </si>
  <si>
    <t>FNB OB Pmt FNB OB 000001985 Cu2 Cu27016 12596</t>
  </si>
  <si>
    <t>FNB OB Pmt FNB OB 000001986 Cu2 Cu27016 12818</t>
  </si>
  <si>
    <t>Payment Cr Netcash021Zapper6994 Zapper69944250820</t>
  </si>
  <si>
    <t>FNB OB Trf FNB OB Trf 000001987 Luxe Internal</t>
  </si>
  <si>
    <t>FNB OB Pmt FNB OB 000001988 Cu1 Cu19420 14231</t>
  </si>
  <si>
    <t>FNB OB Pmt FNB OB 000001989 Cu2 Cu21354 14232</t>
  </si>
  <si>
    <t>FNB OB Pmt FNB OB 000001990 Cu1 Cu18857 14237</t>
  </si>
  <si>
    <t>FNB OB Pmt FNB OB 000001991 Cu1 Cu15203 14238</t>
  </si>
  <si>
    <t>FNB OB Pmt FNB OB 000001992 Cu2 Cu27296 14244</t>
  </si>
  <si>
    <t>FNB OB Pmt FNB OB 000001993 Cu1 Cu17178 14249</t>
  </si>
  <si>
    <t>FNB OB Pmt FNB OB 000001971 Cu2 Cu24730 14149</t>
  </si>
  <si>
    <t>FNB OB Pmt FNB OB 000001972 Cu2 Cu26822 14177</t>
  </si>
  <si>
    <t>Magtape Credit ABSA Bank Slu88Hhwd2C18Cd45</t>
  </si>
  <si>
    <t>Magtape Credit Ozow Slu88K517D06Cdd77</t>
  </si>
  <si>
    <t>FNB OB Pmt FNB OB 000002000 Cu1 Cu11907 14263</t>
  </si>
  <si>
    <t>FNB OB Pmt FNB OB 000002001 Cu2 Cu25491 14281</t>
  </si>
  <si>
    <t>FNB OB Pmt FNB OB 000002002 Cu2 Cu23788 14288</t>
  </si>
  <si>
    <t>FNB OB Pmt FNB OB 000002003 Cu2 Cu22133 14294</t>
  </si>
  <si>
    <t>FNB OB Pmt FNB OB 000002004 Cu2 Cu27544 14297</t>
  </si>
  <si>
    <t>FNB OB Pmt FNB OB 000002005 Cu2 Cu26944 14298</t>
  </si>
  <si>
    <t>FNB OB Pmt FNB OB 000002006 Cu2 Cu26800 14301</t>
  </si>
  <si>
    <t>FNB OB Pmt FNB OB 000002007 Cu2 Cu26105 14306</t>
  </si>
  <si>
    <t>FNB OB Trf FNB OB Trf 000002008 Luxe Internal</t>
  </si>
  <si>
    <t>Payment Cr Netcash021Zapper6994 Zapper69944250821</t>
  </si>
  <si>
    <t>FNB OB Pmt FNB OB 000002009 Cu2 Cu26783 14310</t>
  </si>
  <si>
    <t>FNB OB Pmt FNB OB 000002010 Cu2 Cu25530 14259</t>
  </si>
  <si>
    <t>FNB OB Pmt FNB OB 000002011 Cu1 Cu10141 14317</t>
  </si>
  <si>
    <t>FNB OB Pmt FNB OB 000002012 Cu2 Cu26720 14320</t>
  </si>
  <si>
    <t>FNB OB Pmt FNB OB 000002013 Cu2 Cu24441 14322</t>
  </si>
  <si>
    <t>FNB OB Pmt FNB OB 000002014 Cu1 Cu18810 14237</t>
  </si>
  <si>
    <t>FNB OB Pmt FNB OB 000002015 Cu1 Cu15612 14332</t>
  </si>
  <si>
    <t>Int-Banking Pmt Frm Cu23754</t>
  </si>
  <si>
    <t>Cu23754</t>
  </si>
  <si>
    <t>FNB OB Pmt FNB OB 000001997 Cu2 Cu20804 14250</t>
  </si>
  <si>
    <t>FNB OB Pmt FNB OB 000001996 Cu2 Cu23701 14235</t>
  </si>
  <si>
    <t>FNB OB Pmt FNB OB 000001995 Cu2 Cu26800 14238</t>
  </si>
  <si>
    <t>FNB OB Pmt FNB OB 000001998 Cu1 Cu16417 14254</t>
  </si>
  <si>
    <t>FNB OB Pmt FNB OB 000001999 Cu1 Cu17486 14255</t>
  </si>
  <si>
    <t>FNB OB Pmt FNB OB 000001994 Cu2 Cu24744 14240</t>
  </si>
  <si>
    <t>Magtape Credit ABSA Bank Slu88L51Cd59200B0</t>
  </si>
  <si>
    <t>Magtape Credit Ozow Slu88L51CC4E1F98B</t>
  </si>
  <si>
    <t>FNB OB Trf FNB OB Trf 000002016 Luxe Internal</t>
  </si>
  <si>
    <t>FNB OB Pmt FNB OB 000002017 Cu1 Cu15065 13646</t>
  </si>
  <si>
    <t>FNB OB Pmt FNB OB 000002018 Cu2 Cu26042 14360</t>
  </si>
  <si>
    <t>FNB OB Pmt FNB OB 000002019 Cu2 Cu22664 14358</t>
  </si>
  <si>
    <t>FNB OB Pmt FNB OB 000002020 Cu2 Cu23786 14357</t>
  </si>
  <si>
    <t>FNB OB Pmt FNB OB 000002021 Cu1 Cu16079 14347</t>
  </si>
  <si>
    <t>FNB OB Pmt FNB OB 000002022 Cu1 Cu19523 14351</t>
  </si>
  <si>
    <t>FNB OB Pmt FNB OB 000002023 Cu2 Cu21354 14352</t>
  </si>
  <si>
    <t>FNB OB Pmt FNB OB 000002024 Cu1 Cu11907 14353</t>
  </si>
  <si>
    <t>FNB OB Pmt FNB OB 000002025 Cu1 Cu16290 14354</t>
  </si>
  <si>
    <t>FNB OB Pmt FNB OB 000002026 Cu1 Cu11280 14355</t>
  </si>
  <si>
    <t>FNB OB Pmt FNB OB 000002027 Cu2 Cu24869 14363</t>
  </si>
  <si>
    <t>Payment Cr Netcash021Zapper6994 Zapper69944250822</t>
  </si>
  <si>
    <t>FNB OB Pmt FNB OB 000002028 Cu2 Cu26799 14350</t>
  </si>
  <si>
    <t>FNB OB Pmt FNB OB 000002029 Cu2 Cu27544 14371</t>
  </si>
  <si>
    <t>FNB OB Pmt FNB OB 000002030 Cu1 Cu11633 14374</t>
  </si>
  <si>
    <t>FNB OB Pmt FNB OB 000002031 Cu2 Cu25700 14375</t>
  </si>
  <si>
    <t>FNB OB Pmt FNB OB 000002032 Cu1 Cu11238 14380</t>
  </si>
  <si>
    <t>FNB OB Pmt FNB OB 000002033 Cu2 Cu24888 14381</t>
  </si>
  <si>
    <t>FNB OB Pmt FNB OB 000002034 Cu2 Cu25589 14382</t>
  </si>
  <si>
    <t>FNB OB Pmt FNB OB 000002035 Cu2 Cu21522 14389</t>
  </si>
  <si>
    <t>Magtape Credit Ozow Slu88M517Aefeaabd</t>
  </si>
  <si>
    <t>Magtape Credit ABSA Bank Slu88M517B9621Fd8</t>
  </si>
  <si>
    <t>FNB OB Trf FNB OB Trf 000002037 Luxe Internal</t>
  </si>
  <si>
    <t>FNB OB Trf FNB OB Trf 000002036 Inter23082025</t>
  </si>
  <si>
    <t>Outward Swift R025Ph8Fl0 Cu28489 14287</t>
  </si>
  <si>
    <t>Cu28489</t>
  </si>
  <si>
    <t>FNB OB Pmt FNB OB 000002038 Cu2 Cu24753 14400</t>
  </si>
  <si>
    <t>FNB OB Pmt FNB OB 000002039 Cu2 Cu25491 14406</t>
  </si>
  <si>
    <t>FNB OB Pmt FNB OB 000002040 Cu1 Cu19385 14408</t>
  </si>
  <si>
    <t>FNB OB Pmt FNB OB 000002041 Cu2 Cu24764 14415</t>
  </si>
  <si>
    <t>FNB OB Pmt FNB OB 000002042 Cu2 Cu25285 14432</t>
  </si>
  <si>
    <t>Int-Banking Pmt Frm Cu26861</t>
  </si>
  <si>
    <t>Cu26861</t>
  </si>
  <si>
    <t>FNB App Payment From Cu25890</t>
  </si>
  <si>
    <t>Cu25890</t>
  </si>
  <si>
    <t>Int-Banking Pmt Frm Cu25890</t>
  </si>
  <si>
    <t>FNB OB Pmt FNB OB 000002043 Cu1 Cu15085 14127</t>
  </si>
  <si>
    <t>Payment Cr Netcash021Zapper6994 Zapper69944250825</t>
  </si>
  <si>
    <t>FNB OB Pmt FNB OB 000002045 Cu2 Cu24878 14262</t>
  </si>
  <si>
    <t>FNB OB Pmt FNB OB 000002046 Cu1 Cu13681 13808</t>
  </si>
  <si>
    <t>FNB OB Pmt FNB OB 000002047 Cu1 Cu15908 13795</t>
  </si>
  <si>
    <t>FNB OB Pmt FNB OB 000002048 Cu1 Cu16569 12413</t>
  </si>
  <si>
    <t>FNB OB Trf FNB OB Trf 000002049 Luxe Internal.</t>
  </si>
  <si>
    <t>FNB OB Pmt FNB OB 000002050 Cu1 Cu11907 14399</t>
  </si>
  <si>
    <t>FNB OB Pmt FNB OB 000002051 Cu2 Cu21852 14435</t>
  </si>
  <si>
    <t>FNB OB Pmt FNB OB 000002052 Cu2 Cu25582 14439</t>
  </si>
  <si>
    <t>FNB OB Pmt FNB OB 000002053 Cu1 Cu11233 14440</t>
  </si>
  <si>
    <t>FNB OB Pmt FNB OB 000002054 Cu2 Cu20804 14441</t>
  </si>
  <si>
    <t>FNB OB Pmt FNB OB 000002055 Cu1 Cu18721 14447</t>
  </si>
  <si>
    <t>FNB OB Pmt FNB OB 000002056 Cu2 Cu23154 14450</t>
  </si>
  <si>
    <t>FNB OB Pmt FNB OB 000002057 Cu2 Cu20030 14451</t>
  </si>
  <si>
    <t>FNB OB Pmt FNB OB 000002058 Cu2 Cu24734 14454</t>
  </si>
  <si>
    <t>FNB OB Pmt FNB OB 000002059 Cu2 Cu24734 14492</t>
  </si>
  <si>
    <t>FNB OB Pmt FNB OB 000002060 Cu2 Cu27850 14467</t>
  </si>
  <si>
    <t>FNB OB Pmt FNB OB 000002061 Cu1 Cu10466 14468</t>
  </si>
  <si>
    <t>FNB OB Pmt FNB OB 000002062 Cu2 Cu25832 14470</t>
  </si>
  <si>
    <t>FNB OB Pmt FNB OB 000002063 Cu2 Cu24888 14476</t>
  </si>
  <si>
    <t>FNB OB Pmt FNB OB 000002064 Cu1 Cu12103 14477</t>
  </si>
  <si>
    <t>FNB OB Pmt FNB OB 000002065 Cu2 Cu20771 14483</t>
  </si>
  <si>
    <t>FNB OB Pmt FNB OB 000002066 Cu2 Cu23786 14500</t>
  </si>
  <si>
    <t>FNB OB Pmt FNB OB 000002067 Cu1 Cu16263 14391</t>
  </si>
  <si>
    <t>FNB OB Pmt FNB OB 000002068 Cu1 Cu14666 14512</t>
  </si>
  <si>
    <t>FNB OB Trf FNB OB Trf 000002069 Luxe Internal Trans</t>
  </si>
  <si>
    <t>Magtape Credit Cu19587</t>
  </si>
  <si>
    <t>Cu19587</t>
  </si>
  <si>
    <t>Magtape Credit ABSA Bank Slu88N60557E7D404F</t>
  </si>
  <si>
    <t>Magtape Credit Ozow Slu88N6055101681A0</t>
  </si>
  <si>
    <t>FNB OB Pmt FNB OB 000002070 Cu1 Cu10151 14443</t>
  </si>
  <si>
    <t>FNB OB Pmt FNB OB 000002071 Cu1 Cu16263 14494</t>
  </si>
  <si>
    <t>FNB OB Pmt FNB OB 000002072 Cu2 Cu20030 14523</t>
  </si>
  <si>
    <t>FNB OB Pmt FNB OB 000002073 Cu1 Cu10926 14525</t>
  </si>
  <si>
    <t>FNB OB Pmt FNB OB 000002074 Cu2 Cu24176 14527</t>
  </si>
  <si>
    <t>FNB OB Pmt FNB OB 000002075 Cu1 Cu10699 14535</t>
  </si>
  <si>
    <t>Int-Banking Pmt Frm Cu22885</t>
  </si>
  <si>
    <t>Cu22885</t>
  </si>
  <si>
    <t>FNB OB Trf FNB OB Trf 000002076 Luxe Internal</t>
  </si>
  <si>
    <t>FNB OB Pmt FNB OB 000002077 Cu1 Cu11789 14491</t>
  </si>
  <si>
    <t>Outward Swift R025Pcj3V0 Cu24668 14518</t>
  </si>
  <si>
    <t>Cu24668</t>
  </si>
  <si>
    <t>FNB OB Pmt FNB OB 000002078 Cu1 Cu11257 14575</t>
  </si>
  <si>
    <t>FNB OB Pmt FNB OB 000002079 Cu2 Cu21354 14574</t>
  </si>
  <si>
    <t>FNB OB Pmt FNB OB 000002080 Cu1 Cu19420 14573</t>
  </si>
  <si>
    <t>FNB OB Pmt FNB OB 000002081 Cu1 Cu12246 14572</t>
  </si>
  <si>
    <t>FNB OB Pmt FNB OB 000002082 Cu2 Cu22771 14569</t>
  </si>
  <si>
    <t>FNB OB Pmt FNB OB 000002083 Cu2 Cu26793 14658</t>
  </si>
  <si>
    <t>FNB OB Pmt FNB OB 000002084 Cu2 Cu26722 14564</t>
  </si>
  <si>
    <t>FNB OB Pmt FNB OB 000002085 Cu2 Cu24176 14563</t>
  </si>
  <si>
    <t>FNB OB Pmt FNB OB 000002086 Cu2 Cu25275 14557</t>
  </si>
  <si>
    <t>FNB OB Pmt FNB OB 000002087 Cu2 Cu26322 14547</t>
  </si>
  <si>
    <t>FNB OB Pmt FNB OB 000002088 Cu2 Cu21706 14543</t>
  </si>
  <si>
    <t>FNB OB Pmt FNB OB 000002089 Cu2 Cu26800 14547</t>
  </si>
  <si>
    <t>FNB OB Pmt FNB OB 000002090 Cu1 Cu16494 14538</t>
  </si>
  <si>
    <t>FNB OB Pmt FNB OB 000002091 Cu2 Cu25885 14071</t>
  </si>
  <si>
    <t>FNB OB Pmt FNB OB 000002092 Lux Luxe Pre Fund Pmt</t>
  </si>
  <si>
    <t>FNB OB Pmt FNB OB 000002093 Cu2 Cu27156 14593</t>
  </si>
  <si>
    <t>Payment Cr Netcash021Zapper6994 Zapper69944250826</t>
  </si>
  <si>
    <t>FNB OB Pmt FNB OB 000002094 Cu1 Cu18922 10997</t>
  </si>
  <si>
    <t>FNB OB Pmt FNB OB 000002095 Cu1 Cu18748 13172</t>
  </si>
  <si>
    <t>FNB OB Trf FNB OB Trf 000002096 Luxe Internal</t>
  </si>
  <si>
    <t>FNB OB Trf FNB OB Trf 000002097 Luxe Internal</t>
  </si>
  <si>
    <t>FNB OB Pmt FNB OB 000002098 Cu2 Cu28935 14614</t>
  </si>
  <si>
    <t>FNB OB Pmt FNB OB 000002099 Cu2 Cu27544 14582</t>
  </si>
  <si>
    <t>FNB OB Pmt FNB OB 000002100 Cu2 Cu23879 14578</t>
  </si>
  <si>
    <t>FNB OB Pmt FNB OB 000002101 Cu1 Cu10355 14577</t>
  </si>
  <si>
    <t>FNB OB Pmt FNB OB 000002102 Cu2 Cu27236 14630</t>
  </si>
  <si>
    <t>FNB OB Pmt FNB OB 000002103 Cu1 Cu12016 14622</t>
  </si>
  <si>
    <t>Int-Banking Pmt Frm Cu25285</t>
  </si>
  <si>
    <t>Cu25285</t>
  </si>
  <si>
    <t>Magtape Credit Ozow Slu88Q51C63E0C2B6</t>
  </si>
  <si>
    <t>FNB OB Trf FNB OB Trf 000002104 Luxe Internal</t>
  </si>
  <si>
    <t>Payshap Credit Arnold Abrahams</t>
  </si>
  <si>
    <t>FNB OB Pmt FNB OB 000002105 Cu2 Cu25755 14667</t>
  </si>
  <si>
    <t>FNB OB Pmt FNB OB 000002106 Cu2 Cu28060 14666</t>
  </si>
  <si>
    <t>FNB OB Pmt FNB OB 000002107 Cu2 Cu21322 14652</t>
  </si>
  <si>
    <t>FNB OB Pmt FNB OB 000002108 Cu1 Cu10660 14647</t>
  </si>
  <si>
    <t>FNB OB Pmt FNB OB 000002109 Cu1 Cu16263 14513</t>
  </si>
  <si>
    <t>FNB OB Pmt FNB OB 000002110 Cu1 Cu10134 14663</t>
  </si>
  <si>
    <t>Payment Cr Netcash021Zapper6994 Zapper69944250827</t>
  </si>
  <si>
    <t>Int-Banking Pmt Frm Cu29072</t>
  </si>
  <si>
    <t>Cu29072</t>
  </si>
  <si>
    <t>FNB OB Pmt FNB OB 000002111 Cu1 Cu18777 14346</t>
  </si>
  <si>
    <t>FNB OB Pmt FNB OB 000002112 Cu2 Cu21494 14673</t>
  </si>
  <si>
    <t>FNB OB Pmt FNB OB 000002113 Cu1 Cu11456 14674</t>
  </si>
  <si>
    <t>FNB OB Trf FNB OB Trf 000002114 Luxe Internal</t>
  </si>
  <si>
    <t>Magtape Credit ABSA Bank Slu88R51F62984C6D</t>
  </si>
  <si>
    <t>Magtape Credit Ozow Slu88R51Fec7B29D9</t>
  </si>
  <si>
    <t>Int-Banking Pmt Frm Cu26929</t>
  </si>
  <si>
    <t>Cu26929</t>
  </si>
  <si>
    <t>Int-Banking Pmt Frm Cu20534</t>
  </si>
  <si>
    <t>Cu20534</t>
  </si>
  <si>
    <t>FNB OB Pmt FNB OB 000002121 Cu1 Cu14803 14735</t>
  </si>
  <si>
    <t>FNB OB Pmt FNB OB 000002122 Cu2 Cu23774 14736</t>
  </si>
  <si>
    <t>FNB OB Pmt FNB OB 000002123 Cu2 Cu24321 14740</t>
  </si>
  <si>
    <t>FNB OB Pmt FNB OB 000002124 Cu2 Cu26265 14750</t>
  </si>
  <si>
    <t>FNB OB Pmt FNB OB 000002125 Cu2 Cu23257 14764</t>
  </si>
  <si>
    <t>FNB OB Pmt FNB OB 000002126 Cu2 Cu23329 14765</t>
  </si>
  <si>
    <t>FNB OB Pmt FNB OB 000002127 Cu2 Cu25212 14766</t>
  </si>
  <si>
    <t>FNB OB Pmt FNB OB 000002128 Cu2 Cu23477 14776</t>
  </si>
  <si>
    <t>FNB OB Pmt FNB OB 000002129 Cu2 Cu27671 14790</t>
  </si>
  <si>
    <t>FNB OB Pmt FNB OB 000002130 Cu2 Cu23588 14793</t>
  </si>
  <si>
    <t>FNB OB Pmt FNB OB 000002131 Cu1 Cu10473 14799</t>
  </si>
  <si>
    <t>FNB OB Pmt FNB OB 000002132 Cu1 Cu18245 14803</t>
  </si>
  <si>
    <t>FNB OB Pmt FNB OB 000002133 Cu2 Cu22353 14807</t>
  </si>
  <si>
    <t>FNB OB Pmt FNB OB 000002134 Cu2 Cu25755 14808</t>
  </si>
  <si>
    <t>FNB OB Pmt FNB OB 000002135 Cu2 Cu21433 14810</t>
  </si>
  <si>
    <t>FNB OB Pmt FNB OB 000002136 Cu2 Cu25403 14813</t>
  </si>
  <si>
    <t>FNB OB Trf FNB OB Trf 000002137 Luxe Internal</t>
  </si>
  <si>
    <t>Int-Banking Pmt Frm Cu21081</t>
  </si>
  <si>
    <t>Cu21081</t>
  </si>
  <si>
    <t>FNB OB Trf FNB OB Trf 000002138 Internal Transfer</t>
  </si>
  <si>
    <t>FNB OB Pmt FNB OB 000002139 Cu2 Cu25918 14794</t>
  </si>
  <si>
    <t>FNB OB Pmt FNB OB 000002140 Cu2 Cu22903 14771</t>
  </si>
  <si>
    <t>FNB OB Pmt FNB OB 000002141 Cu2 Cu28007 14818</t>
  </si>
  <si>
    <t>FNB OB Pmt FNB OB 000002142 Cu2 Cu22944 14819</t>
  </si>
  <si>
    <t>FNB OB Pmt FNB OB 000002143 Cu1 Cu19587 14820</t>
  </si>
  <si>
    <t>FNB OB Pmt FNB OB 000002144 Cu2 Cu24233 14833</t>
  </si>
  <si>
    <t>Payment Cr Netcash021Zapper6994 Zapper69944250828</t>
  </si>
  <si>
    <t>FNB OB Pmt FNB OB 000002145 Cu2 Cu25724 14361</t>
  </si>
  <si>
    <t>Int-Banking Pmt Frm Cu28461</t>
  </si>
  <si>
    <t>Cu28461</t>
  </si>
  <si>
    <t>Int-Banking Pmt Frm Cu11530</t>
  </si>
  <si>
    <t>FNB OB Pmt FNB OB 000002119 Cu2 Cu25755 14693</t>
  </si>
  <si>
    <t>FNB OB Pmt FNB OB 000002118 Cu1 Cu15758 14725</t>
  </si>
  <si>
    <t>FNB OB Pmt FNB OB 000002116 Cu1 Cu13841 14710</t>
  </si>
  <si>
    <t>FNB OB Pmt FNB OB 000002117 Cu2 Cu21453 14724</t>
  </si>
  <si>
    <t>FNB OB Pmt FNB OB 000002115 Cu2 Cu28410 14709</t>
  </si>
  <si>
    <t>FNB OB Pmt FNB OB 000002120 Cu1 Cu15041 13267</t>
  </si>
  <si>
    <t>Magtape Credit Ozow Slu88S51D4A80148A</t>
  </si>
  <si>
    <t>Overseas Bank Charge S500P1K3K0 Sd3Gr8R0S5S5Tsk1</t>
  </si>
  <si>
    <t>FNB OB Pmt FNB OB 000002156 Lux Luxe Seminar</t>
  </si>
  <si>
    <t>Int-Banking Pmt Frm Cu28274</t>
  </si>
  <si>
    <t>Cu28274</t>
  </si>
  <si>
    <t>FNB OB Pmt FNB OB 000002157 Sem Seminar</t>
  </si>
  <si>
    <t>Payment Cr Netcash021Zapper6994 Zapper69944250829</t>
  </si>
  <si>
    <t>FNB OB Pmt FNB OB 000002166 Cu1 Cu11381</t>
  </si>
  <si>
    <t>FNB OB Pmt FNB OB 000002167 Cu2 Cu28825 14875</t>
  </si>
  <si>
    <t>FNB OB Pmt FNB OB 000002168 Cu1 Cu12691 14883</t>
  </si>
  <si>
    <t>FNB OB Pmt FNB OB 000002169 Cu2 Cu27269 14870</t>
  </si>
  <si>
    <t>FNB OB Pmt FNB OB 000002170 Cu2 Cu23195 14855</t>
  </si>
  <si>
    <t>FNB OB Pmt FNB OB 000002171 Cu2 Cu26462 14895</t>
  </si>
  <si>
    <t>FNB OB Pmt FNB OB 000002172 Cu2 Cu27143 14903</t>
  </si>
  <si>
    <t>FNB OB Pmt FNB OB 000002173 Cu1 Cu12087 14904</t>
  </si>
  <si>
    <t>FNB OB Pmt FNB OB 000002174 Cu2 Cu20534 14905</t>
  </si>
  <si>
    <t>FNB OB Pmt FNB OB 000002175 Cu2 Cu25589 14431</t>
  </si>
  <si>
    <t>FNB OB Pmt FNB OB 000002176 Cu2 Cu25735 14373</t>
  </si>
  <si>
    <t>FNB OB Pmt FNB OB 000002177 Cu2 Cu28337 14889</t>
  </si>
  <si>
    <t>FNB OB Pmt FNB OB 000002178 Cu1 Cu18286 14907</t>
  </si>
  <si>
    <t>FNB OB Pmt FNB OB 000002179 Cu2 Cu26783 14912</t>
  </si>
  <si>
    <t>FNB OB Pmt FNB OB 000002180 Cu1 Cu19078 14916</t>
  </si>
  <si>
    <t>FNB OB Pmt FNB OB 000002181 Cu2 Cu26861 14943</t>
  </si>
  <si>
    <t>FNB OB Pmt FNB OB 000002151 Cu1 Cu17806 14866</t>
  </si>
  <si>
    <t>FNB OB Pmt FNB OB 000002149 Cu1 Cu11872 14862</t>
  </si>
  <si>
    <t>FNB OB Pmt FNB OB 000002147 Cu2 Cu25700 14857</t>
  </si>
  <si>
    <t>FNB OB Pmt FNB OB 000002154 Cu1 Cu12099 14874</t>
  </si>
  <si>
    <t>FNB OB Pmt FNB OB 000002146 Cu1 Cu10933 14854</t>
  </si>
  <si>
    <t>FNB OB Pmt FNB OB 000002153 Cu2 Cu29035 14867</t>
  </si>
  <si>
    <t>FNB OB Pmt FNB OB 000002148 Cu2 Cu28702 14860</t>
  </si>
  <si>
    <t>FNB OB Pmt FNB OB 000002152 Cu1 Cu12672 14615</t>
  </si>
  <si>
    <t>FNB OB Pmt FNB OB 000002150 Cu2 Cu27310 14864</t>
  </si>
  <si>
    <t>FNB OB Pmt FNB OB 000002155 Cu2 Cu23140 14814</t>
  </si>
  <si>
    <t>Magtape Credit Cu29110</t>
  </si>
  <si>
    <t>Cu29110</t>
  </si>
  <si>
    <t>Magtape Credit ABSA Bank Slu88T51M3B9209F3</t>
  </si>
  <si>
    <t>Magtape Credit Ozow Slu88T51Mb651Df05</t>
  </si>
  <si>
    <t>FNB OB Pmt FNB OB 000002192 Luc Lucky</t>
  </si>
  <si>
    <t>FNB OB Pmt FNB OB 000002193 Lux Luxe Internal</t>
  </si>
  <si>
    <t>FNB OB Pmt FNB OB 000002183 Cu2 Cu25755 14945</t>
  </si>
  <si>
    <t>FNB OB Pmt FNB OB 000002185 Cu2 Cu29110 14957</t>
  </si>
  <si>
    <t>FNB OB Pmt FNB OB 000002182 Cu1 Cu11751 14944</t>
  </si>
  <si>
    <t>FNB OB Pmt FNB OB 000002190 Cu1 Cu11724 14966</t>
  </si>
  <si>
    <t>FNB OB Pmt FNB OB 000002188 Cu1 Cu10510 14962</t>
  </si>
  <si>
    <t>FNB OB Pmt FNB OB 000002191 Cu1 Cu17810 14967</t>
  </si>
  <si>
    <t>FNB OB Pmt FNB OB 000002186 Cu2 Cu28274 14959</t>
  </si>
  <si>
    <t>FNB OB Pmt FNB OB 000002187 Cu1 Cu14633 14960</t>
  </si>
  <si>
    <t>FNB OB Pmt FNB OB 000002189 Cu1 Cu17192 14963</t>
  </si>
  <si>
    <t>FNB OB Pmt FNB OB 000002184 Cu2 Cu24453 14954</t>
  </si>
  <si>
    <t>Rtc Credit M Jonkers 34B9092123</t>
  </si>
  <si>
    <t>Outward Swift R025P475W0 Cu25683 14873</t>
  </si>
  <si>
    <t>Outward Swift R025P47580 Cu18106 14882</t>
  </si>
  <si>
    <t>Debits</t>
  </si>
  <si>
    <t>Credits</t>
  </si>
  <si>
    <t>Net Movement</t>
  </si>
  <si>
    <t>Transaction Count</t>
  </si>
  <si>
    <t>VAT on Bank Charges</t>
  </si>
  <si>
    <t>Supplier Payments</t>
  </si>
  <si>
    <t>Total Debit</t>
  </si>
  <si>
    <t>Total Credit</t>
  </si>
  <si>
    <t>Review Required</t>
  </si>
  <si>
    <t>Bank Reconciliation</t>
  </si>
  <si>
    <t>Total credits extracted</t>
  </si>
  <si>
    <t>Total debits extracted</t>
  </si>
  <si>
    <t>Opening balance (first provided statement)</t>
  </si>
  <si>
    <t>Closing balance (last provided statement)</t>
  </si>
  <si>
    <t>Calculated closing balance</t>
  </si>
  <si>
    <t>Difference</t>
  </si>
  <si>
    <t>Review notes</t>
  </si>
  <si>
    <t>Difference will not be zero if statement months are missing between uploaded PDFs.</t>
  </si>
  <si>
    <t>Rule / Source Pattern</t>
  </si>
  <si>
    <t>Treatment</t>
  </si>
  <si>
    <t>Int-Banking Pmt Frm / Magtape Credit / Payment Cr</t>
  </si>
  <si>
    <t>Credit / income received</t>
  </si>
  <si>
    <t>Netcash / Zapper / Flash Mobile</t>
  </si>
  <si>
    <t>Credit / sales receipts via payment processor</t>
  </si>
  <si>
    <t>FNB OB Pmt</t>
  </si>
  <si>
    <t>Debit / supplier or customer payouts</t>
  </si>
  <si>
    <t>FNB OB Trf</t>
  </si>
  <si>
    <t>Debit/Credit transfer between accounts</t>
  </si>
  <si>
    <t>Account Fee / bank transaction fee / forex fee</t>
  </si>
  <si>
    <t>Debit / bank charges, VAT extracted where applicable</t>
  </si>
  <si>
    <t>Outward Swift</t>
  </si>
  <si>
    <t>Debit / international or forex-related payment</t>
  </si>
  <si>
    <t>Internet Pmt To</t>
  </si>
  <si>
    <t>Debit / online payment</t>
  </si>
  <si>
    <t>Unmatched credit</t>
  </si>
  <si>
    <t>Needs accountant review</t>
  </si>
  <si>
    <t>Unmatched debit</t>
  </si>
  <si>
    <t>Opening Balance</t>
  </si>
  <si>
    <t>Closing Balance</t>
  </si>
  <si>
    <t>Rows Extracted</t>
  </si>
  <si>
    <t>First Tx Date</t>
  </si>
  <si>
    <t>Last Tx Date</t>
  </si>
  <si>
    <t>2025-01-31</t>
  </si>
  <si>
    <t>2025-02-03</t>
  </si>
  <si>
    <t>2025-02-28</t>
  </si>
  <si>
    <t>2025-03-01</t>
  </si>
  <si>
    <t>2025-03-31</t>
  </si>
  <si>
    <t>2025-04-01</t>
  </si>
  <si>
    <t>2025-04-30</t>
  </si>
  <si>
    <t>2025-05-02</t>
  </si>
  <si>
    <t>2025-05-15</t>
  </si>
  <si>
    <t>2025-08-01</t>
  </si>
  <si>
    <t>2025-08-31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</si>
</sst>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4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4" fontId="0" fillId="3" borderId="0" xfId="0" applyNumberFormat="1" applyFill="1"/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Debits</c:v>
          </c:tx>
          <c:invertIfNegative val="1"/>
          <c:cat>
            <c:strRef>
              <c:f>'Monthly Summary'!$A$2:$A$7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2025-08</c:v>
                </c:pt>
              </c:strCache>
            </c:strRef>
          </c:cat>
          <c:val>
            <c:numRef>
              <c:f>'Monthly Summary'!$B$2:$B$7</c:f>
              <c:numCache>
                <c:formatCode>#,##0.00</c:formatCode>
                <c:ptCount val="6"/>
                <c:pt idx="0">
                  <c:v>89</c:v>
                </c:pt>
                <c:pt idx="1">
                  <c:v>290914.57999999996</c:v>
                </c:pt>
                <c:pt idx="2">
                  <c:v>919668.20999999985</c:v>
                </c:pt>
                <c:pt idx="3">
                  <c:v>513921.38000000012</c:v>
                </c:pt>
                <c:pt idx="4">
                  <c:v>428038.5</c:v>
                </c:pt>
                <c:pt idx="5">
                  <c:v>1883515.01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0-4A76-9F9B-9558B864BB0E}"/>
            </c:ext>
          </c:extLst>
        </c:ser>
        <c:ser>
          <c:idx val="1"/>
          <c:order val="1"/>
          <c:tx>
            <c:v>Credits</c:v>
          </c:tx>
          <c:invertIfNegative val="1"/>
          <c:cat>
            <c:strRef>
              <c:f>'Monthly Summary'!$A$2:$A$7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2025-08</c:v>
                </c:pt>
              </c:strCache>
            </c:strRef>
          </c:cat>
          <c:val>
            <c:numRef>
              <c:f>'Monthly Summary'!$C$2:$C$7</c:f>
              <c:numCache>
                <c:formatCode>#,##0.00</c:formatCode>
                <c:ptCount val="6"/>
                <c:pt idx="0">
                  <c:v>0</c:v>
                </c:pt>
                <c:pt idx="1">
                  <c:v>388949.24</c:v>
                </c:pt>
                <c:pt idx="2">
                  <c:v>923115</c:v>
                </c:pt>
                <c:pt idx="3">
                  <c:v>504908.94</c:v>
                </c:pt>
                <c:pt idx="4">
                  <c:v>437864</c:v>
                </c:pt>
                <c:pt idx="5">
                  <c:v>1833061.1900000002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0-4A76-9F9B-9558B864B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Net</c:v>
          </c:tx>
          <c:invertIfNegative val="1"/>
          <c:cat>
            <c:strRef>
              <c:f>Dashboard!$A$13:$A$21</c:f>
              <c:strCache>
                <c:ptCount val="9"/>
                <c:pt idx="0">
                  <c:v>Bank Charges</c:v>
                </c:pt>
                <c:pt idx="1">
                  <c:v>Card / Payment Gateway Receipts</c:v>
                </c:pt>
                <c:pt idx="2">
                  <c:v>Customer Receipts</c:v>
                </c:pt>
                <c:pt idx="3">
                  <c:v>Internal Transfers</c:v>
                </c:pt>
                <c:pt idx="4">
                  <c:v>International Payments</c:v>
                </c:pt>
                <c:pt idx="5">
                  <c:v>Online Payments</c:v>
                </c:pt>
                <c:pt idx="6">
                  <c:v>Other Income</c:v>
                </c:pt>
                <c:pt idx="7">
                  <c:v>Other Payments</c:v>
                </c:pt>
                <c:pt idx="8">
                  <c:v>Supplier / Payout Payments</c:v>
                </c:pt>
              </c:strCache>
            </c:strRef>
          </c:cat>
          <c:val>
            <c:numRef>
              <c:f>Dashboard!$B$13:$B$21</c:f>
              <c:numCache>
                <c:formatCode>#,##0.00</c:formatCode>
                <c:ptCount val="9"/>
                <c:pt idx="0">
                  <c:v>-1839</c:v>
                </c:pt>
                <c:pt idx="1">
                  <c:v>886200.57</c:v>
                </c:pt>
                <c:pt idx="2">
                  <c:v>2496071.6200000006</c:v>
                </c:pt>
                <c:pt idx="3">
                  <c:v>-226000</c:v>
                </c:pt>
                <c:pt idx="4">
                  <c:v>-51438.74</c:v>
                </c:pt>
                <c:pt idx="5">
                  <c:v>-100</c:v>
                </c:pt>
                <c:pt idx="6">
                  <c:v>235626.18</c:v>
                </c:pt>
                <c:pt idx="7">
                  <c:v>-175</c:v>
                </c:pt>
                <c:pt idx="8">
                  <c:v>-3286593.9399999985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F-414D-BD85-F6E7F6BDA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S2653">
  <tableColumns count="19">
    <tableColumn id="1" xr3:uid="{00000000-0010-0000-0000-000001000000}" name="Txn ID"/>
    <tableColumn id="2" xr3:uid="{00000000-0010-0000-0000-000002000000}" name="Date"/>
    <tableColumn id="3" xr3:uid="{00000000-0010-0000-0000-000003000000}" name="Month"/>
    <tableColumn id="4" xr3:uid="{00000000-0010-0000-0000-000004000000}" name="Statement No"/>
    <tableColumn id="5" xr3:uid="{00000000-0010-0000-0000-000005000000}" name="Source File"/>
    <tableColumn id="6" xr3:uid="{00000000-0010-0000-0000-000006000000}" name="Page"/>
    <tableColumn id="7" xr3:uid="{00000000-0010-0000-0000-000007000000}" name="Description"/>
    <tableColumn id="8" xr3:uid="{00000000-0010-0000-0000-000008000000}" name="Counterparty Code"/>
    <tableColumn id="9" xr3:uid="{00000000-0010-0000-0000-000009000000}" name="Category"/>
    <tableColumn id="10" xr3:uid="{00000000-0010-0000-0000-00000A000000}" name="GL Account"/>
    <tableColumn id="11" xr3:uid="{00000000-0010-0000-0000-00000B000000}" name="Type"/>
    <tableColumn id="12" xr3:uid="{00000000-0010-0000-0000-00000C000000}" name="Debit"/>
    <tableColumn id="13" xr3:uid="{00000000-0010-0000-0000-00000D000000}" name="Credit"/>
    <tableColumn id="14" xr3:uid="{00000000-0010-0000-0000-00000E000000}" name="Net Amount"/>
    <tableColumn id="15" xr3:uid="{00000000-0010-0000-0000-00000F000000}" name="Running Balance"/>
    <tableColumn id="16" xr3:uid="{00000000-0010-0000-0000-000010000000}" name="VAT Rate"/>
    <tableColumn id="17" xr3:uid="{00000000-0010-0000-0000-000011000000}" name="VAT Amount"/>
    <tableColumn id="18" xr3:uid="{00000000-0010-0000-0000-000012000000}" name="Review Flag"/>
    <tableColumn id="19" xr3:uid="{00000000-0010-0000-0000-000013000000}" name="Accountant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MonthlySummaryTable" displayName="MonthlySummaryTable" ref="A1:I7">
  <tableColumns count="9">
    <tableColumn id="1" xr3:uid="{00000000-0010-0000-0100-000001000000}" name="Month"/>
    <tableColumn id="2" xr3:uid="{00000000-0010-0000-0100-000002000000}" name="Debits"/>
    <tableColumn id="3" xr3:uid="{00000000-0010-0000-0100-000003000000}" name="Credits"/>
    <tableColumn id="4" xr3:uid="{00000000-0010-0000-0100-000004000000}" name="Net Movement"/>
    <tableColumn id="5" xr3:uid="{00000000-0010-0000-0100-000005000000}" name="Transaction Count"/>
    <tableColumn id="6" xr3:uid="{00000000-0010-0000-0100-000006000000}" name="Bank Charges"/>
    <tableColumn id="7" xr3:uid="{00000000-0010-0000-0100-000007000000}" name="VAT on Bank Charges"/>
    <tableColumn id="8" xr3:uid="{00000000-0010-0000-0100-000008000000}" name="Customer Receipts"/>
    <tableColumn id="9" xr3:uid="{00000000-0010-0000-0100-000009000000}" name="Supplier Pay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LTable" displayName="PLTable" ref="A1:F10">
  <tableColumns count="6">
    <tableColumn id="1" xr3:uid="{00000000-0010-0000-0200-000001000000}" name="Category"/>
    <tableColumn id="2" xr3:uid="{00000000-0010-0000-0200-000002000000}" name="GL Account"/>
    <tableColumn id="3" xr3:uid="{00000000-0010-0000-0200-000003000000}" name="Total Debit"/>
    <tableColumn id="4" xr3:uid="{00000000-0010-0000-0200-000004000000}" name="Total Credit"/>
    <tableColumn id="5" xr3:uid="{00000000-0010-0000-0200-000005000000}" name="Net"/>
    <tableColumn id="6" xr3:uid="{00000000-0010-0000-0200-000006000000}" name="Review Requi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RulesTable" displayName="RulesTable" ref="A1:D10">
  <tableColumns count="4">
    <tableColumn id="1" xr3:uid="{00000000-0010-0000-0300-000001000000}" name="Category"/>
    <tableColumn id="2" xr3:uid="{00000000-0010-0000-0300-000002000000}" name="GL Account"/>
    <tableColumn id="3" xr3:uid="{00000000-0010-0000-0300-000003000000}" name="Rule / Source Pattern"/>
    <tableColumn id="4" xr3:uid="{00000000-0010-0000-0300-000004000000}" name="Trea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SourceStatementsTable" displayName="SourceStatementsTable" ref="A1:G7">
  <tableColumns count="7">
    <tableColumn id="1" xr3:uid="{00000000-0010-0000-0400-000001000000}" name="Source File"/>
    <tableColumn id="2" xr3:uid="{00000000-0010-0000-0400-000002000000}" name="Statement No"/>
    <tableColumn id="3" xr3:uid="{00000000-0010-0000-0400-000003000000}" name="Opening Balance"/>
    <tableColumn id="4" xr3:uid="{00000000-0010-0000-0400-000004000000}" name="Closing Balance"/>
    <tableColumn id="5" xr3:uid="{00000000-0010-0000-0400-000005000000}" name="Rows Extracted"/>
    <tableColumn id="6" xr3:uid="{00000000-0010-0000-0400-000006000000}" name="First Tx Date"/>
    <tableColumn id="7" xr3:uid="{00000000-0010-0000-0400-000007000000}" name="Last Tx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14" sqref="A14"/>
    </sheetView>
  </sheetViews>
  <sheetFormatPr defaultRowHeight="14.25"/>
  <cols>
    <col min="1" max="1" width="41.125" customWidth="1"/>
    <col min="2" max="2" width="66.25" bestFit="1" customWidth="1"/>
  </cols>
  <sheetData>
    <row r="1" spans="1:2" ht="20.25">
      <c r="A1" s="3" t="s">
        <v>0</v>
      </c>
      <c r="B1" s="3"/>
    </row>
    <row r="2" spans="1:2">
      <c r="A2" s="4" t="s">
        <v>1</v>
      </c>
      <c r="B2" s="4" t="s">
        <v>2</v>
      </c>
    </row>
    <row r="3" spans="1:2">
      <c r="A3" s="4" t="s">
        <v>3</v>
      </c>
      <c r="B3" s="4">
        <v>6</v>
      </c>
    </row>
    <row r="4" spans="1:2">
      <c r="A4" s="4" t="s">
        <v>4</v>
      </c>
      <c r="B4" s="4">
        <v>2652</v>
      </c>
    </row>
    <row r="5" spans="1:2">
      <c r="A5" s="4" t="s">
        <v>5</v>
      </c>
      <c r="B5" s="4" t="s">
        <v>6</v>
      </c>
    </row>
    <row r="6" spans="1:2">
      <c r="A6" s="4" t="s">
        <v>7</v>
      </c>
      <c r="B6" s="8">
        <f>SUM(Transactions!M:M)</f>
        <v>4087898.37</v>
      </c>
    </row>
    <row r="7" spans="1:2">
      <c r="A7" s="4" t="s">
        <v>8</v>
      </c>
      <c r="B7" s="8">
        <f>SUM(Transactions!L:L)</f>
        <v>4036146.6799999974</v>
      </c>
    </row>
    <row r="8" spans="1:2">
      <c r="A8" s="4" t="s">
        <v>9</v>
      </c>
      <c r="B8" s="8">
        <f>B6-B7</f>
        <v>51751.690000002738</v>
      </c>
    </row>
    <row r="9" spans="1:2">
      <c r="A9" s="4" t="s">
        <v>10</v>
      </c>
      <c r="B9" s="8">
        <f>COUNTIF(Transactions!R:R,"Review")</f>
        <v>16</v>
      </c>
    </row>
    <row r="10" spans="1:2">
      <c r="A10" s="4" t="s">
        <v>11</v>
      </c>
      <c r="B10" s="8">
        <f>SUM(Transactions!Q:Q)</f>
        <v>239.86999999999998</v>
      </c>
    </row>
    <row r="12" spans="1:2" ht="15">
      <c r="A12" s="1" t="s">
        <v>12</v>
      </c>
      <c r="B12" s="1" t="s">
        <v>13</v>
      </c>
    </row>
    <row r="13" spans="1:2">
      <c r="A13" t="s">
        <v>14</v>
      </c>
      <c r="B13" s="6">
        <f>SUMIFS(Transactions!N:N,Transactions!I:I,A13)</f>
        <v>-1839</v>
      </c>
    </row>
    <row r="14" spans="1:2">
      <c r="A14" t="s">
        <v>15</v>
      </c>
      <c r="B14" s="6">
        <f>SUMIFS(Transactions!N:N,Transactions!I:I,A14)</f>
        <v>886200.57</v>
      </c>
    </row>
    <row r="15" spans="1:2">
      <c r="A15" t="s">
        <v>16</v>
      </c>
      <c r="B15" s="6">
        <f>SUMIFS(Transactions!N:N,Transactions!I:I,A15)</f>
        <v>2496071.6200000006</v>
      </c>
    </row>
    <row r="16" spans="1:2">
      <c r="A16" t="s">
        <v>17</v>
      </c>
      <c r="B16" s="6">
        <f>SUMIFS(Transactions!N:N,Transactions!I:I,A16)</f>
        <v>-226000</v>
      </c>
    </row>
    <row r="17" spans="1:2">
      <c r="A17" t="s">
        <v>18</v>
      </c>
      <c r="B17" s="6">
        <f>SUMIFS(Transactions!N:N,Transactions!I:I,A17)</f>
        <v>-51438.74</v>
      </c>
    </row>
    <row r="18" spans="1:2">
      <c r="A18" t="s">
        <v>19</v>
      </c>
      <c r="B18" s="6">
        <f>SUMIFS(Transactions!N:N,Transactions!I:I,A18)</f>
        <v>-100</v>
      </c>
    </row>
    <row r="19" spans="1:2">
      <c r="A19" t="s">
        <v>20</v>
      </c>
      <c r="B19" s="6">
        <f>SUMIFS(Transactions!N:N,Transactions!I:I,A19)</f>
        <v>235626.18</v>
      </c>
    </row>
    <row r="20" spans="1:2">
      <c r="A20" t="s">
        <v>21</v>
      </c>
      <c r="B20" s="6">
        <f>SUMIFS(Transactions!N:N,Transactions!I:I,A20)</f>
        <v>-175</v>
      </c>
    </row>
    <row r="21" spans="1:2">
      <c r="A21" t="s">
        <v>22</v>
      </c>
      <c r="B21" s="6">
        <f>SUMIFS(Transactions!N:N,Transactions!I:I,A21)</f>
        <v>-3286593.9399999985</v>
      </c>
    </row>
    <row r="22" spans="1:2">
      <c r="B22" s="6"/>
    </row>
    <row r="23" spans="1:2">
      <c r="B23" s="6"/>
    </row>
    <row r="24" spans="1:2">
      <c r="B24" s="6"/>
    </row>
    <row r="25" spans="1:2">
      <c r="B25" s="6"/>
    </row>
    <row r="26" spans="1:2">
      <c r="B26" s="6"/>
    </row>
    <row r="27" spans="1:2">
      <c r="B27" s="6"/>
    </row>
    <row r="28" spans="1:2">
      <c r="B28" s="6"/>
    </row>
    <row r="29" spans="1:2">
      <c r="B29" s="6"/>
    </row>
    <row r="30" spans="1:2">
      <c r="B3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53"/>
  <sheetViews>
    <sheetView topLeftCell="A2616" workbookViewId="0"/>
  </sheetViews>
  <sheetFormatPr defaultRowHeight="14.25"/>
  <cols>
    <col min="1" max="1" width="10" customWidth="1"/>
    <col min="2" max="2" width="12" customWidth="1"/>
    <col min="3" max="3" width="10" customWidth="1"/>
    <col min="4" max="4" width="12" customWidth="1"/>
    <col min="5" max="5" width="28" customWidth="1"/>
    <col min="6" max="6" width="8" customWidth="1"/>
    <col min="7" max="7" width="45" customWidth="1"/>
    <col min="8" max="8" width="14" customWidth="1"/>
    <col min="9" max="10" width="28" customWidth="1"/>
    <col min="11" max="11" width="10" customWidth="1"/>
    <col min="12" max="17" width="14" customWidth="1"/>
    <col min="18" max="18" width="12" customWidth="1"/>
    <col min="19" max="19" width="30" customWidth="1"/>
  </cols>
  <sheetData>
    <row r="1" spans="1:19" ht="21.95" customHeight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</row>
    <row r="2" spans="1:19">
      <c r="A2">
        <v>1</v>
      </c>
      <c r="B2" s="5">
        <v>45688</v>
      </c>
      <c r="C2" t="s">
        <v>42</v>
      </c>
      <c r="D2" t="s">
        <v>43</v>
      </c>
      <c r="E2" t="s">
        <v>44</v>
      </c>
      <c r="F2">
        <v>1</v>
      </c>
      <c r="G2" t="s">
        <v>45</v>
      </c>
      <c r="I2" t="s">
        <v>14</v>
      </c>
      <c r="J2" t="s">
        <v>46</v>
      </c>
      <c r="K2" t="s">
        <v>34</v>
      </c>
      <c r="L2" s="6">
        <v>89</v>
      </c>
      <c r="M2" s="6">
        <v>0</v>
      </c>
      <c r="N2" s="6">
        <v>-89</v>
      </c>
      <c r="O2" s="6">
        <v>839.82</v>
      </c>
      <c r="P2" s="7">
        <v>0.15</v>
      </c>
      <c r="Q2" s="6">
        <v>11.61</v>
      </c>
    </row>
    <row r="3" spans="1:19">
      <c r="A3">
        <v>2</v>
      </c>
      <c r="B3" s="5">
        <v>45691</v>
      </c>
      <c r="C3" t="s">
        <v>47</v>
      </c>
      <c r="D3" t="s">
        <v>48</v>
      </c>
      <c r="E3" t="s">
        <v>49</v>
      </c>
      <c r="F3">
        <v>1</v>
      </c>
      <c r="G3" t="s">
        <v>50</v>
      </c>
      <c r="H3" t="s">
        <v>51</v>
      </c>
      <c r="I3" t="s">
        <v>16</v>
      </c>
      <c r="J3" t="s">
        <v>52</v>
      </c>
      <c r="K3" t="s">
        <v>35</v>
      </c>
      <c r="L3" s="6">
        <v>0</v>
      </c>
      <c r="M3" s="6">
        <v>10</v>
      </c>
      <c r="N3" s="6">
        <v>10</v>
      </c>
      <c r="O3" s="6">
        <v>849.82</v>
      </c>
      <c r="P3" s="7">
        <v>0</v>
      </c>
      <c r="Q3" s="6">
        <v>0</v>
      </c>
    </row>
    <row r="4" spans="1:19">
      <c r="A4">
        <v>3</v>
      </c>
      <c r="B4" s="5">
        <v>45695</v>
      </c>
      <c r="C4" t="s">
        <v>47</v>
      </c>
      <c r="D4" t="s">
        <v>48</v>
      </c>
      <c r="E4" t="s">
        <v>49</v>
      </c>
      <c r="F4">
        <v>1</v>
      </c>
      <c r="G4" t="s">
        <v>53</v>
      </c>
      <c r="H4" t="s">
        <v>54</v>
      </c>
      <c r="I4" t="s">
        <v>16</v>
      </c>
      <c r="J4" t="s">
        <v>52</v>
      </c>
      <c r="K4" t="s">
        <v>35</v>
      </c>
      <c r="L4" s="6">
        <v>0</v>
      </c>
      <c r="M4" s="6">
        <v>10</v>
      </c>
      <c r="N4" s="6">
        <v>10</v>
      </c>
      <c r="O4" s="6">
        <v>859.82</v>
      </c>
      <c r="P4" s="7">
        <v>0</v>
      </c>
      <c r="Q4" s="6">
        <v>0</v>
      </c>
    </row>
    <row r="5" spans="1:19">
      <c r="A5">
        <v>4</v>
      </c>
      <c r="B5" s="5">
        <v>45695</v>
      </c>
      <c r="C5" t="s">
        <v>47</v>
      </c>
      <c r="D5" t="s">
        <v>48</v>
      </c>
      <c r="E5" t="s">
        <v>49</v>
      </c>
      <c r="F5">
        <v>1</v>
      </c>
      <c r="G5" t="s">
        <v>55</v>
      </c>
      <c r="H5" t="s">
        <v>56</v>
      </c>
      <c r="I5" t="s">
        <v>16</v>
      </c>
      <c r="J5" t="s">
        <v>52</v>
      </c>
      <c r="K5" t="s">
        <v>35</v>
      </c>
      <c r="L5" s="6">
        <v>0</v>
      </c>
      <c r="M5" s="6">
        <v>10</v>
      </c>
      <c r="N5" s="6">
        <v>10</v>
      </c>
      <c r="O5" s="6">
        <v>869.82</v>
      </c>
      <c r="P5" s="7">
        <v>0</v>
      </c>
      <c r="Q5" s="6">
        <v>0</v>
      </c>
    </row>
    <row r="6" spans="1:19">
      <c r="A6">
        <v>5</v>
      </c>
      <c r="B6" s="5">
        <v>45698</v>
      </c>
      <c r="C6" t="s">
        <v>47</v>
      </c>
      <c r="D6" t="s">
        <v>48</v>
      </c>
      <c r="E6" t="s">
        <v>49</v>
      </c>
      <c r="F6">
        <v>1</v>
      </c>
      <c r="G6" t="s">
        <v>57</v>
      </c>
      <c r="H6" t="s">
        <v>58</v>
      </c>
      <c r="I6" t="s">
        <v>16</v>
      </c>
      <c r="J6" t="s">
        <v>52</v>
      </c>
      <c r="K6" t="s">
        <v>35</v>
      </c>
      <c r="L6" s="6">
        <v>0</v>
      </c>
      <c r="M6" s="6">
        <v>10</v>
      </c>
      <c r="N6" s="6">
        <v>10</v>
      </c>
      <c r="O6" s="6">
        <v>879.82</v>
      </c>
      <c r="P6" s="7">
        <v>0</v>
      </c>
      <c r="Q6" s="6">
        <v>0</v>
      </c>
    </row>
    <row r="7" spans="1:19">
      <c r="A7">
        <v>6</v>
      </c>
      <c r="B7" s="5">
        <v>45700</v>
      </c>
      <c r="C7" t="s">
        <v>47</v>
      </c>
      <c r="D7" t="s">
        <v>48</v>
      </c>
      <c r="E7" t="s">
        <v>49</v>
      </c>
      <c r="F7">
        <v>1</v>
      </c>
      <c r="G7" t="s">
        <v>59</v>
      </c>
      <c r="H7" t="s">
        <v>60</v>
      </c>
      <c r="I7" t="s">
        <v>16</v>
      </c>
      <c r="J7" t="s">
        <v>52</v>
      </c>
      <c r="K7" t="s">
        <v>35</v>
      </c>
      <c r="L7" s="6">
        <v>0</v>
      </c>
      <c r="M7" s="6">
        <v>50</v>
      </c>
      <c r="N7" s="6">
        <v>50</v>
      </c>
      <c r="O7" s="6">
        <v>929.82</v>
      </c>
      <c r="P7" s="7">
        <v>0</v>
      </c>
      <c r="Q7" s="6">
        <v>0</v>
      </c>
    </row>
    <row r="8" spans="1:19">
      <c r="A8">
        <v>7</v>
      </c>
      <c r="B8" s="5">
        <v>45700</v>
      </c>
      <c r="C8" t="s">
        <v>47</v>
      </c>
      <c r="D8" t="s">
        <v>48</v>
      </c>
      <c r="E8" t="s">
        <v>49</v>
      </c>
      <c r="F8">
        <v>1</v>
      </c>
      <c r="G8" t="s">
        <v>59</v>
      </c>
      <c r="H8" t="s">
        <v>60</v>
      </c>
      <c r="I8" t="s">
        <v>16</v>
      </c>
      <c r="J8" t="s">
        <v>52</v>
      </c>
      <c r="K8" t="s">
        <v>35</v>
      </c>
      <c r="L8" s="6">
        <v>0</v>
      </c>
      <c r="M8" s="6">
        <v>20</v>
      </c>
      <c r="N8" s="6">
        <v>20</v>
      </c>
      <c r="O8" s="6">
        <v>949.82</v>
      </c>
      <c r="P8" s="7">
        <v>0</v>
      </c>
      <c r="Q8" s="6">
        <v>0</v>
      </c>
    </row>
    <row r="9" spans="1:19">
      <c r="A9">
        <v>8</v>
      </c>
      <c r="B9" s="5">
        <v>45700</v>
      </c>
      <c r="C9" t="s">
        <v>47</v>
      </c>
      <c r="D9" t="s">
        <v>48</v>
      </c>
      <c r="E9" t="s">
        <v>49</v>
      </c>
      <c r="F9">
        <v>1</v>
      </c>
      <c r="G9" t="s">
        <v>59</v>
      </c>
      <c r="H9" t="s">
        <v>60</v>
      </c>
      <c r="I9" t="s">
        <v>16</v>
      </c>
      <c r="J9" t="s">
        <v>52</v>
      </c>
      <c r="K9" t="s">
        <v>35</v>
      </c>
      <c r="L9" s="6">
        <v>0</v>
      </c>
      <c r="M9" s="6">
        <v>100</v>
      </c>
      <c r="N9" s="6">
        <v>100</v>
      </c>
      <c r="O9" s="6">
        <v>1049.82</v>
      </c>
      <c r="P9" s="7">
        <v>0</v>
      </c>
      <c r="Q9" s="6">
        <v>0</v>
      </c>
    </row>
    <row r="10" spans="1:19">
      <c r="A10">
        <v>9</v>
      </c>
      <c r="B10" s="5">
        <v>45700</v>
      </c>
      <c r="C10" t="s">
        <v>47</v>
      </c>
      <c r="D10" t="s">
        <v>48</v>
      </c>
      <c r="E10" t="s">
        <v>49</v>
      </c>
      <c r="F10">
        <v>1</v>
      </c>
      <c r="G10" t="s">
        <v>61</v>
      </c>
      <c r="H10" t="s">
        <v>62</v>
      </c>
      <c r="I10" t="s">
        <v>16</v>
      </c>
      <c r="J10" t="s">
        <v>52</v>
      </c>
      <c r="K10" t="s">
        <v>35</v>
      </c>
      <c r="L10" s="6">
        <v>0</v>
      </c>
      <c r="M10" s="6">
        <v>5000</v>
      </c>
      <c r="N10" s="6">
        <v>5000</v>
      </c>
      <c r="O10" s="6">
        <v>6049.82</v>
      </c>
      <c r="P10" s="7">
        <v>0</v>
      </c>
      <c r="Q10" s="6">
        <v>0</v>
      </c>
    </row>
    <row r="11" spans="1:19">
      <c r="A11">
        <v>10</v>
      </c>
      <c r="B11" s="5">
        <v>45700</v>
      </c>
      <c r="C11" t="s">
        <v>47</v>
      </c>
      <c r="D11" t="s">
        <v>48</v>
      </c>
      <c r="E11" t="s">
        <v>49</v>
      </c>
      <c r="F11">
        <v>1</v>
      </c>
      <c r="G11" t="s">
        <v>63</v>
      </c>
      <c r="I11" t="s">
        <v>17</v>
      </c>
      <c r="J11" t="s">
        <v>64</v>
      </c>
      <c r="K11" t="s">
        <v>35</v>
      </c>
      <c r="L11" s="6">
        <v>0</v>
      </c>
      <c r="M11" s="6">
        <v>100000</v>
      </c>
      <c r="N11" s="6">
        <v>100000</v>
      </c>
      <c r="O11" s="6">
        <v>106049.82</v>
      </c>
      <c r="P11" s="7">
        <v>0</v>
      </c>
      <c r="Q11" s="6">
        <v>0</v>
      </c>
    </row>
    <row r="12" spans="1:19">
      <c r="A12">
        <v>11</v>
      </c>
      <c r="B12" s="5">
        <v>45700</v>
      </c>
      <c r="C12" t="s">
        <v>47</v>
      </c>
      <c r="D12" t="s">
        <v>48</v>
      </c>
      <c r="E12" t="s">
        <v>49</v>
      </c>
      <c r="F12">
        <v>1</v>
      </c>
      <c r="G12" t="s">
        <v>65</v>
      </c>
      <c r="H12" t="s">
        <v>66</v>
      </c>
      <c r="I12" t="s">
        <v>22</v>
      </c>
      <c r="J12" t="s">
        <v>67</v>
      </c>
      <c r="K12" t="s">
        <v>34</v>
      </c>
      <c r="L12" s="6">
        <v>33597.72</v>
      </c>
      <c r="M12" s="6">
        <v>0</v>
      </c>
      <c r="N12" s="6">
        <v>-33597.72</v>
      </c>
      <c r="O12" s="6">
        <v>72452.100000000006</v>
      </c>
      <c r="P12" s="7">
        <v>0</v>
      </c>
      <c r="Q12" s="6">
        <v>0</v>
      </c>
    </row>
    <row r="13" spans="1:19">
      <c r="A13">
        <v>12</v>
      </c>
      <c r="B13" s="5">
        <v>45700</v>
      </c>
      <c r="C13" t="s">
        <v>47</v>
      </c>
      <c r="D13" t="s">
        <v>48</v>
      </c>
      <c r="E13" t="s">
        <v>49</v>
      </c>
      <c r="F13">
        <v>1</v>
      </c>
      <c r="G13" t="s">
        <v>68</v>
      </c>
      <c r="H13" t="s">
        <v>66</v>
      </c>
      <c r="I13" t="s">
        <v>22</v>
      </c>
      <c r="J13" t="s">
        <v>67</v>
      </c>
      <c r="K13" t="s">
        <v>34</v>
      </c>
      <c r="L13" s="6">
        <v>137.51</v>
      </c>
      <c r="M13" s="6">
        <v>0</v>
      </c>
      <c r="N13" s="6">
        <v>-137.51</v>
      </c>
      <c r="O13" s="6">
        <v>72314.59</v>
      </c>
      <c r="P13" s="7">
        <v>0</v>
      </c>
      <c r="Q13" s="6">
        <v>0</v>
      </c>
    </row>
    <row r="14" spans="1:19">
      <c r="A14">
        <v>13</v>
      </c>
      <c r="B14" s="5">
        <v>45701</v>
      </c>
      <c r="C14" t="s">
        <v>47</v>
      </c>
      <c r="D14" t="s">
        <v>48</v>
      </c>
      <c r="E14" t="s">
        <v>49</v>
      </c>
      <c r="F14">
        <v>1</v>
      </c>
      <c r="G14" t="s">
        <v>69</v>
      </c>
      <c r="H14" t="s">
        <v>70</v>
      </c>
      <c r="I14" t="s">
        <v>16</v>
      </c>
      <c r="J14" t="s">
        <v>52</v>
      </c>
      <c r="K14" t="s">
        <v>35</v>
      </c>
      <c r="L14" s="6">
        <v>0</v>
      </c>
      <c r="M14" s="6">
        <v>2000</v>
      </c>
      <c r="N14" s="6">
        <v>2000</v>
      </c>
      <c r="O14" s="6">
        <v>74314.59</v>
      </c>
      <c r="P14" s="7">
        <v>0</v>
      </c>
      <c r="Q14" s="6">
        <v>0</v>
      </c>
    </row>
    <row r="15" spans="1:19">
      <c r="A15">
        <v>14</v>
      </c>
      <c r="B15" s="5">
        <v>45701</v>
      </c>
      <c r="C15" t="s">
        <v>47</v>
      </c>
      <c r="D15" t="s">
        <v>48</v>
      </c>
      <c r="E15" t="s">
        <v>49</v>
      </c>
      <c r="F15">
        <v>1</v>
      </c>
      <c r="G15" t="s">
        <v>71</v>
      </c>
      <c r="H15" t="s">
        <v>72</v>
      </c>
      <c r="I15" t="s">
        <v>16</v>
      </c>
      <c r="J15" t="s">
        <v>52</v>
      </c>
      <c r="K15" t="s">
        <v>35</v>
      </c>
      <c r="L15" s="6">
        <v>0</v>
      </c>
      <c r="M15" s="6">
        <v>3000</v>
      </c>
      <c r="N15" s="6">
        <v>3000</v>
      </c>
      <c r="O15" s="6">
        <v>77314.59</v>
      </c>
      <c r="P15" s="7">
        <v>0</v>
      </c>
      <c r="Q15" s="6">
        <v>0</v>
      </c>
    </row>
    <row r="16" spans="1:19">
      <c r="A16">
        <v>15</v>
      </c>
      <c r="B16" s="5">
        <v>45701</v>
      </c>
      <c r="C16" t="s">
        <v>47</v>
      </c>
      <c r="D16" t="s">
        <v>48</v>
      </c>
      <c r="E16" t="s">
        <v>49</v>
      </c>
      <c r="F16">
        <v>1</v>
      </c>
      <c r="G16" t="s">
        <v>69</v>
      </c>
      <c r="H16" t="s">
        <v>70</v>
      </c>
      <c r="I16" t="s">
        <v>16</v>
      </c>
      <c r="J16" t="s">
        <v>52</v>
      </c>
      <c r="K16" t="s">
        <v>35</v>
      </c>
      <c r="L16" s="6">
        <v>0</v>
      </c>
      <c r="M16" s="6">
        <v>3000</v>
      </c>
      <c r="N16" s="6">
        <v>3000</v>
      </c>
      <c r="O16" s="6">
        <v>80314.59</v>
      </c>
      <c r="P16" s="7">
        <v>0</v>
      </c>
      <c r="Q16" s="6">
        <v>0</v>
      </c>
    </row>
    <row r="17" spans="1:17">
      <c r="A17">
        <v>16</v>
      </c>
      <c r="B17" s="5">
        <v>45701</v>
      </c>
      <c r="C17" t="s">
        <v>47</v>
      </c>
      <c r="D17" t="s">
        <v>48</v>
      </c>
      <c r="E17" t="s">
        <v>49</v>
      </c>
      <c r="F17">
        <v>1</v>
      </c>
      <c r="G17" t="s">
        <v>73</v>
      </c>
      <c r="H17" t="s">
        <v>66</v>
      </c>
      <c r="I17" t="s">
        <v>22</v>
      </c>
      <c r="J17" t="s">
        <v>67</v>
      </c>
      <c r="K17" t="s">
        <v>34</v>
      </c>
      <c r="L17" s="6">
        <v>3000</v>
      </c>
      <c r="M17" s="6">
        <v>0</v>
      </c>
      <c r="N17" s="6">
        <v>-3000</v>
      </c>
      <c r="O17" s="6">
        <v>77314.59</v>
      </c>
      <c r="P17" s="7">
        <v>0</v>
      </c>
      <c r="Q17" s="6">
        <v>0</v>
      </c>
    </row>
    <row r="18" spans="1:17">
      <c r="A18">
        <v>17</v>
      </c>
      <c r="B18" s="5">
        <v>45701</v>
      </c>
      <c r="C18" t="s">
        <v>47</v>
      </c>
      <c r="D18" t="s">
        <v>48</v>
      </c>
      <c r="E18" t="s">
        <v>49</v>
      </c>
      <c r="F18">
        <v>1</v>
      </c>
      <c r="G18" t="s">
        <v>74</v>
      </c>
      <c r="H18" t="s">
        <v>75</v>
      </c>
      <c r="I18" t="s">
        <v>16</v>
      </c>
      <c r="J18" t="s">
        <v>52</v>
      </c>
      <c r="K18" t="s">
        <v>35</v>
      </c>
      <c r="L18" s="6">
        <v>0</v>
      </c>
      <c r="M18" s="6">
        <v>10000</v>
      </c>
      <c r="N18" s="6">
        <v>10000</v>
      </c>
      <c r="O18" s="6">
        <v>87314.59</v>
      </c>
      <c r="P18" s="7">
        <v>0</v>
      </c>
      <c r="Q18" s="6">
        <v>0</v>
      </c>
    </row>
    <row r="19" spans="1:17">
      <c r="A19">
        <v>18</v>
      </c>
      <c r="B19" s="5">
        <v>45701</v>
      </c>
      <c r="C19" t="s">
        <v>47</v>
      </c>
      <c r="D19" t="s">
        <v>48</v>
      </c>
      <c r="E19" t="s">
        <v>49</v>
      </c>
      <c r="F19">
        <v>1</v>
      </c>
      <c r="G19" t="s">
        <v>76</v>
      </c>
      <c r="H19" t="s">
        <v>77</v>
      </c>
      <c r="I19" t="s">
        <v>16</v>
      </c>
      <c r="J19" t="s">
        <v>52</v>
      </c>
      <c r="K19" t="s">
        <v>35</v>
      </c>
      <c r="L19" s="6">
        <v>0</v>
      </c>
      <c r="M19" s="6">
        <v>9000</v>
      </c>
      <c r="N19" s="6">
        <v>9000</v>
      </c>
      <c r="O19" s="6">
        <v>96314.59</v>
      </c>
      <c r="P19" s="7">
        <v>0</v>
      </c>
      <c r="Q19" s="6">
        <v>0</v>
      </c>
    </row>
    <row r="20" spans="1:17">
      <c r="A20">
        <v>19</v>
      </c>
      <c r="B20" s="5">
        <v>45701</v>
      </c>
      <c r="C20" t="s">
        <v>47</v>
      </c>
      <c r="D20" t="s">
        <v>48</v>
      </c>
      <c r="E20" t="s">
        <v>49</v>
      </c>
      <c r="F20">
        <v>1</v>
      </c>
      <c r="G20" t="s">
        <v>78</v>
      </c>
      <c r="I20" t="s">
        <v>19</v>
      </c>
      <c r="J20" t="s">
        <v>19</v>
      </c>
      <c r="K20" t="s">
        <v>34</v>
      </c>
      <c r="L20" s="6">
        <v>100</v>
      </c>
      <c r="M20" s="6">
        <v>0</v>
      </c>
      <c r="N20" s="6">
        <v>-100</v>
      </c>
      <c r="O20" s="6">
        <v>96214.59</v>
      </c>
      <c r="P20" s="7">
        <v>0</v>
      </c>
      <c r="Q20" s="6">
        <v>0</v>
      </c>
    </row>
    <row r="21" spans="1:17">
      <c r="A21">
        <v>20</v>
      </c>
      <c r="B21" s="5">
        <v>45701</v>
      </c>
      <c r="C21" t="s">
        <v>47</v>
      </c>
      <c r="D21" t="s">
        <v>48</v>
      </c>
      <c r="E21" t="s">
        <v>49</v>
      </c>
      <c r="F21">
        <v>1</v>
      </c>
      <c r="G21" t="s">
        <v>76</v>
      </c>
      <c r="H21" t="s">
        <v>77</v>
      </c>
      <c r="I21" t="s">
        <v>16</v>
      </c>
      <c r="J21" t="s">
        <v>52</v>
      </c>
      <c r="K21" t="s">
        <v>35</v>
      </c>
      <c r="L21" s="6">
        <v>0</v>
      </c>
      <c r="M21" s="6">
        <v>20000</v>
      </c>
      <c r="N21" s="6">
        <v>20000</v>
      </c>
      <c r="O21" s="6">
        <v>116214.59</v>
      </c>
      <c r="P21" s="7">
        <v>0</v>
      </c>
      <c r="Q21" s="6">
        <v>0</v>
      </c>
    </row>
    <row r="22" spans="1:17">
      <c r="A22">
        <v>21</v>
      </c>
      <c r="B22" s="5">
        <v>45701</v>
      </c>
      <c r="C22" t="s">
        <v>47</v>
      </c>
      <c r="D22" t="s">
        <v>48</v>
      </c>
      <c r="E22" t="s">
        <v>49</v>
      </c>
      <c r="F22">
        <v>1</v>
      </c>
      <c r="G22" t="s">
        <v>79</v>
      </c>
      <c r="H22" t="s">
        <v>66</v>
      </c>
      <c r="I22" t="s">
        <v>22</v>
      </c>
      <c r="J22" t="s">
        <v>67</v>
      </c>
      <c r="K22" t="s">
        <v>34</v>
      </c>
      <c r="L22" s="6">
        <v>209.33</v>
      </c>
      <c r="M22" s="6">
        <v>0</v>
      </c>
      <c r="N22" s="6">
        <v>-209.33</v>
      </c>
      <c r="O22" s="6">
        <v>116005.26</v>
      </c>
      <c r="P22" s="7">
        <v>0</v>
      </c>
      <c r="Q22" s="6">
        <v>0</v>
      </c>
    </row>
    <row r="23" spans="1:17">
      <c r="A23">
        <v>22</v>
      </c>
      <c r="B23" s="5">
        <v>45701</v>
      </c>
      <c r="C23" t="s">
        <v>47</v>
      </c>
      <c r="D23" t="s">
        <v>48</v>
      </c>
      <c r="E23" t="s">
        <v>49</v>
      </c>
      <c r="F23">
        <v>1</v>
      </c>
      <c r="G23" t="s">
        <v>80</v>
      </c>
      <c r="H23" t="s">
        <v>66</v>
      </c>
      <c r="I23" t="s">
        <v>22</v>
      </c>
      <c r="J23" t="s">
        <v>67</v>
      </c>
      <c r="K23" t="s">
        <v>34</v>
      </c>
      <c r="L23" s="6">
        <v>337.84</v>
      </c>
      <c r="M23" s="6">
        <v>0</v>
      </c>
      <c r="N23" s="6">
        <v>-337.84</v>
      </c>
      <c r="O23" s="6">
        <v>115667.42</v>
      </c>
      <c r="P23" s="7">
        <v>0</v>
      </c>
      <c r="Q23" s="6">
        <v>0</v>
      </c>
    </row>
    <row r="24" spans="1:17">
      <c r="A24">
        <v>23</v>
      </c>
      <c r="B24" s="5">
        <v>45702</v>
      </c>
      <c r="C24" t="s">
        <v>47</v>
      </c>
      <c r="D24" t="s">
        <v>48</v>
      </c>
      <c r="E24" t="s">
        <v>49</v>
      </c>
      <c r="F24">
        <v>1</v>
      </c>
      <c r="G24" t="s">
        <v>81</v>
      </c>
      <c r="H24" t="s">
        <v>82</v>
      </c>
      <c r="I24" t="s">
        <v>16</v>
      </c>
      <c r="J24" t="s">
        <v>52</v>
      </c>
      <c r="K24" t="s">
        <v>35</v>
      </c>
      <c r="L24" s="6">
        <v>0</v>
      </c>
      <c r="M24" s="6">
        <v>100</v>
      </c>
      <c r="N24" s="6">
        <v>100</v>
      </c>
      <c r="O24" s="6">
        <v>115767.42</v>
      </c>
      <c r="P24" s="7">
        <v>0</v>
      </c>
      <c r="Q24" s="6">
        <v>0</v>
      </c>
    </row>
    <row r="25" spans="1:17">
      <c r="A25">
        <v>24</v>
      </c>
      <c r="B25" s="5">
        <v>45702</v>
      </c>
      <c r="C25" t="s">
        <v>47</v>
      </c>
      <c r="D25" t="s">
        <v>48</v>
      </c>
      <c r="E25" t="s">
        <v>49</v>
      </c>
      <c r="F25">
        <v>1</v>
      </c>
      <c r="G25" t="s">
        <v>83</v>
      </c>
      <c r="H25" t="s">
        <v>66</v>
      </c>
      <c r="I25" t="s">
        <v>22</v>
      </c>
      <c r="J25" t="s">
        <v>67</v>
      </c>
      <c r="K25" t="s">
        <v>34</v>
      </c>
      <c r="L25" s="6">
        <v>41334</v>
      </c>
      <c r="M25" s="6">
        <v>0</v>
      </c>
      <c r="N25" s="6">
        <v>-41334</v>
      </c>
      <c r="O25" s="6">
        <v>74433.42</v>
      </c>
      <c r="P25" s="7">
        <v>0</v>
      </c>
      <c r="Q25" s="6">
        <v>0</v>
      </c>
    </row>
    <row r="26" spans="1:17">
      <c r="A26">
        <v>25</v>
      </c>
      <c r="B26" s="5">
        <v>45702</v>
      </c>
      <c r="C26" t="s">
        <v>47</v>
      </c>
      <c r="D26" t="s">
        <v>48</v>
      </c>
      <c r="E26" t="s">
        <v>49</v>
      </c>
      <c r="F26">
        <v>1</v>
      </c>
      <c r="G26" t="s">
        <v>84</v>
      </c>
      <c r="H26" t="s">
        <v>66</v>
      </c>
      <c r="I26" t="s">
        <v>22</v>
      </c>
      <c r="J26" t="s">
        <v>67</v>
      </c>
      <c r="K26" t="s">
        <v>34</v>
      </c>
      <c r="L26" s="6">
        <v>7000</v>
      </c>
      <c r="M26" s="6">
        <v>0</v>
      </c>
      <c r="N26" s="6">
        <v>-7000</v>
      </c>
      <c r="O26" s="6">
        <v>67433.42</v>
      </c>
      <c r="P26" s="7">
        <v>0</v>
      </c>
      <c r="Q26" s="6">
        <v>0</v>
      </c>
    </row>
    <row r="27" spans="1:17">
      <c r="A27">
        <v>26</v>
      </c>
      <c r="B27" s="5">
        <v>45702</v>
      </c>
      <c r="C27" t="s">
        <v>47</v>
      </c>
      <c r="D27" t="s">
        <v>48</v>
      </c>
      <c r="E27" t="s">
        <v>49</v>
      </c>
      <c r="F27">
        <v>1</v>
      </c>
      <c r="G27" t="s">
        <v>85</v>
      </c>
      <c r="H27" t="s">
        <v>66</v>
      </c>
      <c r="I27" t="s">
        <v>22</v>
      </c>
      <c r="J27" t="s">
        <v>67</v>
      </c>
      <c r="K27" t="s">
        <v>34</v>
      </c>
      <c r="L27" s="6">
        <v>407.54</v>
      </c>
      <c r="M27" s="6">
        <v>0</v>
      </c>
      <c r="N27" s="6">
        <v>-407.54</v>
      </c>
      <c r="O27" s="6">
        <v>67025.88</v>
      </c>
      <c r="P27" s="7">
        <v>0</v>
      </c>
      <c r="Q27" s="6">
        <v>0</v>
      </c>
    </row>
    <row r="28" spans="1:17">
      <c r="A28">
        <v>27</v>
      </c>
      <c r="B28" s="5">
        <v>45702</v>
      </c>
      <c r="C28" t="s">
        <v>47</v>
      </c>
      <c r="D28" t="s">
        <v>48</v>
      </c>
      <c r="E28" t="s">
        <v>49</v>
      </c>
      <c r="F28">
        <v>2</v>
      </c>
      <c r="G28" t="s">
        <v>86</v>
      </c>
      <c r="H28" t="s">
        <v>87</v>
      </c>
      <c r="I28" t="s">
        <v>16</v>
      </c>
      <c r="J28" t="s">
        <v>52</v>
      </c>
      <c r="K28" t="s">
        <v>35</v>
      </c>
      <c r="L28" s="6">
        <v>0</v>
      </c>
      <c r="M28" s="6">
        <v>200</v>
      </c>
      <c r="N28" s="6">
        <v>200</v>
      </c>
      <c r="O28" s="6">
        <v>67225.88</v>
      </c>
      <c r="P28" s="7">
        <v>0</v>
      </c>
      <c r="Q28" s="6">
        <v>0</v>
      </c>
    </row>
    <row r="29" spans="1:17">
      <c r="A29">
        <v>28</v>
      </c>
      <c r="B29" s="5">
        <v>45702</v>
      </c>
      <c r="C29" t="s">
        <v>47</v>
      </c>
      <c r="D29" t="s">
        <v>48</v>
      </c>
      <c r="E29" t="s">
        <v>49</v>
      </c>
      <c r="F29">
        <v>2</v>
      </c>
      <c r="G29" t="s">
        <v>88</v>
      </c>
      <c r="H29" t="s">
        <v>89</v>
      </c>
      <c r="I29" t="s">
        <v>16</v>
      </c>
      <c r="J29" t="s">
        <v>52</v>
      </c>
      <c r="K29" t="s">
        <v>35</v>
      </c>
      <c r="L29" s="6">
        <v>0</v>
      </c>
      <c r="M29" s="6">
        <v>300</v>
      </c>
      <c r="N29" s="6">
        <v>300</v>
      </c>
      <c r="O29" s="6">
        <v>67525.88</v>
      </c>
      <c r="P29" s="7">
        <v>0</v>
      </c>
      <c r="Q29" s="6">
        <v>0</v>
      </c>
    </row>
    <row r="30" spans="1:17">
      <c r="A30">
        <v>29</v>
      </c>
      <c r="B30" s="5">
        <v>45702</v>
      </c>
      <c r="C30" t="s">
        <v>47</v>
      </c>
      <c r="D30" t="s">
        <v>48</v>
      </c>
      <c r="E30" t="s">
        <v>49</v>
      </c>
      <c r="F30">
        <v>2</v>
      </c>
      <c r="G30" t="s">
        <v>86</v>
      </c>
      <c r="H30" t="s">
        <v>87</v>
      </c>
      <c r="I30" t="s">
        <v>16</v>
      </c>
      <c r="J30" t="s">
        <v>52</v>
      </c>
      <c r="K30" t="s">
        <v>35</v>
      </c>
      <c r="L30" s="6">
        <v>0</v>
      </c>
      <c r="M30" s="6">
        <v>100</v>
      </c>
      <c r="N30" s="6">
        <v>100</v>
      </c>
      <c r="O30" s="6">
        <v>67625.88</v>
      </c>
      <c r="P30" s="7">
        <v>0</v>
      </c>
      <c r="Q30" s="6">
        <v>0</v>
      </c>
    </row>
    <row r="31" spans="1:17">
      <c r="A31">
        <v>30</v>
      </c>
      <c r="B31" s="5">
        <v>45702</v>
      </c>
      <c r="C31" t="s">
        <v>47</v>
      </c>
      <c r="D31" t="s">
        <v>48</v>
      </c>
      <c r="E31" t="s">
        <v>49</v>
      </c>
      <c r="F31">
        <v>2</v>
      </c>
      <c r="G31" t="s">
        <v>86</v>
      </c>
      <c r="H31" t="s">
        <v>87</v>
      </c>
      <c r="I31" t="s">
        <v>16</v>
      </c>
      <c r="J31" t="s">
        <v>52</v>
      </c>
      <c r="K31" t="s">
        <v>35</v>
      </c>
      <c r="L31" s="6">
        <v>0</v>
      </c>
      <c r="M31" s="6">
        <v>200</v>
      </c>
      <c r="N31" s="6">
        <v>200</v>
      </c>
      <c r="O31" s="6">
        <v>67825.88</v>
      </c>
      <c r="P31" s="7">
        <v>0</v>
      </c>
      <c r="Q31" s="6">
        <v>0</v>
      </c>
    </row>
    <row r="32" spans="1:17">
      <c r="A32">
        <v>31</v>
      </c>
      <c r="B32" s="5">
        <v>45702</v>
      </c>
      <c r="C32" t="s">
        <v>47</v>
      </c>
      <c r="D32" t="s">
        <v>48</v>
      </c>
      <c r="E32" t="s">
        <v>49</v>
      </c>
      <c r="F32">
        <v>2</v>
      </c>
      <c r="G32" t="s">
        <v>90</v>
      </c>
      <c r="H32" t="s">
        <v>91</v>
      </c>
      <c r="I32" t="s">
        <v>16</v>
      </c>
      <c r="J32" t="s">
        <v>52</v>
      </c>
      <c r="K32" t="s">
        <v>35</v>
      </c>
      <c r="L32" s="6">
        <v>0</v>
      </c>
      <c r="M32" s="6">
        <v>10000</v>
      </c>
      <c r="N32" s="6">
        <v>10000</v>
      </c>
      <c r="O32" s="6">
        <v>77825.88</v>
      </c>
      <c r="P32" s="7">
        <v>0</v>
      </c>
      <c r="Q32" s="6">
        <v>0</v>
      </c>
    </row>
    <row r="33" spans="1:17">
      <c r="A33">
        <v>32</v>
      </c>
      <c r="B33" s="5">
        <v>45702</v>
      </c>
      <c r="C33" t="s">
        <v>47</v>
      </c>
      <c r="D33" t="s">
        <v>48</v>
      </c>
      <c r="E33" t="s">
        <v>49</v>
      </c>
      <c r="F33">
        <v>2</v>
      </c>
      <c r="G33" t="s">
        <v>86</v>
      </c>
      <c r="H33" t="s">
        <v>87</v>
      </c>
      <c r="I33" t="s">
        <v>16</v>
      </c>
      <c r="J33" t="s">
        <v>52</v>
      </c>
      <c r="K33" t="s">
        <v>35</v>
      </c>
      <c r="L33" s="6">
        <v>0</v>
      </c>
      <c r="M33" s="6">
        <v>100</v>
      </c>
      <c r="N33" s="6">
        <v>100</v>
      </c>
      <c r="O33" s="6">
        <v>77925.88</v>
      </c>
      <c r="P33" s="7">
        <v>0</v>
      </c>
      <c r="Q33" s="6">
        <v>0</v>
      </c>
    </row>
    <row r="34" spans="1:17">
      <c r="A34">
        <v>33</v>
      </c>
      <c r="B34" s="5">
        <v>45702</v>
      </c>
      <c r="C34" t="s">
        <v>47</v>
      </c>
      <c r="D34" t="s">
        <v>48</v>
      </c>
      <c r="E34" t="s">
        <v>49</v>
      </c>
      <c r="F34">
        <v>2</v>
      </c>
      <c r="G34" t="s">
        <v>86</v>
      </c>
      <c r="H34" t="s">
        <v>87</v>
      </c>
      <c r="I34" t="s">
        <v>16</v>
      </c>
      <c r="J34" t="s">
        <v>52</v>
      </c>
      <c r="K34" t="s">
        <v>35</v>
      </c>
      <c r="L34" s="6">
        <v>0</v>
      </c>
      <c r="M34" s="6">
        <v>100</v>
      </c>
      <c r="N34" s="6">
        <v>100</v>
      </c>
      <c r="O34" s="6">
        <v>78025.88</v>
      </c>
      <c r="P34" s="7">
        <v>0</v>
      </c>
      <c r="Q34" s="6">
        <v>0</v>
      </c>
    </row>
    <row r="35" spans="1:17">
      <c r="A35">
        <v>34</v>
      </c>
      <c r="B35" s="5">
        <v>45702</v>
      </c>
      <c r="C35" t="s">
        <v>47</v>
      </c>
      <c r="D35" t="s">
        <v>48</v>
      </c>
      <c r="E35" t="s">
        <v>49</v>
      </c>
      <c r="F35">
        <v>2</v>
      </c>
      <c r="G35" t="s">
        <v>86</v>
      </c>
      <c r="H35" t="s">
        <v>87</v>
      </c>
      <c r="I35" t="s">
        <v>16</v>
      </c>
      <c r="J35" t="s">
        <v>52</v>
      </c>
      <c r="K35" t="s">
        <v>35</v>
      </c>
      <c r="L35" s="6">
        <v>0</v>
      </c>
      <c r="M35" s="6">
        <v>100</v>
      </c>
      <c r="N35" s="6">
        <v>100</v>
      </c>
      <c r="O35" s="6">
        <v>78125.88</v>
      </c>
      <c r="P35" s="7">
        <v>0</v>
      </c>
      <c r="Q35" s="6">
        <v>0</v>
      </c>
    </row>
    <row r="36" spans="1:17">
      <c r="A36">
        <v>35</v>
      </c>
      <c r="B36" s="5">
        <v>45702</v>
      </c>
      <c r="C36" t="s">
        <v>47</v>
      </c>
      <c r="D36" t="s">
        <v>48</v>
      </c>
      <c r="E36" t="s">
        <v>49</v>
      </c>
      <c r="F36">
        <v>2</v>
      </c>
      <c r="G36" t="s">
        <v>86</v>
      </c>
      <c r="H36" t="s">
        <v>87</v>
      </c>
      <c r="I36" t="s">
        <v>16</v>
      </c>
      <c r="J36" t="s">
        <v>52</v>
      </c>
      <c r="K36" t="s">
        <v>35</v>
      </c>
      <c r="L36" s="6">
        <v>0</v>
      </c>
      <c r="M36" s="6">
        <v>150</v>
      </c>
      <c r="N36" s="6">
        <v>150</v>
      </c>
      <c r="O36" s="6">
        <v>78275.88</v>
      </c>
      <c r="P36" s="7">
        <v>0</v>
      </c>
      <c r="Q36" s="6">
        <v>0</v>
      </c>
    </row>
    <row r="37" spans="1:17">
      <c r="A37">
        <v>36</v>
      </c>
      <c r="B37" s="5">
        <v>45702</v>
      </c>
      <c r="C37" t="s">
        <v>47</v>
      </c>
      <c r="D37" t="s">
        <v>48</v>
      </c>
      <c r="E37" t="s">
        <v>49</v>
      </c>
      <c r="F37">
        <v>2</v>
      </c>
      <c r="G37" t="s">
        <v>92</v>
      </c>
      <c r="H37" t="s">
        <v>66</v>
      </c>
      <c r="I37" t="s">
        <v>22</v>
      </c>
      <c r="J37" t="s">
        <v>67</v>
      </c>
      <c r="K37" t="s">
        <v>34</v>
      </c>
      <c r="L37" s="6">
        <v>20411.71</v>
      </c>
      <c r="M37" s="6">
        <v>0</v>
      </c>
      <c r="N37" s="6">
        <v>-20411.71</v>
      </c>
      <c r="O37" s="6">
        <v>57864.17</v>
      </c>
      <c r="P37" s="7">
        <v>0</v>
      </c>
      <c r="Q37" s="6">
        <v>0</v>
      </c>
    </row>
    <row r="38" spans="1:17">
      <c r="A38">
        <v>37</v>
      </c>
      <c r="B38" s="5">
        <v>45702</v>
      </c>
      <c r="C38" t="s">
        <v>47</v>
      </c>
      <c r="D38" t="s">
        <v>48</v>
      </c>
      <c r="E38" t="s">
        <v>49</v>
      </c>
      <c r="F38">
        <v>2</v>
      </c>
      <c r="G38" t="s">
        <v>93</v>
      </c>
      <c r="H38" t="s">
        <v>94</v>
      </c>
      <c r="I38" t="s">
        <v>16</v>
      </c>
      <c r="J38" t="s">
        <v>52</v>
      </c>
      <c r="K38" t="s">
        <v>35</v>
      </c>
      <c r="L38" s="6">
        <v>0</v>
      </c>
      <c r="M38" s="6">
        <v>100</v>
      </c>
      <c r="N38" s="6">
        <v>100</v>
      </c>
      <c r="O38" s="6">
        <v>57964.17</v>
      </c>
      <c r="P38" s="7">
        <v>0</v>
      </c>
      <c r="Q38" s="6">
        <v>0</v>
      </c>
    </row>
    <row r="39" spans="1:17">
      <c r="A39">
        <v>38</v>
      </c>
      <c r="B39" s="5">
        <v>45703</v>
      </c>
      <c r="C39" t="s">
        <v>47</v>
      </c>
      <c r="D39" t="s">
        <v>48</v>
      </c>
      <c r="E39" t="s">
        <v>49</v>
      </c>
      <c r="F39">
        <v>2</v>
      </c>
      <c r="G39" t="s">
        <v>95</v>
      </c>
      <c r="H39" t="s">
        <v>96</v>
      </c>
      <c r="I39" t="s">
        <v>16</v>
      </c>
      <c r="J39" t="s">
        <v>52</v>
      </c>
      <c r="K39" t="s">
        <v>35</v>
      </c>
      <c r="L39" s="6">
        <v>0</v>
      </c>
      <c r="M39" s="6">
        <v>92</v>
      </c>
      <c r="N39" s="6">
        <v>92</v>
      </c>
      <c r="O39" s="6">
        <v>58056.17</v>
      </c>
      <c r="P39" s="7">
        <v>0</v>
      </c>
      <c r="Q39" s="6">
        <v>0</v>
      </c>
    </row>
    <row r="40" spans="1:17">
      <c r="A40">
        <v>39</v>
      </c>
      <c r="B40" s="5">
        <v>45703</v>
      </c>
      <c r="C40" t="s">
        <v>47</v>
      </c>
      <c r="D40" t="s">
        <v>48</v>
      </c>
      <c r="E40" t="s">
        <v>49</v>
      </c>
      <c r="F40">
        <v>2</v>
      </c>
      <c r="G40" t="s">
        <v>97</v>
      </c>
      <c r="H40" t="s">
        <v>98</v>
      </c>
      <c r="I40" t="s">
        <v>16</v>
      </c>
      <c r="J40" t="s">
        <v>52</v>
      </c>
      <c r="K40" t="s">
        <v>35</v>
      </c>
      <c r="L40" s="6">
        <v>0</v>
      </c>
      <c r="M40" s="6">
        <v>20</v>
      </c>
      <c r="N40" s="6">
        <v>20</v>
      </c>
      <c r="O40" s="6">
        <v>58076.17</v>
      </c>
      <c r="P40" s="7">
        <v>0</v>
      </c>
      <c r="Q40" s="6">
        <v>0</v>
      </c>
    </row>
    <row r="41" spans="1:17">
      <c r="A41">
        <v>40</v>
      </c>
      <c r="B41" s="5">
        <v>45705</v>
      </c>
      <c r="C41" t="s">
        <v>47</v>
      </c>
      <c r="D41" t="s">
        <v>48</v>
      </c>
      <c r="E41" t="s">
        <v>49</v>
      </c>
      <c r="F41">
        <v>2</v>
      </c>
      <c r="G41" t="s">
        <v>90</v>
      </c>
      <c r="H41" t="s">
        <v>91</v>
      </c>
      <c r="I41" t="s">
        <v>16</v>
      </c>
      <c r="J41" t="s">
        <v>52</v>
      </c>
      <c r="K41" t="s">
        <v>35</v>
      </c>
      <c r="L41" s="6">
        <v>0</v>
      </c>
      <c r="M41" s="6">
        <v>10000</v>
      </c>
      <c r="N41" s="6">
        <v>10000</v>
      </c>
      <c r="O41" s="6">
        <v>68076.17</v>
      </c>
      <c r="P41" s="7">
        <v>0</v>
      </c>
      <c r="Q41" s="6">
        <v>0</v>
      </c>
    </row>
    <row r="42" spans="1:17">
      <c r="A42">
        <v>41</v>
      </c>
      <c r="B42" s="5">
        <v>45705</v>
      </c>
      <c r="C42" t="s">
        <v>47</v>
      </c>
      <c r="D42" t="s">
        <v>48</v>
      </c>
      <c r="E42" t="s">
        <v>49</v>
      </c>
      <c r="F42">
        <v>2</v>
      </c>
      <c r="G42" t="s">
        <v>95</v>
      </c>
      <c r="H42" t="s">
        <v>96</v>
      </c>
      <c r="I42" t="s">
        <v>16</v>
      </c>
      <c r="J42" t="s">
        <v>52</v>
      </c>
      <c r="K42" t="s">
        <v>35</v>
      </c>
      <c r="L42" s="6">
        <v>0</v>
      </c>
      <c r="M42" s="6">
        <v>92</v>
      </c>
      <c r="N42" s="6">
        <v>92</v>
      </c>
      <c r="O42" s="6">
        <v>68168.17</v>
      </c>
      <c r="P42" s="7">
        <v>0</v>
      </c>
      <c r="Q42" s="6">
        <v>0</v>
      </c>
    </row>
    <row r="43" spans="1:17">
      <c r="A43">
        <v>42</v>
      </c>
      <c r="B43" s="5">
        <v>45705</v>
      </c>
      <c r="C43" t="s">
        <v>47</v>
      </c>
      <c r="D43" t="s">
        <v>48</v>
      </c>
      <c r="E43" t="s">
        <v>49</v>
      </c>
      <c r="F43">
        <v>2</v>
      </c>
      <c r="G43" t="s">
        <v>99</v>
      </c>
      <c r="H43" t="s">
        <v>100</v>
      </c>
      <c r="I43" t="s">
        <v>16</v>
      </c>
      <c r="J43" t="s">
        <v>52</v>
      </c>
      <c r="K43" t="s">
        <v>35</v>
      </c>
      <c r="L43" s="6">
        <v>0</v>
      </c>
      <c r="M43" s="6">
        <v>1150</v>
      </c>
      <c r="N43" s="6">
        <v>1150</v>
      </c>
      <c r="O43" s="6">
        <v>69318.17</v>
      </c>
      <c r="P43" s="7">
        <v>0</v>
      </c>
      <c r="Q43" s="6">
        <v>0</v>
      </c>
    </row>
    <row r="44" spans="1:17">
      <c r="A44">
        <v>43</v>
      </c>
      <c r="B44" s="5">
        <v>45705</v>
      </c>
      <c r="C44" t="s">
        <v>47</v>
      </c>
      <c r="D44" t="s">
        <v>48</v>
      </c>
      <c r="E44" t="s">
        <v>49</v>
      </c>
      <c r="F44">
        <v>2</v>
      </c>
      <c r="G44" t="s">
        <v>101</v>
      </c>
      <c r="H44" t="s">
        <v>102</v>
      </c>
      <c r="I44" t="s">
        <v>16</v>
      </c>
      <c r="J44" t="s">
        <v>52</v>
      </c>
      <c r="K44" t="s">
        <v>35</v>
      </c>
      <c r="L44" s="6">
        <v>0</v>
      </c>
      <c r="M44" s="6">
        <v>1000</v>
      </c>
      <c r="N44" s="6">
        <v>1000</v>
      </c>
      <c r="O44" s="6">
        <v>70318.17</v>
      </c>
      <c r="P44" s="7">
        <v>0</v>
      </c>
      <c r="Q44" s="6">
        <v>0</v>
      </c>
    </row>
    <row r="45" spans="1:17">
      <c r="A45">
        <v>44</v>
      </c>
      <c r="B45" s="5">
        <v>45705</v>
      </c>
      <c r="C45" t="s">
        <v>47</v>
      </c>
      <c r="D45" t="s">
        <v>48</v>
      </c>
      <c r="E45" t="s">
        <v>49</v>
      </c>
      <c r="F45">
        <v>2</v>
      </c>
      <c r="G45" t="s">
        <v>86</v>
      </c>
      <c r="H45" t="s">
        <v>87</v>
      </c>
      <c r="I45" t="s">
        <v>16</v>
      </c>
      <c r="J45" t="s">
        <v>52</v>
      </c>
      <c r="K45" t="s">
        <v>35</v>
      </c>
      <c r="L45" s="6">
        <v>0</v>
      </c>
      <c r="M45" s="6">
        <v>100</v>
      </c>
      <c r="N45" s="6">
        <v>100</v>
      </c>
      <c r="O45" s="6">
        <v>70418.17</v>
      </c>
      <c r="P45" s="7">
        <v>0</v>
      </c>
      <c r="Q45" s="6">
        <v>0</v>
      </c>
    </row>
    <row r="46" spans="1:17">
      <c r="A46">
        <v>45</v>
      </c>
      <c r="B46" s="5">
        <v>45705</v>
      </c>
      <c r="C46" t="s">
        <v>47</v>
      </c>
      <c r="D46" t="s">
        <v>48</v>
      </c>
      <c r="E46" t="s">
        <v>49</v>
      </c>
      <c r="F46">
        <v>2</v>
      </c>
      <c r="G46" t="s">
        <v>86</v>
      </c>
      <c r="H46" t="s">
        <v>87</v>
      </c>
      <c r="I46" t="s">
        <v>16</v>
      </c>
      <c r="J46" t="s">
        <v>52</v>
      </c>
      <c r="K46" t="s">
        <v>35</v>
      </c>
      <c r="L46" s="6">
        <v>0</v>
      </c>
      <c r="M46" s="6">
        <v>50</v>
      </c>
      <c r="N46" s="6">
        <v>50</v>
      </c>
      <c r="O46" s="6">
        <v>70468.17</v>
      </c>
      <c r="P46" s="7">
        <v>0</v>
      </c>
      <c r="Q46" s="6">
        <v>0</v>
      </c>
    </row>
    <row r="47" spans="1:17">
      <c r="A47">
        <v>46</v>
      </c>
      <c r="B47" s="5">
        <v>45705</v>
      </c>
      <c r="C47" t="s">
        <v>47</v>
      </c>
      <c r="D47" t="s">
        <v>48</v>
      </c>
      <c r="E47" t="s">
        <v>49</v>
      </c>
      <c r="F47">
        <v>2</v>
      </c>
      <c r="G47" t="s">
        <v>86</v>
      </c>
      <c r="H47" t="s">
        <v>87</v>
      </c>
      <c r="I47" t="s">
        <v>16</v>
      </c>
      <c r="J47" t="s">
        <v>52</v>
      </c>
      <c r="K47" t="s">
        <v>35</v>
      </c>
      <c r="L47" s="6">
        <v>0</v>
      </c>
      <c r="M47" s="6">
        <v>100</v>
      </c>
      <c r="N47" s="6">
        <v>100</v>
      </c>
      <c r="O47" s="6">
        <v>70568.17</v>
      </c>
      <c r="P47" s="7">
        <v>0</v>
      </c>
      <c r="Q47" s="6">
        <v>0</v>
      </c>
    </row>
    <row r="48" spans="1:17">
      <c r="A48">
        <v>47</v>
      </c>
      <c r="B48" s="5">
        <v>45705</v>
      </c>
      <c r="C48" t="s">
        <v>47</v>
      </c>
      <c r="D48" t="s">
        <v>48</v>
      </c>
      <c r="E48" t="s">
        <v>49</v>
      </c>
      <c r="F48">
        <v>2</v>
      </c>
      <c r="G48" t="s">
        <v>86</v>
      </c>
      <c r="H48" t="s">
        <v>87</v>
      </c>
      <c r="I48" t="s">
        <v>16</v>
      </c>
      <c r="J48" t="s">
        <v>52</v>
      </c>
      <c r="K48" t="s">
        <v>35</v>
      </c>
      <c r="L48" s="6">
        <v>0</v>
      </c>
      <c r="M48" s="6">
        <v>100</v>
      </c>
      <c r="N48" s="6">
        <v>100</v>
      </c>
      <c r="O48" s="6">
        <v>70668.17</v>
      </c>
      <c r="P48" s="7">
        <v>0</v>
      </c>
      <c r="Q48" s="6">
        <v>0</v>
      </c>
    </row>
    <row r="49" spans="1:17">
      <c r="A49">
        <v>48</v>
      </c>
      <c r="B49" s="5">
        <v>45705</v>
      </c>
      <c r="C49" t="s">
        <v>47</v>
      </c>
      <c r="D49" t="s">
        <v>48</v>
      </c>
      <c r="E49" t="s">
        <v>49</v>
      </c>
      <c r="F49">
        <v>2</v>
      </c>
      <c r="G49" t="s">
        <v>103</v>
      </c>
      <c r="H49" t="s">
        <v>66</v>
      </c>
      <c r="I49" t="s">
        <v>22</v>
      </c>
      <c r="J49" t="s">
        <v>67</v>
      </c>
      <c r="K49" t="s">
        <v>34</v>
      </c>
      <c r="L49" s="6">
        <v>645.41999999999996</v>
      </c>
      <c r="M49" s="6">
        <v>0</v>
      </c>
      <c r="N49" s="6">
        <v>-645.41999999999996</v>
      </c>
      <c r="O49" s="6">
        <v>70022.75</v>
      </c>
      <c r="P49" s="7">
        <v>0</v>
      </c>
      <c r="Q49" s="6">
        <v>0</v>
      </c>
    </row>
    <row r="50" spans="1:17">
      <c r="A50">
        <v>49</v>
      </c>
      <c r="B50" s="5">
        <v>45705</v>
      </c>
      <c r="C50" t="s">
        <v>47</v>
      </c>
      <c r="D50" t="s">
        <v>48</v>
      </c>
      <c r="E50" t="s">
        <v>49</v>
      </c>
      <c r="F50">
        <v>2</v>
      </c>
      <c r="G50" t="s">
        <v>104</v>
      </c>
      <c r="H50" t="s">
        <v>66</v>
      </c>
      <c r="I50" t="s">
        <v>22</v>
      </c>
      <c r="J50" t="s">
        <v>67</v>
      </c>
      <c r="K50" t="s">
        <v>34</v>
      </c>
      <c r="L50" s="6">
        <v>127.01</v>
      </c>
      <c r="M50" s="6">
        <v>0</v>
      </c>
      <c r="N50" s="6">
        <v>-127.01</v>
      </c>
      <c r="O50" s="6">
        <v>69895.740000000005</v>
      </c>
      <c r="P50" s="7">
        <v>0</v>
      </c>
      <c r="Q50" s="6">
        <v>0</v>
      </c>
    </row>
    <row r="51" spans="1:17">
      <c r="A51">
        <v>50</v>
      </c>
      <c r="B51" s="5">
        <v>45705</v>
      </c>
      <c r="C51" t="s">
        <v>47</v>
      </c>
      <c r="D51" t="s">
        <v>48</v>
      </c>
      <c r="E51" t="s">
        <v>49</v>
      </c>
      <c r="F51">
        <v>2</v>
      </c>
      <c r="G51" t="s">
        <v>105</v>
      </c>
      <c r="H51" t="s">
        <v>66</v>
      </c>
      <c r="I51" t="s">
        <v>22</v>
      </c>
      <c r="J51" t="s">
        <v>67</v>
      </c>
      <c r="K51" t="s">
        <v>34</v>
      </c>
      <c r="L51" s="6">
        <v>278</v>
      </c>
      <c r="M51" s="6">
        <v>0</v>
      </c>
      <c r="N51" s="6">
        <v>-278</v>
      </c>
      <c r="O51" s="6">
        <v>69617.740000000005</v>
      </c>
      <c r="P51" s="7">
        <v>0</v>
      </c>
      <c r="Q51" s="6">
        <v>0</v>
      </c>
    </row>
    <row r="52" spans="1:17">
      <c r="A52">
        <v>51</v>
      </c>
      <c r="B52" s="5">
        <v>45705</v>
      </c>
      <c r="C52" t="s">
        <v>47</v>
      </c>
      <c r="D52" t="s">
        <v>48</v>
      </c>
      <c r="E52" t="s">
        <v>49</v>
      </c>
      <c r="F52">
        <v>2</v>
      </c>
      <c r="G52" t="s">
        <v>106</v>
      </c>
      <c r="H52" t="s">
        <v>66</v>
      </c>
      <c r="I52" t="s">
        <v>22</v>
      </c>
      <c r="J52" t="s">
        <v>67</v>
      </c>
      <c r="K52" t="s">
        <v>34</v>
      </c>
      <c r="L52" s="6">
        <v>227</v>
      </c>
      <c r="M52" s="6">
        <v>0</v>
      </c>
      <c r="N52" s="6">
        <v>-227</v>
      </c>
      <c r="O52" s="6">
        <v>69390.740000000005</v>
      </c>
      <c r="P52" s="7">
        <v>0</v>
      </c>
      <c r="Q52" s="6">
        <v>0</v>
      </c>
    </row>
    <row r="53" spans="1:17">
      <c r="A53">
        <v>52</v>
      </c>
      <c r="B53" s="5">
        <v>45705</v>
      </c>
      <c r="C53" t="s">
        <v>47</v>
      </c>
      <c r="D53" t="s">
        <v>48</v>
      </c>
      <c r="E53" t="s">
        <v>49</v>
      </c>
      <c r="F53">
        <v>2</v>
      </c>
      <c r="G53" t="s">
        <v>107</v>
      </c>
      <c r="H53" t="s">
        <v>108</v>
      </c>
      <c r="I53" t="s">
        <v>16</v>
      </c>
      <c r="J53" t="s">
        <v>52</v>
      </c>
      <c r="K53" t="s">
        <v>35</v>
      </c>
      <c r="L53" s="6">
        <v>0</v>
      </c>
      <c r="M53" s="6">
        <v>100</v>
      </c>
      <c r="N53" s="6">
        <v>100</v>
      </c>
      <c r="O53" s="6">
        <v>69490.740000000005</v>
      </c>
      <c r="P53" s="7">
        <v>0</v>
      </c>
      <c r="Q53" s="6">
        <v>0</v>
      </c>
    </row>
    <row r="54" spans="1:17">
      <c r="A54">
        <v>53</v>
      </c>
      <c r="B54" s="5">
        <v>45705</v>
      </c>
      <c r="C54" t="s">
        <v>47</v>
      </c>
      <c r="D54" t="s">
        <v>48</v>
      </c>
      <c r="E54" t="s">
        <v>49</v>
      </c>
      <c r="F54">
        <v>2</v>
      </c>
      <c r="G54" t="s">
        <v>109</v>
      </c>
      <c r="H54" t="s">
        <v>110</v>
      </c>
      <c r="I54" t="s">
        <v>16</v>
      </c>
      <c r="J54" t="s">
        <v>52</v>
      </c>
      <c r="K54" t="s">
        <v>35</v>
      </c>
      <c r="L54" s="6">
        <v>0</v>
      </c>
      <c r="M54" s="6">
        <v>200</v>
      </c>
      <c r="N54" s="6">
        <v>200</v>
      </c>
      <c r="O54" s="6">
        <v>69690.740000000005</v>
      </c>
      <c r="P54" s="7">
        <v>0</v>
      </c>
      <c r="Q54" s="6">
        <v>0</v>
      </c>
    </row>
    <row r="55" spans="1:17">
      <c r="A55">
        <v>54</v>
      </c>
      <c r="B55" s="5">
        <v>45706</v>
      </c>
      <c r="C55" t="s">
        <v>47</v>
      </c>
      <c r="D55" t="s">
        <v>48</v>
      </c>
      <c r="E55" t="s">
        <v>49</v>
      </c>
      <c r="F55">
        <v>2</v>
      </c>
      <c r="G55" t="s">
        <v>111</v>
      </c>
      <c r="H55" t="s">
        <v>112</v>
      </c>
      <c r="I55" t="s">
        <v>16</v>
      </c>
      <c r="J55" t="s">
        <v>52</v>
      </c>
      <c r="K55" t="s">
        <v>35</v>
      </c>
      <c r="L55" s="6">
        <v>0</v>
      </c>
      <c r="M55" s="6">
        <v>5000</v>
      </c>
      <c r="N55" s="6">
        <v>5000</v>
      </c>
      <c r="O55" s="6">
        <v>74690.740000000005</v>
      </c>
      <c r="P55" s="7">
        <v>0</v>
      </c>
      <c r="Q55" s="6">
        <v>0</v>
      </c>
    </row>
    <row r="56" spans="1:17">
      <c r="A56">
        <v>55</v>
      </c>
      <c r="B56" s="5">
        <v>45706</v>
      </c>
      <c r="C56" t="s">
        <v>47</v>
      </c>
      <c r="D56" t="s">
        <v>48</v>
      </c>
      <c r="E56" t="s">
        <v>49</v>
      </c>
      <c r="F56">
        <v>2</v>
      </c>
      <c r="G56" t="s">
        <v>113</v>
      </c>
      <c r="H56" t="s">
        <v>66</v>
      </c>
      <c r="I56" t="s">
        <v>22</v>
      </c>
      <c r="J56" t="s">
        <v>67</v>
      </c>
      <c r="K56" t="s">
        <v>34</v>
      </c>
      <c r="L56" s="6">
        <v>230</v>
      </c>
      <c r="M56" s="6">
        <v>0</v>
      </c>
      <c r="N56" s="6">
        <v>-230</v>
      </c>
      <c r="O56" s="6">
        <v>74460.740000000005</v>
      </c>
      <c r="P56" s="7">
        <v>0</v>
      </c>
      <c r="Q56" s="6">
        <v>0</v>
      </c>
    </row>
    <row r="57" spans="1:17">
      <c r="A57">
        <v>56</v>
      </c>
      <c r="B57" s="5">
        <v>45706</v>
      </c>
      <c r="C57" t="s">
        <v>47</v>
      </c>
      <c r="D57" t="s">
        <v>48</v>
      </c>
      <c r="E57" t="s">
        <v>49</v>
      </c>
      <c r="F57">
        <v>2</v>
      </c>
      <c r="G57" t="s">
        <v>90</v>
      </c>
      <c r="H57" t="s">
        <v>91</v>
      </c>
      <c r="I57" t="s">
        <v>16</v>
      </c>
      <c r="J57" t="s">
        <v>52</v>
      </c>
      <c r="K57" t="s">
        <v>35</v>
      </c>
      <c r="L57" s="6">
        <v>0</v>
      </c>
      <c r="M57" s="6">
        <v>5000</v>
      </c>
      <c r="N57" s="6">
        <v>5000</v>
      </c>
      <c r="O57" s="6">
        <v>79460.740000000005</v>
      </c>
      <c r="P57" s="7">
        <v>0</v>
      </c>
      <c r="Q57" s="6">
        <v>0</v>
      </c>
    </row>
    <row r="58" spans="1:17">
      <c r="A58">
        <v>57</v>
      </c>
      <c r="B58" s="5">
        <v>45706</v>
      </c>
      <c r="C58" t="s">
        <v>47</v>
      </c>
      <c r="D58" t="s">
        <v>48</v>
      </c>
      <c r="E58" t="s">
        <v>49</v>
      </c>
      <c r="F58">
        <v>2</v>
      </c>
      <c r="G58" t="s">
        <v>76</v>
      </c>
      <c r="H58" t="s">
        <v>77</v>
      </c>
      <c r="I58" t="s">
        <v>16</v>
      </c>
      <c r="J58" t="s">
        <v>52</v>
      </c>
      <c r="K58" t="s">
        <v>35</v>
      </c>
      <c r="L58" s="6">
        <v>0</v>
      </c>
      <c r="M58" s="6">
        <v>25000</v>
      </c>
      <c r="N58" s="6">
        <v>25000</v>
      </c>
      <c r="O58" s="6">
        <v>104460.74</v>
      </c>
      <c r="P58" s="7">
        <v>0</v>
      </c>
      <c r="Q58" s="6">
        <v>0</v>
      </c>
    </row>
    <row r="59" spans="1:17">
      <c r="A59">
        <v>58</v>
      </c>
      <c r="B59" s="5">
        <v>45706</v>
      </c>
      <c r="C59" t="s">
        <v>47</v>
      </c>
      <c r="D59" t="s">
        <v>48</v>
      </c>
      <c r="E59" t="s">
        <v>49</v>
      </c>
      <c r="F59">
        <v>2</v>
      </c>
      <c r="G59" t="s">
        <v>90</v>
      </c>
      <c r="H59" t="s">
        <v>91</v>
      </c>
      <c r="I59" t="s">
        <v>16</v>
      </c>
      <c r="J59" t="s">
        <v>52</v>
      </c>
      <c r="K59" t="s">
        <v>35</v>
      </c>
      <c r="L59" s="6">
        <v>0</v>
      </c>
      <c r="M59" s="6">
        <v>5000</v>
      </c>
      <c r="N59" s="6">
        <v>5000</v>
      </c>
      <c r="O59" s="6">
        <v>109460.74</v>
      </c>
      <c r="P59" s="7">
        <v>0</v>
      </c>
      <c r="Q59" s="6">
        <v>0</v>
      </c>
    </row>
    <row r="60" spans="1:17">
      <c r="A60">
        <v>59</v>
      </c>
      <c r="B60" s="5">
        <v>45706</v>
      </c>
      <c r="C60" t="s">
        <v>47</v>
      </c>
      <c r="D60" t="s">
        <v>48</v>
      </c>
      <c r="E60" t="s">
        <v>49</v>
      </c>
      <c r="F60">
        <v>2</v>
      </c>
      <c r="G60" t="s">
        <v>101</v>
      </c>
      <c r="H60" t="s">
        <v>102</v>
      </c>
      <c r="I60" t="s">
        <v>16</v>
      </c>
      <c r="J60" t="s">
        <v>52</v>
      </c>
      <c r="K60" t="s">
        <v>35</v>
      </c>
      <c r="L60" s="6">
        <v>0</v>
      </c>
      <c r="M60" s="6">
        <v>5000</v>
      </c>
      <c r="N60" s="6">
        <v>5000</v>
      </c>
      <c r="O60" s="6">
        <v>114460.74</v>
      </c>
      <c r="P60" s="7">
        <v>0</v>
      </c>
      <c r="Q60" s="6">
        <v>0</v>
      </c>
    </row>
    <row r="61" spans="1:17">
      <c r="A61">
        <v>60</v>
      </c>
      <c r="B61" s="5">
        <v>45706</v>
      </c>
      <c r="C61" t="s">
        <v>47</v>
      </c>
      <c r="D61" t="s">
        <v>48</v>
      </c>
      <c r="E61" t="s">
        <v>49</v>
      </c>
      <c r="F61">
        <v>2</v>
      </c>
      <c r="G61" t="s">
        <v>88</v>
      </c>
      <c r="H61" t="s">
        <v>89</v>
      </c>
      <c r="I61" t="s">
        <v>16</v>
      </c>
      <c r="J61" t="s">
        <v>52</v>
      </c>
      <c r="K61" t="s">
        <v>35</v>
      </c>
      <c r="L61" s="6">
        <v>0</v>
      </c>
      <c r="M61" s="6">
        <v>220</v>
      </c>
      <c r="N61" s="6">
        <v>220</v>
      </c>
      <c r="O61" s="6">
        <v>114680.74</v>
      </c>
      <c r="P61" s="7">
        <v>0</v>
      </c>
      <c r="Q61" s="6">
        <v>0</v>
      </c>
    </row>
    <row r="62" spans="1:17">
      <c r="A62">
        <v>61</v>
      </c>
      <c r="B62" s="5">
        <v>45707</v>
      </c>
      <c r="C62" t="s">
        <v>47</v>
      </c>
      <c r="D62" t="s">
        <v>48</v>
      </c>
      <c r="E62" t="s">
        <v>49</v>
      </c>
      <c r="F62">
        <v>2</v>
      </c>
      <c r="G62" t="s">
        <v>114</v>
      </c>
      <c r="H62" t="s">
        <v>66</v>
      </c>
      <c r="I62" t="s">
        <v>22</v>
      </c>
      <c r="J62" t="s">
        <v>67</v>
      </c>
      <c r="K62" t="s">
        <v>34</v>
      </c>
      <c r="L62" s="6">
        <v>103.29</v>
      </c>
      <c r="M62" s="6">
        <v>0</v>
      </c>
      <c r="N62" s="6">
        <v>-103.29</v>
      </c>
      <c r="O62" s="6">
        <v>114577.45</v>
      </c>
      <c r="P62" s="7">
        <v>0</v>
      </c>
      <c r="Q62" s="6">
        <v>0</v>
      </c>
    </row>
    <row r="63" spans="1:17">
      <c r="A63">
        <v>62</v>
      </c>
      <c r="B63" s="5">
        <v>45707</v>
      </c>
      <c r="C63" t="s">
        <v>47</v>
      </c>
      <c r="D63" t="s">
        <v>48</v>
      </c>
      <c r="E63" t="s">
        <v>49</v>
      </c>
      <c r="F63">
        <v>2</v>
      </c>
      <c r="G63" t="s">
        <v>115</v>
      </c>
      <c r="H63" t="s">
        <v>116</v>
      </c>
      <c r="I63" t="s">
        <v>16</v>
      </c>
      <c r="J63" t="s">
        <v>52</v>
      </c>
      <c r="K63" t="s">
        <v>35</v>
      </c>
      <c r="L63" s="6">
        <v>0</v>
      </c>
      <c r="M63" s="6">
        <v>100</v>
      </c>
      <c r="N63" s="6">
        <v>100</v>
      </c>
      <c r="O63" s="6">
        <v>114677.45</v>
      </c>
      <c r="P63" s="7">
        <v>0</v>
      </c>
      <c r="Q63" s="6">
        <v>0</v>
      </c>
    </row>
    <row r="64" spans="1:17">
      <c r="A64">
        <v>63</v>
      </c>
      <c r="B64" s="5">
        <v>45707</v>
      </c>
      <c r="C64" t="s">
        <v>47</v>
      </c>
      <c r="D64" t="s">
        <v>48</v>
      </c>
      <c r="E64" t="s">
        <v>49</v>
      </c>
      <c r="F64">
        <v>2</v>
      </c>
      <c r="G64" t="s">
        <v>117</v>
      </c>
      <c r="H64" t="s">
        <v>66</v>
      </c>
      <c r="I64" t="s">
        <v>22</v>
      </c>
      <c r="J64" t="s">
        <v>67</v>
      </c>
      <c r="K64" t="s">
        <v>34</v>
      </c>
      <c r="L64" s="6">
        <v>1000</v>
      </c>
      <c r="M64" s="6">
        <v>0</v>
      </c>
      <c r="N64" s="6">
        <v>-1000</v>
      </c>
      <c r="O64" s="6">
        <v>113677.45</v>
      </c>
      <c r="P64" s="7">
        <v>0</v>
      </c>
      <c r="Q64" s="6">
        <v>0</v>
      </c>
    </row>
    <row r="65" spans="1:17">
      <c r="A65">
        <v>64</v>
      </c>
      <c r="B65" s="5">
        <v>45708</v>
      </c>
      <c r="C65" t="s">
        <v>47</v>
      </c>
      <c r="D65" t="s">
        <v>48</v>
      </c>
      <c r="E65" t="s">
        <v>49</v>
      </c>
      <c r="F65">
        <v>2</v>
      </c>
      <c r="G65" t="s">
        <v>118</v>
      </c>
      <c r="H65" t="s">
        <v>119</v>
      </c>
      <c r="I65" t="s">
        <v>16</v>
      </c>
      <c r="J65" t="s">
        <v>52</v>
      </c>
      <c r="K65" t="s">
        <v>35</v>
      </c>
      <c r="L65" s="6">
        <v>0</v>
      </c>
      <c r="M65" s="6">
        <v>556</v>
      </c>
      <c r="N65" s="6">
        <v>556</v>
      </c>
      <c r="O65" s="6">
        <v>114233.45</v>
      </c>
      <c r="P65" s="7">
        <v>0</v>
      </c>
      <c r="Q65" s="6">
        <v>0</v>
      </c>
    </row>
    <row r="66" spans="1:17">
      <c r="A66">
        <v>65</v>
      </c>
      <c r="B66" s="5">
        <v>45708</v>
      </c>
      <c r="C66" t="s">
        <v>47</v>
      </c>
      <c r="D66" t="s">
        <v>48</v>
      </c>
      <c r="E66" t="s">
        <v>49</v>
      </c>
      <c r="F66">
        <v>2</v>
      </c>
      <c r="G66" t="s">
        <v>120</v>
      </c>
      <c r="H66" t="s">
        <v>121</v>
      </c>
      <c r="I66" t="s">
        <v>16</v>
      </c>
      <c r="J66" t="s">
        <v>52</v>
      </c>
      <c r="K66" t="s">
        <v>35</v>
      </c>
      <c r="L66" s="6">
        <v>0</v>
      </c>
      <c r="M66" s="6">
        <v>100</v>
      </c>
      <c r="N66" s="6">
        <v>100</v>
      </c>
      <c r="O66" s="6">
        <v>114333.45</v>
      </c>
      <c r="P66" s="7">
        <v>0</v>
      </c>
      <c r="Q66" s="6">
        <v>0</v>
      </c>
    </row>
    <row r="67" spans="1:17">
      <c r="A67">
        <v>66</v>
      </c>
      <c r="B67" s="5">
        <v>45708</v>
      </c>
      <c r="C67" t="s">
        <v>47</v>
      </c>
      <c r="D67" t="s">
        <v>48</v>
      </c>
      <c r="E67" t="s">
        <v>49</v>
      </c>
      <c r="F67">
        <v>2</v>
      </c>
      <c r="G67" t="s">
        <v>74</v>
      </c>
      <c r="H67" t="s">
        <v>75</v>
      </c>
      <c r="I67" t="s">
        <v>16</v>
      </c>
      <c r="J67" t="s">
        <v>52</v>
      </c>
      <c r="K67" t="s">
        <v>35</v>
      </c>
      <c r="L67" s="6">
        <v>0</v>
      </c>
      <c r="M67" s="6">
        <v>10000</v>
      </c>
      <c r="N67" s="6">
        <v>10000</v>
      </c>
      <c r="O67" s="6">
        <v>124333.45</v>
      </c>
      <c r="P67" s="7">
        <v>0</v>
      </c>
      <c r="Q67" s="6">
        <v>0</v>
      </c>
    </row>
    <row r="68" spans="1:17">
      <c r="A68">
        <v>67</v>
      </c>
      <c r="B68" s="5">
        <v>45708</v>
      </c>
      <c r="C68" t="s">
        <v>47</v>
      </c>
      <c r="D68" t="s">
        <v>48</v>
      </c>
      <c r="E68" t="s">
        <v>49</v>
      </c>
      <c r="F68">
        <v>2</v>
      </c>
      <c r="G68" t="s">
        <v>76</v>
      </c>
      <c r="H68" t="s">
        <v>77</v>
      </c>
      <c r="I68" t="s">
        <v>16</v>
      </c>
      <c r="J68" t="s">
        <v>52</v>
      </c>
      <c r="K68" t="s">
        <v>35</v>
      </c>
      <c r="L68" s="6">
        <v>0</v>
      </c>
      <c r="M68" s="6">
        <v>15000</v>
      </c>
      <c r="N68" s="6">
        <v>15000</v>
      </c>
      <c r="O68" s="6">
        <v>139333.45000000001</v>
      </c>
      <c r="P68" s="7">
        <v>0</v>
      </c>
      <c r="Q68" s="6">
        <v>0</v>
      </c>
    </row>
    <row r="69" spans="1:17">
      <c r="A69">
        <v>68</v>
      </c>
      <c r="B69" s="5">
        <v>45708</v>
      </c>
      <c r="C69" t="s">
        <v>47</v>
      </c>
      <c r="D69" t="s">
        <v>48</v>
      </c>
      <c r="E69" t="s">
        <v>49</v>
      </c>
      <c r="F69">
        <v>2</v>
      </c>
      <c r="G69" t="s">
        <v>122</v>
      </c>
      <c r="H69" t="s">
        <v>123</v>
      </c>
      <c r="I69" t="s">
        <v>16</v>
      </c>
      <c r="J69" t="s">
        <v>52</v>
      </c>
      <c r="K69" t="s">
        <v>35</v>
      </c>
      <c r="L69" s="6">
        <v>0</v>
      </c>
      <c r="M69" s="6">
        <v>371</v>
      </c>
      <c r="N69" s="6">
        <v>371</v>
      </c>
      <c r="O69" s="6">
        <v>139704.45000000001</v>
      </c>
      <c r="P69" s="7">
        <v>0</v>
      </c>
      <c r="Q69" s="6">
        <v>0</v>
      </c>
    </row>
    <row r="70" spans="1:17">
      <c r="A70">
        <v>69</v>
      </c>
      <c r="B70" s="5">
        <v>45708</v>
      </c>
      <c r="C70" t="s">
        <v>47</v>
      </c>
      <c r="D70" t="s">
        <v>48</v>
      </c>
      <c r="E70" t="s">
        <v>49</v>
      </c>
      <c r="F70">
        <v>2</v>
      </c>
      <c r="G70" t="s">
        <v>124</v>
      </c>
      <c r="H70" t="s">
        <v>125</v>
      </c>
      <c r="I70" t="s">
        <v>16</v>
      </c>
      <c r="J70" t="s">
        <v>52</v>
      </c>
      <c r="K70" t="s">
        <v>35</v>
      </c>
      <c r="L70" s="6">
        <v>0</v>
      </c>
      <c r="M70" s="6">
        <v>1000</v>
      </c>
      <c r="N70" s="6">
        <v>1000</v>
      </c>
      <c r="O70" s="6">
        <v>140704.45000000001</v>
      </c>
      <c r="P70" s="7">
        <v>0</v>
      </c>
      <c r="Q70" s="6">
        <v>0</v>
      </c>
    </row>
    <row r="71" spans="1:17">
      <c r="A71">
        <v>70</v>
      </c>
      <c r="B71" s="5">
        <v>45709</v>
      </c>
      <c r="C71" t="s">
        <v>47</v>
      </c>
      <c r="D71" t="s">
        <v>48</v>
      </c>
      <c r="E71" t="s">
        <v>49</v>
      </c>
      <c r="F71">
        <v>2</v>
      </c>
      <c r="G71" t="s">
        <v>126</v>
      </c>
      <c r="H71" t="s">
        <v>127</v>
      </c>
      <c r="I71" t="s">
        <v>16</v>
      </c>
      <c r="J71" t="s">
        <v>52</v>
      </c>
      <c r="K71" t="s">
        <v>35</v>
      </c>
      <c r="L71" s="6">
        <v>0</v>
      </c>
      <c r="M71" s="6">
        <v>276</v>
      </c>
      <c r="N71" s="6">
        <v>276</v>
      </c>
      <c r="O71" s="6">
        <v>140980.45000000001</v>
      </c>
      <c r="P71" s="7">
        <v>0</v>
      </c>
      <c r="Q71" s="6">
        <v>0</v>
      </c>
    </row>
    <row r="72" spans="1:17">
      <c r="A72">
        <v>71</v>
      </c>
      <c r="B72" s="5">
        <v>45709</v>
      </c>
      <c r="C72" t="s">
        <v>47</v>
      </c>
      <c r="D72" t="s">
        <v>48</v>
      </c>
      <c r="E72" t="s">
        <v>49</v>
      </c>
      <c r="F72">
        <v>2</v>
      </c>
      <c r="G72" t="s">
        <v>128</v>
      </c>
      <c r="H72" t="s">
        <v>66</v>
      </c>
      <c r="I72" t="s">
        <v>22</v>
      </c>
      <c r="J72" t="s">
        <v>67</v>
      </c>
      <c r="K72" t="s">
        <v>34</v>
      </c>
      <c r="L72" s="6">
        <v>422</v>
      </c>
      <c r="M72" s="6">
        <v>0</v>
      </c>
      <c r="N72" s="6">
        <v>-422</v>
      </c>
      <c r="O72" s="6">
        <v>140558.45000000001</v>
      </c>
      <c r="P72" s="7">
        <v>0</v>
      </c>
      <c r="Q72" s="6">
        <v>0</v>
      </c>
    </row>
    <row r="73" spans="1:17">
      <c r="A73">
        <v>72</v>
      </c>
      <c r="B73" s="5">
        <v>45709</v>
      </c>
      <c r="C73" t="s">
        <v>47</v>
      </c>
      <c r="D73" t="s">
        <v>48</v>
      </c>
      <c r="E73" t="s">
        <v>49</v>
      </c>
      <c r="F73">
        <v>2</v>
      </c>
      <c r="G73" t="s">
        <v>99</v>
      </c>
      <c r="H73" t="s">
        <v>100</v>
      </c>
      <c r="I73" t="s">
        <v>16</v>
      </c>
      <c r="J73" t="s">
        <v>52</v>
      </c>
      <c r="K73" t="s">
        <v>35</v>
      </c>
      <c r="L73" s="6">
        <v>0</v>
      </c>
      <c r="M73" s="6">
        <v>1000</v>
      </c>
      <c r="N73" s="6">
        <v>1000</v>
      </c>
      <c r="O73" s="6">
        <v>141558.45000000001</v>
      </c>
      <c r="P73" s="7">
        <v>0</v>
      </c>
      <c r="Q73" s="6">
        <v>0</v>
      </c>
    </row>
    <row r="74" spans="1:17">
      <c r="A74">
        <v>73</v>
      </c>
      <c r="B74" s="5">
        <v>45709</v>
      </c>
      <c r="C74" t="s">
        <v>47</v>
      </c>
      <c r="D74" t="s">
        <v>48</v>
      </c>
      <c r="E74" t="s">
        <v>49</v>
      </c>
      <c r="F74">
        <v>2</v>
      </c>
      <c r="G74" t="s">
        <v>76</v>
      </c>
      <c r="H74" t="s">
        <v>77</v>
      </c>
      <c r="I74" t="s">
        <v>16</v>
      </c>
      <c r="J74" t="s">
        <v>52</v>
      </c>
      <c r="K74" t="s">
        <v>35</v>
      </c>
      <c r="L74" s="6">
        <v>0</v>
      </c>
      <c r="M74" s="6">
        <v>15000</v>
      </c>
      <c r="N74" s="6">
        <v>15000</v>
      </c>
      <c r="O74" s="6">
        <v>156558.45000000001</v>
      </c>
      <c r="P74" s="7">
        <v>0</v>
      </c>
      <c r="Q74" s="6">
        <v>0</v>
      </c>
    </row>
    <row r="75" spans="1:17">
      <c r="A75">
        <v>74</v>
      </c>
      <c r="B75" s="5">
        <v>45709</v>
      </c>
      <c r="C75" t="s">
        <v>47</v>
      </c>
      <c r="D75" t="s">
        <v>48</v>
      </c>
      <c r="E75" t="s">
        <v>49</v>
      </c>
      <c r="F75">
        <v>2</v>
      </c>
      <c r="G75" t="s">
        <v>88</v>
      </c>
      <c r="H75" t="s">
        <v>89</v>
      </c>
      <c r="I75" t="s">
        <v>16</v>
      </c>
      <c r="J75" t="s">
        <v>52</v>
      </c>
      <c r="K75" t="s">
        <v>35</v>
      </c>
      <c r="L75" s="6">
        <v>0</v>
      </c>
      <c r="M75" s="6">
        <v>200</v>
      </c>
      <c r="N75" s="6">
        <v>200</v>
      </c>
      <c r="O75" s="6">
        <v>156758.45000000001</v>
      </c>
      <c r="P75" s="7">
        <v>0</v>
      </c>
      <c r="Q75" s="6">
        <v>0</v>
      </c>
    </row>
    <row r="76" spans="1:17">
      <c r="A76">
        <v>75</v>
      </c>
      <c r="B76" s="5">
        <v>45709</v>
      </c>
      <c r="C76" t="s">
        <v>47</v>
      </c>
      <c r="D76" t="s">
        <v>48</v>
      </c>
      <c r="E76" t="s">
        <v>49</v>
      </c>
      <c r="F76">
        <v>2</v>
      </c>
      <c r="G76" t="s">
        <v>129</v>
      </c>
      <c r="H76" t="s">
        <v>66</v>
      </c>
      <c r="I76" t="s">
        <v>22</v>
      </c>
      <c r="J76" t="s">
        <v>67</v>
      </c>
      <c r="K76" t="s">
        <v>34</v>
      </c>
      <c r="L76" s="6">
        <v>100</v>
      </c>
      <c r="M76" s="6">
        <v>0</v>
      </c>
      <c r="N76" s="6">
        <v>-100</v>
      </c>
      <c r="O76" s="6">
        <v>156658.45000000001</v>
      </c>
      <c r="P76" s="7">
        <v>0</v>
      </c>
      <c r="Q76" s="6">
        <v>0</v>
      </c>
    </row>
    <row r="77" spans="1:17">
      <c r="A77">
        <v>76</v>
      </c>
      <c r="B77" s="5">
        <v>45709</v>
      </c>
      <c r="C77" t="s">
        <v>47</v>
      </c>
      <c r="D77" t="s">
        <v>48</v>
      </c>
      <c r="E77" t="s">
        <v>49</v>
      </c>
      <c r="F77">
        <v>2</v>
      </c>
      <c r="G77" t="s">
        <v>130</v>
      </c>
      <c r="H77" t="s">
        <v>66</v>
      </c>
      <c r="I77" t="s">
        <v>22</v>
      </c>
      <c r="J77" t="s">
        <v>67</v>
      </c>
      <c r="K77" t="s">
        <v>34</v>
      </c>
      <c r="L77" s="6">
        <v>5251</v>
      </c>
      <c r="M77" s="6">
        <v>0</v>
      </c>
      <c r="N77" s="6">
        <v>-5251</v>
      </c>
      <c r="O77" s="6">
        <v>151407.45000000001</v>
      </c>
      <c r="P77" s="7">
        <v>0</v>
      </c>
      <c r="Q77" s="6">
        <v>0</v>
      </c>
    </row>
    <row r="78" spans="1:17">
      <c r="A78">
        <v>77</v>
      </c>
      <c r="B78" s="5">
        <v>45712</v>
      </c>
      <c r="C78" t="s">
        <v>47</v>
      </c>
      <c r="D78" t="s">
        <v>48</v>
      </c>
      <c r="E78" t="s">
        <v>49</v>
      </c>
      <c r="F78">
        <v>2</v>
      </c>
      <c r="G78" t="s">
        <v>131</v>
      </c>
      <c r="H78" t="s">
        <v>132</v>
      </c>
      <c r="I78" t="s">
        <v>16</v>
      </c>
      <c r="J78" t="s">
        <v>52</v>
      </c>
      <c r="K78" t="s">
        <v>35</v>
      </c>
      <c r="L78" s="6">
        <v>0</v>
      </c>
      <c r="M78" s="6">
        <v>3000</v>
      </c>
      <c r="N78" s="6">
        <v>3000</v>
      </c>
      <c r="O78" s="6">
        <v>154407.45000000001</v>
      </c>
      <c r="P78" s="7">
        <v>0</v>
      </c>
      <c r="Q78" s="6">
        <v>0</v>
      </c>
    </row>
    <row r="79" spans="1:17">
      <c r="A79">
        <v>78</v>
      </c>
      <c r="B79" s="5">
        <v>45712</v>
      </c>
      <c r="C79" t="s">
        <v>47</v>
      </c>
      <c r="D79" t="s">
        <v>48</v>
      </c>
      <c r="E79" t="s">
        <v>49</v>
      </c>
      <c r="F79">
        <v>2</v>
      </c>
      <c r="G79" t="s">
        <v>133</v>
      </c>
      <c r="H79" t="s">
        <v>134</v>
      </c>
      <c r="I79" t="s">
        <v>16</v>
      </c>
      <c r="J79" t="s">
        <v>52</v>
      </c>
      <c r="K79" t="s">
        <v>35</v>
      </c>
      <c r="L79" s="6">
        <v>0</v>
      </c>
      <c r="M79" s="6">
        <v>1000</v>
      </c>
      <c r="N79" s="6">
        <v>1000</v>
      </c>
      <c r="O79" s="6">
        <v>155407.45000000001</v>
      </c>
      <c r="P79" s="7">
        <v>0</v>
      </c>
      <c r="Q79" s="6">
        <v>0</v>
      </c>
    </row>
    <row r="80" spans="1:17">
      <c r="A80">
        <v>79</v>
      </c>
      <c r="B80" s="5">
        <v>45712</v>
      </c>
      <c r="C80" t="s">
        <v>47</v>
      </c>
      <c r="D80" t="s">
        <v>48</v>
      </c>
      <c r="E80" t="s">
        <v>49</v>
      </c>
      <c r="F80">
        <v>2</v>
      </c>
      <c r="G80" t="s">
        <v>111</v>
      </c>
      <c r="H80" t="s">
        <v>112</v>
      </c>
      <c r="I80" t="s">
        <v>16</v>
      </c>
      <c r="J80" t="s">
        <v>52</v>
      </c>
      <c r="K80" t="s">
        <v>35</v>
      </c>
      <c r="L80" s="6">
        <v>0</v>
      </c>
      <c r="M80" s="6">
        <v>5000</v>
      </c>
      <c r="N80" s="6">
        <v>5000</v>
      </c>
      <c r="O80" s="6">
        <v>160407.45000000001</v>
      </c>
      <c r="P80" s="7">
        <v>0</v>
      </c>
      <c r="Q80" s="6">
        <v>0</v>
      </c>
    </row>
    <row r="81" spans="1:17">
      <c r="A81">
        <v>80</v>
      </c>
      <c r="B81" s="5">
        <v>45712</v>
      </c>
      <c r="C81" t="s">
        <v>47</v>
      </c>
      <c r="D81" t="s">
        <v>48</v>
      </c>
      <c r="E81" t="s">
        <v>49</v>
      </c>
      <c r="F81">
        <v>2</v>
      </c>
      <c r="G81" t="s">
        <v>135</v>
      </c>
      <c r="H81" t="s">
        <v>66</v>
      </c>
      <c r="I81" t="s">
        <v>22</v>
      </c>
      <c r="J81" t="s">
        <v>67</v>
      </c>
      <c r="K81" t="s">
        <v>34</v>
      </c>
      <c r="L81" s="6">
        <v>10000</v>
      </c>
      <c r="M81" s="6">
        <v>0</v>
      </c>
      <c r="N81" s="6">
        <v>-10000</v>
      </c>
      <c r="O81" s="6">
        <v>150407.45000000001</v>
      </c>
      <c r="P81" s="7">
        <v>0</v>
      </c>
      <c r="Q81" s="6">
        <v>0</v>
      </c>
    </row>
    <row r="82" spans="1:17">
      <c r="A82">
        <v>81</v>
      </c>
      <c r="B82" s="5">
        <v>45712</v>
      </c>
      <c r="C82" t="s">
        <v>47</v>
      </c>
      <c r="D82" t="s">
        <v>48</v>
      </c>
      <c r="E82" t="s">
        <v>49</v>
      </c>
      <c r="F82">
        <v>2</v>
      </c>
      <c r="G82" t="s">
        <v>136</v>
      </c>
      <c r="H82" t="s">
        <v>66</v>
      </c>
      <c r="I82" t="s">
        <v>22</v>
      </c>
      <c r="J82" t="s">
        <v>67</v>
      </c>
      <c r="K82" t="s">
        <v>34</v>
      </c>
      <c r="L82" s="6">
        <v>10000</v>
      </c>
      <c r="M82" s="6">
        <v>0</v>
      </c>
      <c r="N82" s="6">
        <v>-10000</v>
      </c>
      <c r="O82" s="6">
        <v>140407.45000000001</v>
      </c>
      <c r="P82" s="7">
        <v>0</v>
      </c>
      <c r="Q82" s="6">
        <v>0</v>
      </c>
    </row>
    <row r="83" spans="1:17">
      <c r="A83">
        <v>82</v>
      </c>
      <c r="B83" s="5">
        <v>45712</v>
      </c>
      <c r="C83" t="s">
        <v>47</v>
      </c>
      <c r="D83" t="s">
        <v>48</v>
      </c>
      <c r="E83" t="s">
        <v>49</v>
      </c>
      <c r="F83">
        <v>2</v>
      </c>
      <c r="G83" t="s">
        <v>137</v>
      </c>
      <c r="H83" t="s">
        <v>138</v>
      </c>
      <c r="I83" t="s">
        <v>16</v>
      </c>
      <c r="J83" t="s">
        <v>52</v>
      </c>
      <c r="K83" t="s">
        <v>35</v>
      </c>
      <c r="L83" s="6">
        <v>0</v>
      </c>
      <c r="M83" s="6">
        <v>4500</v>
      </c>
      <c r="N83" s="6">
        <v>4500</v>
      </c>
      <c r="O83" s="6">
        <v>144907.45000000001</v>
      </c>
      <c r="P83" s="7">
        <v>0</v>
      </c>
      <c r="Q83" s="6">
        <v>0</v>
      </c>
    </row>
    <row r="84" spans="1:17">
      <c r="A84">
        <v>83</v>
      </c>
      <c r="B84" s="5">
        <v>45712</v>
      </c>
      <c r="C84" t="s">
        <v>47</v>
      </c>
      <c r="D84" t="s">
        <v>48</v>
      </c>
      <c r="E84" t="s">
        <v>49</v>
      </c>
      <c r="F84">
        <v>2</v>
      </c>
      <c r="G84" t="s">
        <v>133</v>
      </c>
      <c r="H84" t="s">
        <v>134</v>
      </c>
      <c r="I84" t="s">
        <v>16</v>
      </c>
      <c r="J84" t="s">
        <v>52</v>
      </c>
      <c r="K84" t="s">
        <v>35</v>
      </c>
      <c r="L84" s="6">
        <v>0</v>
      </c>
      <c r="M84" s="6">
        <v>4399</v>
      </c>
      <c r="N84" s="6">
        <v>4399</v>
      </c>
      <c r="O84" s="6">
        <v>149306.45000000001</v>
      </c>
      <c r="P84" s="7">
        <v>0</v>
      </c>
      <c r="Q84" s="6">
        <v>0</v>
      </c>
    </row>
    <row r="85" spans="1:17">
      <c r="A85">
        <v>84</v>
      </c>
      <c r="B85" s="5">
        <v>45712</v>
      </c>
      <c r="C85" t="s">
        <v>47</v>
      </c>
      <c r="D85" t="s">
        <v>48</v>
      </c>
      <c r="E85" t="s">
        <v>49</v>
      </c>
      <c r="F85">
        <v>2</v>
      </c>
      <c r="G85" t="s">
        <v>139</v>
      </c>
      <c r="H85" t="s">
        <v>66</v>
      </c>
      <c r="I85" t="s">
        <v>22</v>
      </c>
      <c r="J85" t="s">
        <v>67</v>
      </c>
      <c r="K85" t="s">
        <v>34</v>
      </c>
      <c r="L85" s="6">
        <v>6984</v>
      </c>
      <c r="M85" s="6">
        <v>0</v>
      </c>
      <c r="N85" s="6">
        <v>-6984</v>
      </c>
      <c r="O85" s="6">
        <v>142322.45000000001</v>
      </c>
      <c r="P85" s="7">
        <v>0</v>
      </c>
      <c r="Q85" s="6">
        <v>0</v>
      </c>
    </row>
    <row r="86" spans="1:17">
      <c r="A86">
        <v>85</v>
      </c>
      <c r="B86" s="5">
        <v>45712</v>
      </c>
      <c r="C86" t="s">
        <v>47</v>
      </c>
      <c r="D86" t="s">
        <v>48</v>
      </c>
      <c r="E86" t="s">
        <v>49</v>
      </c>
      <c r="F86">
        <v>2</v>
      </c>
      <c r="G86" t="s">
        <v>140</v>
      </c>
      <c r="H86" t="s">
        <v>66</v>
      </c>
      <c r="I86" t="s">
        <v>22</v>
      </c>
      <c r="J86" t="s">
        <v>67</v>
      </c>
      <c r="K86" t="s">
        <v>34</v>
      </c>
      <c r="L86" s="6">
        <v>92</v>
      </c>
      <c r="M86" s="6">
        <v>0</v>
      </c>
      <c r="N86" s="6">
        <v>-92</v>
      </c>
      <c r="O86" s="6">
        <v>142230.45000000001</v>
      </c>
      <c r="P86" s="7">
        <v>0</v>
      </c>
      <c r="Q86" s="6">
        <v>0</v>
      </c>
    </row>
    <row r="87" spans="1:17">
      <c r="A87">
        <v>86</v>
      </c>
      <c r="B87" s="5">
        <v>45713</v>
      </c>
      <c r="C87" t="s">
        <v>47</v>
      </c>
      <c r="D87" t="s">
        <v>48</v>
      </c>
      <c r="E87" t="s">
        <v>49</v>
      </c>
      <c r="F87">
        <v>2</v>
      </c>
      <c r="G87" t="s">
        <v>137</v>
      </c>
      <c r="H87" t="s">
        <v>138</v>
      </c>
      <c r="I87" t="s">
        <v>16</v>
      </c>
      <c r="J87" t="s">
        <v>52</v>
      </c>
      <c r="K87" t="s">
        <v>35</v>
      </c>
      <c r="L87" s="6">
        <v>0</v>
      </c>
      <c r="M87" s="6">
        <v>4500</v>
      </c>
      <c r="N87" s="6">
        <v>4500</v>
      </c>
      <c r="O87" s="6">
        <v>146730.45000000001</v>
      </c>
      <c r="P87" s="7">
        <v>0</v>
      </c>
      <c r="Q87" s="6">
        <v>0</v>
      </c>
    </row>
    <row r="88" spans="1:17">
      <c r="A88">
        <v>87</v>
      </c>
      <c r="B88" s="5">
        <v>45713</v>
      </c>
      <c r="C88" t="s">
        <v>47</v>
      </c>
      <c r="D88" t="s">
        <v>48</v>
      </c>
      <c r="E88" t="s">
        <v>49</v>
      </c>
      <c r="F88">
        <v>3</v>
      </c>
      <c r="G88" t="s">
        <v>141</v>
      </c>
      <c r="H88" t="s">
        <v>66</v>
      </c>
      <c r="I88" t="s">
        <v>22</v>
      </c>
      <c r="J88" t="s">
        <v>67</v>
      </c>
      <c r="K88" t="s">
        <v>34</v>
      </c>
      <c r="L88" s="6">
        <v>561.94000000000005</v>
      </c>
      <c r="M88" s="6">
        <v>0</v>
      </c>
      <c r="N88" s="6">
        <v>-561.94000000000005</v>
      </c>
      <c r="O88" s="6">
        <v>146168.51</v>
      </c>
      <c r="P88" s="7">
        <v>0</v>
      </c>
      <c r="Q88" s="6">
        <v>0</v>
      </c>
    </row>
    <row r="89" spans="1:17">
      <c r="A89">
        <v>88</v>
      </c>
      <c r="B89" s="5">
        <v>45713</v>
      </c>
      <c r="C89" t="s">
        <v>47</v>
      </c>
      <c r="D89" t="s">
        <v>48</v>
      </c>
      <c r="E89" t="s">
        <v>49</v>
      </c>
      <c r="F89">
        <v>3</v>
      </c>
      <c r="G89" t="s">
        <v>142</v>
      </c>
      <c r="H89" t="s">
        <v>66</v>
      </c>
      <c r="I89" t="s">
        <v>22</v>
      </c>
      <c r="J89" t="s">
        <v>67</v>
      </c>
      <c r="K89" t="s">
        <v>34</v>
      </c>
      <c r="L89" s="6">
        <v>3651.8</v>
      </c>
      <c r="M89" s="6">
        <v>0</v>
      </c>
      <c r="N89" s="6">
        <v>-3651.8</v>
      </c>
      <c r="O89" s="6">
        <v>142516.71</v>
      </c>
      <c r="P89" s="7">
        <v>0</v>
      </c>
      <c r="Q89" s="6">
        <v>0</v>
      </c>
    </row>
    <row r="90" spans="1:17">
      <c r="A90">
        <v>89</v>
      </c>
      <c r="B90" s="5">
        <v>45713</v>
      </c>
      <c r="C90" t="s">
        <v>47</v>
      </c>
      <c r="D90" t="s">
        <v>48</v>
      </c>
      <c r="E90" t="s">
        <v>49</v>
      </c>
      <c r="F90">
        <v>3</v>
      </c>
      <c r="G90" t="s">
        <v>99</v>
      </c>
      <c r="H90" t="s">
        <v>100</v>
      </c>
      <c r="I90" t="s">
        <v>16</v>
      </c>
      <c r="J90" t="s">
        <v>52</v>
      </c>
      <c r="K90" t="s">
        <v>35</v>
      </c>
      <c r="L90" s="6">
        <v>0</v>
      </c>
      <c r="M90" s="6">
        <v>600</v>
      </c>
      <c r="N90" s="6">
        <v>600</v>
      </c>
      <c r="O90" s="6">
        <v>143116.71</v>
      </c>
      <c r="P90" s="7">
        <v>0</v>
      </c>
      <c r="Q90" s="6">
        <v>0</v>
      </c>
    </row>
    <row r="91" spans="1:17">
      <c r="A91">
        <v>90</v>
      </c>
      <c r="B91" s="5">
        <v>45713</v>
      </c>
      <c r="C91" t="s">
        <v>47</v>
      </c>
      <c r="D91" t="s">
        <v>48</v>
      </c>
      <c r="E91" t="s">
        <v>49</v>
      </c>
      <c r="F91">
        <v>3</v>
      </c>
      <c r="G91" t="s">
        <v>133</v>
      </c>
      <c r="H91" t="s">
        <v>134</v>
      </c>
      <c r="I91" t="s">
        <v>16</v>
      </c>
      <c r="J91" t="s">
        <v>52</v>
      </c>
      <c r="K91" t="s">
        <v>35</v>
      </c>
      <c r="L91" s="6">
        <v>0</v>
      </c>
      <c r="M91" s="6">
        <v>5000</v>
      </c>
      <c r="N91" s="6">
        <v>5000</v>
      </c>
      <c r="O91" s="6">
        <v>148116.71</v>
      </c>
      <c r="P91" s="7">
        <v>0</v>
      </c>
      <c r="Q91" s="6">
        <v>0</v>
      </c>
    </row>
    <row r="92" spans="1:17">
      <c r="A92">
        <v>91</v>
      </c>
      <c r="B92" s="5">
        <v>45713</v>
      </c>
      <c r="C92" t="s">
        <v>47</v>
      </c>
      <c r="D92" t="s">
        <v>48</v>
      </c>
      <c r="E92" t="s">
        <v>49</v>
      </c>
      <c r="F92">
        <v>3</v>
      </c>
      <c r="G92" t="s">
        <v>143</v>
      </c>
      <c r="H92" t="s">
        <v>144</v>
      </c>
      <c r="I92" t="s">
        <v>16</v>
      </c>
      <c r="J92" t="s">
        <v>52</v>
      </c>
      <c r="K92" t="s">
        <v>35</v>
      </c>
      <c r="L92" s="6">
        <v>0</v>
      </c>
      <c r="M92" s="6">
        <v>500</v>
      </c>
      <c r="N92" s="6">
        <v>500</v>
      </c>
      <c r="O92" s="6">
        <v>148616.71</v>
      </c>
      <c r="P92" s="7">
        <v>0</v>
      </c>
      <c r="Q92" s="6">
        <v>0</v>
      </c>
    </row>
    <row r="93" spans="1:17">
      <c r="A93">
        <v>92</v>
      </c>
      <c r="B93" s="5">
        <v>45714</v>
      </c>
      <c r="C93" t="s">
        <v>47</v>
      </c>
      <c r="D93" t="s">
        <v>48</v>
      </c>
      <c r="E93" t="s">
        <v>49</v>
      </c>
      <c r="F93">
        <v>3</v>
      </c>
      <c r="G93" t="s">
        <v>137</v>
      </c>
      <c r="H93" t="s">
        <v>138</v>
      </c>
      <c r="I93" t="s">
        <v>16</v>
      </c>
      <c r="J93" t="s">
        <v>52</v>
      </c>
      <c r="K93" t="s">
        <v>35</v>
      </c>
      <c r="L93" s="6">
        <v>0</v>
      </c>
      <c r="M93" s="6">
        <v>5000</v>
      </c>
      <c r="N93" s="6">
        <v>5000</v>
      </c>
      <c r="O93" s="6">
        <v>153616.71</v>
      </c>
      <c r="P93" s="7">
        <v>0</v>
      </c>
      <c r="Q93" s="6">
        <v>0</v>
      </c>
    </row>
    <row r="94" spans="1:17">
      <c r="A94">
        <v>93</v>
      </c>
      <c r="B94" s="5">
        <v>45714</v>
      </c>
      <c r="C94" t="s">
        <v>47</v>
      </c>
      <c r="D94" t="s">
        <v>48</v>
      </c>
      <c r="E94" t="s">
        <v>49</v>
      </c>
      <c r="F94">
        <v>3</v>
      </c>
      <c r="G94" t="s">
        <v>145</v>
      </c>
      <c r="H94" t="s">
        <v>66</v>
      </c>
      <c r="I94" t="s">
        <v>22</v>
      </c>
      <c r="J94" t="s">
        <v>67</v>
      </c>
      <c r="K94" t="s">
        <v>34</v>
      </c>
      <c r="L94" s="6">
        <v>150</v>
      </c>
      <c r="M94" s="6">
        <v>0</v>
      </c>
      <c r="N94" s="6">
        <v>-150</v>
      </c>
      <c r="O94" s="6">
        <v>153466.71</v>
      </c>
      <c r="P94" s="7">
        <v>0</v>
      </c>
      <c r="Q94" s="6">
        <v>0</v>
      </c>
    </row>
    <row r="95" spans="1:17">
      <c r="A95">
        <v>94</v>
      </c>
      <c r="B95" s="5">
        <v>45714</v>
      </c>
      <c r="C95" t="s">
        <v>47</v>
      </c>
      <c r="D95" t="s">
        <v>48</v>
      </c>
      <c r="E95" t="s">
        <v>49</v>
      </c>
      <c r="F95">
        <v>3</v>
      </c>
      <c r="G95" t="s">
        <v>146</v>
      </c>
      <c r="H95" t="s">
        <v>147</v>
      </c>
      <c r="I95" t="s">
        <v>16</v>
      </c>
      <c r="J95" t="s">
        <v>52</v>
      </c>
      <c r="K95" t="s">
        <v>35</v>
      </c>
      <c r="L95" s="6">
        <v>0</v>
      </c>
      <c r="M95" s="6">
        <v>500</v>
      </c>
      <c r="N95" s="6">
        <v>500</v>
      </c>
      <c r="O95" s="6">
        <v>153966.71</v>
      </c>
      <c r="P95" s="7">
        <v>0</v>
      </c>
      <c r="Q95" s="6">
        <v>0</v>
      </c>
    </row>
    <row r="96" spans="1:17">
      <c r="A96">
        <v>95</v>
      </c>
      <c r="B96" s="5">
        <v>45714</v>
      </c>
      <c r="C96" t="s">
        <v>47</v>
      </c>
      <c r="D96" t="s">
        <v>48</v>
      </c>
      <c r="E96" t="s">
        <v>49</v>
      </c>
      <c r="F96">
        <v>3</v>
      </c>
      <c r="G96" t="s">
        <v>101</v>
      </c>
      <c r="H96" t="s">
        <v>102</v>
      </c>
      <c r="I96" t="s">
        <v>16</v>
      </c>
      <c r="J96" t="s">
        <v>52</v>
      </c>
      <c r="K96" t="s">
        <v>35</v>
      </c>
      <c r="L96" s="6">
        <v>0</v>
      </c>
      <c r="M96" s="6">
        <v>3500</v>
      </c>
      <c r="N96" s="6">
        <v>3500</v>
      </c>
      <c r="O96" s="6">
        <v>157466.71</v>
      </c>
      <c r="P96" s="7">
        <v>0</v>
      </c>
      <c r="Q96" s="6">
        <v>0</v>
      </c>
    </row>
    <row r="97" spans="1:17">
      <c r="A97">
        <v>96</v>
      </c>
      <c r="B97" s="5">
        <v>45714</v>
      </c>
      <c r="C97" t="s">
        <v>47</v>
      </c>
      <c r="D97" t="s">
        <v>48</v>
      </c>
      <c r="E97" t="s">
        <v>49</v>
      </c>
      <c r="F97">
        <v>3</v>
      </c>
      <c r="G97" t="s">
        <v>148</v>
      </c>
      <c r="H97" t="s">
        <v>66</v>
      </c>
      <c r="I97" t="s">
        <v>22</v>
      </c>
      <c r="J97" t="s">
        <v>67</v>
      </c>
      <c r="K97" t="s">
        <v>34</v>
      </c>
      <c r="L97" s="6">
        <v>6000</v>
      </c>
      <c r="M97" s="6">
        <v>0</v>
      </c>
      <c r="N97" s="6">
        <v>-6000</v>
      </c>
      <c r="O97" s="6">
        <v>151466.71</v>
      </c>
      <c r="P97" s="7">
        <v>0</v>
      </c>
      <c r="Q97" s="6">
        <v>0</v>
      </c>
    </row>
    <row r="98" spans="1:17">
      <c r="A98">
        <v>97</v>
      </c>
      <c r="B98" s="5">
        <v>45714</v>
      </c>
      <c r="C98" t="s">
        <v>47</v>
      </c>
      <c r="D98" t="s">
        <v>48</v>
      </c>
      <c r="E98" t="s">
        <v>49</v>
      </c>
      <c r="F98">
        <v>3</v>
      </c>
      <c r="G98" t="s">
        <v>131</v>
      </c>
      <c r="H98" t="s">
        <v>132</v>
      </c>
      <c r="I98" t="s">
        <v>16</v>
      </c>
      <c r="J98" t="s">
        <v>52</v>
      </c>
      <c r="K98" t="s">
        <v>35</v>
      </c>
      <c r="L98" s="6">
        <v>0</v>
      </c>
      <c r="M98" s="6">
        <v>1500</v>
      </c>
      <c r="N98" s="6">
        <v>1500</v>
      </c>
      <c r="O98" s="6">
        <v>152966.71</v>
      </c>
      <c r="P98" s="7">
        <v>0</v>
      </c>
      <c r="Q98" s="6">
        <v>0</v>
      </c>
    </row>
    <row r="99" spans="1:17">
      <c r="A99">
        <v>98</v>
      </c>
      <c r="B99" s="5">
        <v>45714</v>
      </c>
      <c r="C99" t="s">
        <v>47</v>
      </c>
      <c r="D99" t="s">
        <v>48</v>
      </c>
      <c r="E99" t="s">
        <v>49</v>
      </c>
      <c r="F99">
        <v>3</v>
      </c>
      <c r="G99" t="s">
        <v>149</v>
      </c>
      <c r="H99" t="s">
        <v>66</v>
      </c>
      <c r="I99" t="s">
        <v>22</v>
      </c>
      <c r="J99" t="s">
        <v>67</v>
      </c>
      <c r="K99" t="s">
        <v>34</v>
      </c>
      <c r="L99" s="6">
        <v>1300</v>
      </c>
      <c r="M99" s="6">
        <v>0</v>
      </c>
      <c r="N99" s="6">
        <v>-1300</v>
      </c>
      <c r="O99" s="6">
        <v>151666.71</v>
      </c>
      <c r="P99" s="7">
        <v>0</v>
      </c>
      <c r="Q99" s="6">
        <v>0</v>
      </c>
    </row>
    <row r="100" spans="1:17">
      <c r="A100">
        <v>99</v>
      </c>
      <c r="B100" s="5">
        <v>45715</v>
      </c>
      <c r="C100" t="s">
        <v>47</v>
      </c>
      <c r="D100" t="s">
        <v>48</v>
      </c>
      <c r="E100" t="s">
        <v>49</v>
      </c>
      <c r="F100">
        <v>3</v>
      </c>
      <c r="G100" t="s">
        <v>69</v>
      </c>
      <c r="H100" t="s">
        <v>70</v>
      </c>
      <c r="I100" t="s">
        <v>16</v>
      </c>
      <c r="J100" t="s">
        <v>52</v>
      </c>
      <c r="K100" t="s">
        <v>35</v>
      </c>
      <c r="L100" s="6">
        <v>0</v>
      </c>
      <c r="M100" s="6">
        <v>500</v>
      </c>
      <c r="N100" s="6">
        <v>500</v>
      </c>
      <c r="O100" s="6">
        <v>152166.71</v>
      </c>
      <c r="P100" s="7">
        <v>0</v>
      </c>
      <c r="Q100" s="6">
        <v>0</v>
      </c>
    </row>
    <row r="101" spans="1:17">
      <c r="A101">
        <v>100</v>
      </c>
      <c r="B101" s="5">
        <v>45715</v>
      </c>
      <c r="C101" t="s">
        <v>47</v>
      </c>
      <c r="D101" t="s">
        <v>48</v>
      </c>
      <c r="E101" t="s">
        <v>49</v>
      </c>
      <c r="F101">
        <v>3</v>
      </c>
      <c r="G101" t="s">
        <v>150</v>
      </c>
      <c r="H101" t="s">
        <v>66</v>
      </c>
      <c r="I101" t="s">
        <v>22</v>
      </c>
      <c r="J101" t="s">
        <v>67</v>
      </c>
      <c r="K101" t="s">
        <v>34</v>
      </c>
      <c r="L101" s="6">
        <v>1200</v>
      </c>
      <c r="M101" s="6">
        <v>0</v>
      </c>
      <c r="N101" s="6">
        <v>-1200</v>
      </c>
      <c r="O101" s="6">
        <v>150966.71</v>
      </c>
      <c r="P101" s="7">
        <v>0</v>
      </c>
      <c r="Q101" s="6">
        <v>0</v>
      </c>
    </row>
    <row r="102" spans="1:17">
      <c r="A102">
        <v>101</v>
      </c>
      <c r="B102" s="5">
        <v>45715</v>
      </c>
      <c r="C102" t="s">
        <v>47</v>
      </c>
      <c r="D102" t="s">
        <v>48</v>
      </c>
      <c r="E102" t="s">
        <v>49</v>
      </c>
      <c r="F102">
        <v>3</v>
      </c>
      <c r="G102" t="s">
        <v>151</v>
      </c>
      <c r="H102" t="s">
        <v>66</v>
      </c>
      <c r="I102" t="s">
        <v>22</v>
      </c>
      <c r="J102" t="s">
        <v>67</v>
      </c>
      <c r="K102" t="s">
        <v>34</v>
      </c>
      <c r="L102" s="6">
        <v>1252</v>
      </c>
      <c r="M102" s="6">
        <v>0</v>
      </c>
      <c r="N102" s="6">
        <v>-1252</v>
      </c>
      <c r="O102" s="6">
        <v>149714.71</v>
      </c>
      <c r="P102" s="7">
        <v>0</v>
      </c>
      <c r="Q102" s="6">
        <v>0</v>
      </c>
    </row>
    <row r="103" spans="1:17">
      <c r="A103">
        <v>102</v>
      </c>
      <c r="B103" s="5">
        <v>45715</v>
      </c>
      <c r="C103" t="s">
        <v>47</v>
      </c>
      <c r="D103" t="s">
        <v>48</v>
      </c>
      <c r="E103" t="s">
        <v>49</v>
      </c>
      <c r="F103">
        <v>3</v>
      </c>
      <c r="G103" t="s">
        <v>152</v>
      </c>
      <c r="H103" t="s">
        <v>153</v>
      </c>
      <c r="I103" t="s">
        <v>16</v>
      </c>
      <c r="J103" t="s">
        <v>52</v>
      </c>
      <c r="K103" t="s">
        <v>35</v>
      </c>
      <c r="L103" s="6">
        <v>0</v>
      </c>
      <c r="M103" s="6">
        <v>100</v>
      </c>
      <c r="N103" s="6">
        <v>100</v>
      </c>
      <c r="O103" s="6">
        <v>149814.71</v>
      </c>
      <c r="P103" s="7">
        <v>0</v>
      </c>
      <c r="Q103" s="6">
        <v>0</v>
      </c>
    </row>
    <row r="104" spans="1:17">
      <c r="A104">
        <v>103</v>
      </c>
      <c r="B104" s="5">
        <v>45715</v>
      </c>
      <c r="C104" t="s">
        <v>47</v>
      </c>
      <c r="D104" t="s">
        <v>48</v>
      </c>
      <c r="E104" t="s">
        <v>49</v>
      </c>
      <c r="F104">
        <v>3</v>
      </c>
      <c r="G104" t="s">
        <v>154</v>
      </c>
      <c r="H104" t="s">
        <v>66</v>
      </c>
      <c r="I104" t="s">
        <v>22</v>
      </c>
      <c r="J104" t="s">
        <v>67</v>
      </c>
      <c r="K104" t="s">
        <v>34</v>
      </c>
      <c r="L104" s="6">
        <v>116100</v>
      </c>
      <c r="M104" s="6">
        <v>0</v>
      </c>
      <c r="N104" s="6">
        <v>-116100</v>
      </c>
      <c r="O104" s="6">
        <v>33714.71</v>
      </c>
      <c r="P104" s="7">
        <v>0</v>
      </c>
      <c r="Q104" s="6">
        <v>0</v>
      </c>
    </row>
    <row r="105" spans="1:17">
      <c r="A105">
        <v>104</v>
      </c>
      <c r="B105" s="5">
        <v>45715</v>
      </c>
      <c r="C105" t="s">
        <v>47</v>
      </c>
      <c r="D105" t="s">
        <v>48</v>
      </c>
      <c r="E105" t="s">
        <v>49</v>
      </c>
      <c r="F105">
        <v>3</v>
      </c>
      <c r="G105" t="s">
        <v>69</v>
      </c>
      <c r="H105" t="s">
        <v>70</v>
      </c>
      <c r="I105" t="s">
        <v>16</v>
      </c>
      <c r="J105" t="s">
        <v>52</v>
      </c>
      <c r="K105" t="s">
        <v>35</v>
      </c>
      <c r="L105" s="6">
        <v>0</v>
      </c>
      <c r="M105" s="6">
        <v>3000</v>
      </c>
      <c r="N105" s="6">
        <v>3000</v>
      </c>
      <c r="O105" s="6">
        <v>36714.71</v>
      </c>
      <c r="P105" s="7">
        <v>0</v>
      </c>
      <c r="Q105" s="6">
        <v>0</v>
      </c>
    </row>
    <row r="106" spans="1:17">
      <c r="A106">
        <v>105</v>
      </c>
      <c r="B106" s="5">
        <v>45715</v>
      </c>
      <c r="C106" t="s">
        <v>47</v>
      </c>
      <c r="D106" t="s">
        <v>48</v>
      </c>
      <c r="E106" t="s">
        <v>49</v>
      </c>
      <c r="F106">
        <v>3</v>
      </c>
      <c r="G106" t="s">
        <v>155</v>
      </c>
      <c r="H106" t="s">
        <v>156</v>
      </c>
      <c r="I106" t="s">
        <v>16</v>
      </c>
      <c r="J106" t="s">
        <v>52</v>
      </c>
      <c r="K106" t="s">
        <v>35</v>
      </c>
      <c r="L106" s="6">
        <v>0</v>
      </c>
      <c r="M106" s="6">
        <v>829</v>
      </c>
      <c r="N106" s="6">
        <v>829</v>
      </c>
      <c r="O106" s="6">
        <v>37543.71</v>
      </c>
      <c r="P106" s="7">
        <v>0</v>
      </c>
      <c r="Q106" s="6">
        <v>0</v>
      </c>
    </row>
    <row r="107" spans="1:17">
      <c r="A107">
        <v>106</v>
      </c>
      <c r="B107" s="5">
        <v>45715</v>
      </c>
      <c r="C107" t="s">
        <v>47</v>
      </c>
      <c r="D107" t="s">
        <v>48</v>
      </c>
      <c r="E107" t="s">
        <v>49</v>
      </c>
      <c r="F107">
        <v>3</v>
      </c>
      <c r="G107" t="s">
        <v>133</v>
      </c>
      <c r="H107" t="s">
        <v>134</v>
      </c>
      <c r="I107" t="s">
        <v>16</v>
      </c>
      <c r="J107" t="s">
        <v>52</v>
      </c>
      <c r="K107" t="s">
        <v>35</v>
      </c>
      <c r="L107" s="6">
        <v>0</v>
      </c>
      <c r="M107" s="6">
        <v>5000</v>
      </c>
      <c r="N107" s="6">
        <v>5000</v>
      </c>
      <c r="O107" s="6">
        <v>42543.71</v>
      </c>
      <c r="P107" s="7">
        <v>0</v>
      </c>
      <c r="Q107" s="6">
        <v>0</v>
      </c>
    </row>
    <row r="108" spans="1:17">
      <c r="A108">
        <v>107</v>
      </c>
      <c r="B108" s="5">
        <v>45715</v>
      </c>
      <c r="C108" t="s">
        <v>47</v>
      </c>
      <c r="D108" t="s">
        <v>48</v>
      </c>
      <c r="E108" t="s">
        <v>49</v>
      </c>
      <c r="F108">
        <v>3</v>
      </c>
      <c r="G108" t="s">
        <v>133</v>
      </c>
      <c r="H108" t="s">
        <v>134</v>
      </c>
      <c r="I108" t="s">
        <v>16</v>
      </c>
      <c r="J108" t="s">
        <v>52</v>
      </c>
      <c r="K108" t="s">
        <v>35</v>
      </c>
      <c r="L108" s="6">
        <v>0</v>
      </c>
      <c r="M108" s="6">
        <v>10000</v>
      </c>
      <c r="N108" s="6">
        <v>10000</v>
      </c>
      <c r="O108" s="6">
        <v>52543.71</v>
      </c>
      <c r="P108" s="7">
        <v>0</v>
      </c>
      <c r="Q108" s="6">
        <v>0</v>
      </c>
    </row>
    <row r="109" spans="1:17">
      <c r="A109">
        <v>108</v>
      </c>
      <c r="B109" s="5">
        <v>45715</v>
      </c>
      <c r="C109" t="s">
        <v>47</v>
      </c>
      <c r="D109" t="s">
        <v>48</v>
      </c>
      <c r="E109" t="s">
        <v>49</v>
      </c>
      <c r="F109">
        <v>3</v>
      </c>
      <c r="G109" t="s">
        <v>157</v>
      </c>
      <c r="H109" t="s">
        <v>158</v>
      </c>
      <c r="I109" t="s">
        <v>16</v>
      </c>
      <c r="J109" t="s">
        <v>52</v>
      </c>
      <c r="K109" t="s">
        <v>35</v>
      </c>
      <c r="L109" s="6">
        <v>0</v>
      </c>
      <c r="M109" s="6">
        <v>50</v>
      </c>
      <c r="N109" s="6">
        <v>50</v>
      </c>
      <c r="O109" s="6">
        <v>52593.71</v>
      </c>
      <c r="P109" s="7">
        <v>0</v>
      </c>
      <c r="Q109" s="6">
        <v>0</v>
      </c>
    </row>
    <row r="110" spans="1:17">
      <c r="A110">
        <v>109</v>
      </c>
      <c r="B110" s="5">
        <v>45716</v>
      </c>
      <c r="C110" t="s">
        <v>47</v>
      </c>
      <c r="D110" t="s">
        <v>48</v>
      </c>
      <c r="E110" t="s">
        <v>49</v>
      </c>
      <c r="F110">
        <v>3</v>
      </c>
      <c r="G110" t="s">
        <v>133</v>
      </c>
      <c r="H110" t="s">
        <v>134</v>
      </c>
      <c r="I110" t="s">
        <v>16</v>
      </c>
      <c r="J110" t="s">
        <v>52</v>
      </c>
      <c r="K110" t="s">
        <v>35</v>
      </c>
      <c r="L110" s="6">
        <v>0</v>
      </c>
      <c r="M110" s="6">
        <v>3000</v>
      </c>
      <c r="N110" s="6">
        <v>3000</v>
      </c>
      <c r="O110" s="6">
        <v>55593.71</v>
      </c>
      <c r="P110" s="7">
        <v>0</v>
      </c>
      <c r="Q110" s="6">
        <v>0</v>
      </c>
    </row>
    <row r="111" spans="1:17">
      <c r="A111">
        <v>110</v>
      </c>
      <c r="B111" s="5">
        <v>45716</v>
      </c>
      <c r="C111" t="s">
        <v>47</v>
      </c>
      <c r="D111" t="s">
        <v>48</v>
      </c>
      <c r="E111" t="s">
        <v>49</v>
      </c>
      <c r="F111">
        <v>3</v>
      </c>
      <c r="G111" t="s">
        <v>133</v>
      </c>
      <c r="H111" t="s">
        <v>134</v>
      </c>
      <c r="I111" t="s">
        <v>16</v>
      </c>
      <c r="J111" t="s">
        <v>52</v>
      </c>
      <c r="K111" t="s">
        <v>35</v>
      </c>
      <c r="L111" s="6">
        <v>0</v>
      </c>
      <c r="M111" s="6">
        <v>5000</v>
      </c>
      <c r="N111" s="6">
        <v>5000</v>
      </c>
      <c r="O111" s="6">
        <v>60593.71</v>
      </c>
      <c r="P111" s="7">
        <v>0</v>
      </c>
      <c r="Q111" s="6">
        <v>0</v>
      </c>
    </row>
    <row r="112" spans="1:17">
      <c r="A112">
        <v>111</v>
      </c>
      <c r="B112" s="5">
        <v>45716</v>
      </c>
      <c r="C112" t="s">
        <v>47</v>
      </c>
      <c r="D112" t="s">
        <v>48</v>
      </c>
      <c r="E112" t="s">
        <v>49</v>
      </c>
      <c r="F112">
        <v>3</v>
      </c>
      <c r="G112" t="s">
        <v>159</v>
      </c>
      <c r="H112" t="s">
        <v>66</v>
      </c>
      <c r="I112" t="s">
        <v>22</v>
      </c>
      <c r="J112" t="s">
        <v>67</v>
      </c>
      <c r="K112" t="s">
        <v>34</v>
      </c>
      <c r="L112" s="6">
        <v>4715.0600000000004</v>
      </c>
      <c r="M112" s="6">
        <v>0</v>
      </c>
      <c r="N112" s="6">
        <v>-4715.0600000000004</v>
      </c>
      <c r="O112" s="6">
        <v>55878.65</v>
      </c>
      <c r="P112" s="7">
        <v>0</v>
      </c>
      <c r="Q112" s="6">
        <v>0</v>
      </c>
    </row>
    <row r="113" spans="1:18">
      <c r="A113">
        <v>112</v>
      </c>
      <c r="B113" s="5">
        <v>45716</v>
      </c>
      <c r="C113" t="s">
        <v>47</v>
      </c>
      <c r="D113" t="s">
        <v>48</v>
      </c>
      <c r="E113" t="s">
        <v>49</v>
      </c>
      <c r="F113">
        <v>3</v>
      </c>
      <c r="G113" t="s">
        <v>69</v>
      </c>
      <c r="H113" t="s">
        <v>70</v>
      </c>
      <c r="I113" t="s">
        <v>16</v>
      </c>
      <c r="J113" t="s">
        <v>52</v>
      </c>
      <c r="K113" t="s">
        <v>35</v>
      </c>
      <c r="L113" s="6">
        <v>0</v>
      </c>
      <c r="M113" s="6">
        <v>1000</v>
      </c>
      <c r="N113" s="6">
        <v>1000</v>
      </c>
      <c r="O113" s="6">
        <v>56878.65</v>
      </c>
      <c r="P113" s="7">
        <v>0</v>
      </c>
      <c r="Q113" s="6">
        <v>0</v>
      </c>
    </row>
    <row r="114" spans="1:18">
      <c r="A114">
        <v>113</v>
      </c>
      <c r="B114" s="5">
        <v>45716</v>
      </c>
      <c r="C114" t="s">
        <v>47</v>
      </c>
      <c r="D114" t="s">
        <v>48</v>
      </c>
      <c r="E114" t="s">
        <v>49</v>
      </c>
      <c r="F114">
        <v>3</v>
      </c>
      <c r="G114" t="s">
        <v>71</v>
      </c>
      <c r="H114" t="s">
        <v>72</v>
      </c>
      <c r="I114" t="s">
        <v>16</v>
      </c>
      <c r="J114" t="s">
        <v>52</v>
      </c>
      <c r="K114" t="s">
        <v>35</v>
      </c>
      <c r="L114" s="6">
        <v>0</v>
      </c>
      <c r="M114" s="6">
        <v>1000</v>
      </c>
      <c r="N114" s="6">
        <v>1000</v>
      </c>
      <c r="O114" s="6">
        <v>57878.65</v>
      </c>
      <c r="P114" s="7">
        <v>0</v>
      </c>
      <c r="Q114" s="6">
        <v>0</v>
      </c>
    </row>
    <row r="115" spans="1:18">
      <c r="A115">
        <v>114</v>
      </c>
      <c r="B115" s="5">
        <v>45716</v>
      </c>
      <c r="C115" t="s">
        <v>47</v>
      </c>
      <c r="D115" t="s">
        <v>48</v>
      </c>
      <c r="E115" t="s">
        <v>49</v>
      </c>
      <c r="F115">
        <v>3</v>
      </c>
      <c r="G115" t="s">
        <v>69</v>
      </c>
      <c r="H115" t="s">
        <v>70</v>
      </c>
      <c r="I115" t="s">
        <v>16</v>
      </c>
      <c r="J115" t="s">
        <v>52</v>
      </c>
      <c r="K115" t="s">
        <v>35</v>
      </c>
      <c r="L115" s="6">
        <v>0</v>
      </c>
      <c r="M115" s="6">
        <v>3000</v>
      </c>
      <c r="N115" s="6">
        <v>3000</v>
      </c>
      <c r="O115" s="6">
        <v>60878.65</v>
      </c>
      <c r="P115" s="7">
        <v>0</v>
      </c>
      <c r="Q115" s="6">
        <v>0</v>
      </c>
    </row>
    <row r="116" spans="1:18">
      <c r="A116">
        <v>115</v>
      </c>
      <c r="B116" s="5">
        <v>45716</v>
      </c>
      <c r="C116" t="s">
        <v>47</v>
      </c>
      <c r="D116" t="s">
        <v>48</v>
      </c>
      <c r="E116" t="s">
        <v>49</v>
      </c>
      <c r="F116">
        <v>3</v>
      </c>
      <c r="G116" t="s">
        <v>160</v>
      </c>
      <c r="H116" t="s">
        <v>66</v>
      </c>
      <c r="I116" t="s">
        <v>22</v>
      </c>
      <c r="J116" t="s">
        <v>67</v>
      </c>
      <c r="K116" t="s">
        <v>34</v>
      </c>
      <c r="L116" s="6">
        <v>500</v>
      </c>
      <c r="M116" s="6">
        <v>0</v>
      </c>
      <c r="N116" s="6">
        <v>-500</v>
      </c>
      <c r="O116" s="6">
        <v>60378.65</v>
      </c>
      <c r="P116" s="7">
        <v>0</v>
      </c>
      <c r="Q116" s="6">
        <v>0</v>
      </c>
    </row>
    <row r="117" spans="1:18">
      <c r="A117">
        <v>116</v>
      </c>
      <c r="B117" s="5">
        <v>45716</v>
      </c>
      <c r="C117" t="s">
        <v>47</v>
      </c>
      <c r="D117" t="s">
        <v>48</v>
      </c>
      <c r="E117" t="s">
        <v>49</v>
      </c>
      <c r="F117">
        <v>3</v>
      </c>
      <c r="G117" t="s">
        <v>161</v>
      </c>
      <c r="H117" t="s">
        <v>162</v>
      </c>
      <c r="I117" t="s">
        <v>16</v>
      </c>
      <c r="J117" t="s">
        <v>52</v>
      </c>
      <c r="K117" t="s">
        <v>35</v>
      </c>
      <c r="L117" s="6">
        <v>0</v>
      </c>
      <c r="M117" s="6">
        <v>2500</v>
      </c>
      <c r="N117" s="6">
        <v>2500</v>
      </c>
      <c r="O117" s="6">
        <v>62878.65</v>
      </c>
      <c r="P117" s="7">
        <v>0</v>
      </c>
      <c r="Q117" s="6">
        <v>0</v>
      </c>
    </row>
    <row r="118" spans="1:18">
      <c r="A118">
        <v>117</v>
      </c>
      <c r="B118" s="5">
        <v>45716</v>
      </c>
      <c r="C118" t="s">
        <v>47</v>
      </c>
      <c r="D118" t="s">
        <v>48</v>
      </c>
      <c r="E118" t="s">
        <v>49</v>
      </c>
      <c r="F118">
        <v>3</v>
      </c>
      <c r="G118" t="s">
        <v>163</v>
      </c>
      <c r="H118" t="s">
        <v>66</v>
      </c>
      <c r="I118" t="s">
        <v>22</v>
      </c>
      <c r="J118" t="s">
        <v>67</v>
      </c>
      <c r="K118" t="s">
        <v>34</v>
      </c>
      <c r="L118" s="6">
        <v>21.99</v>
      </c>
      <c r="M118" s="6">
        <v>0</v>
      </c>
      <c r="N118" s="6">
        <v>-21.99</v>
      </c>
      <c r="O118" s="6">
        <v>62856.66</v>
      </c>
      <c r="P118" s="7">
        <v>0</v>
      </c>
      <c r="Q118" s="6">
        <v>0</v>
      </c>
    </row>
    <row r="119" spans="1:18">
      <c r="A119">
        <v>118</v>
      </c>
      <c r="B119" s="5">
        <v>45716</v>
      </c>
      <c r="C119" t="s">
        <v>47</v>
      </c>
      <c r="D119" t="s">
        <v>48</v>
      </c>
      <c r="E119" t="s">
        <v>49</v>
      </c>
      <c r="F119">
        <v>3</v>
      </c>
      <c r="G119" t="s">
        <v>164</v>
      </c>
      <c r="H119" t="s">
        <v>66</v>
      </c>
      <c r="I119" t="s">
        <v>22</v>
      </c>
      <c r="J119" t="s">
        <v>67</v>
      </c>
      <c r="K119" t="s">
        <v>34</v>
      </c>
      <c r="L119" s="6">
        <v>168.18</v>
      </c>
      <c r="M119" s="6">
        <v>0</v>
      </c>
      <c r="N119" s="6">
        <v>-168.18</v>
      </c>
      <c r="O119" s="6">
        <v>62688.480000000003</v>
      </c>
      <c r="P119" s="7">
        <v>0</v>
      </c>
      <c r="Q119" s="6">
        <v>0</v>
      </c>
    </row>
    <row r="120" spans="1:18">
      <c r="A120">
        <v>119</v>
      </c>
      <c r="B120" s="5">
        <v>45716</v>
      </c>
      <c r="C120" t="s">
        <v>47</v>
      </c>
      <c r="D120" t="s">
        <v>48</v>
      </c>
      <c r="E120" t="s">
        <v>49</v>
      </c>
      <c r="F120">
        <v>3</v>
      </c>
      <c r="G120" t="s">
        <v>165</v>
      </c>
      <c r="H120" t="s">
        <v>66</v>
      </c>
      <c r="I120" t="s">
        <v>22</v>
      </c>
      <c r="J120" t="s">
        <v>67</v>
      </c>
      <c r="K120" t="s">
        <v>34</v>
      </c>
      <c r="L120" s="6">
        <v>2700</v>
      </c>
      <c r="M120" s="6">
        <v>0</v>
      </c>
      <c r="N120" s="6">
        <v>-2700</v>
      </c>
      <c r="O120" s="6">
        <v>59988.480000000003</v>
      </c>
      <c r="P120" s="7">
        <v>0</v>
      </c>
      <c r="Q120" s="6">
        <v>0</v>
      </c>
    </row>
    <row r="121" spans="1:18">
      <c r="A121">
        <v>120</v>
      </c>
      <c r="B121" s="5">
        <v>45716</v>
      </c>
      <c r="C121" t="s">
        <v>47</v>
      </c>
      <c r="D121" t="s">
        <v>48</v>
      </c>
      <c r="E121" t="s">
        <v>49</v>
      </c>
      <c r="F121">
        <v>3</v>
      </c>
      <c r="G121" t="s">
        <v>166</v>
      </c>
      <c r="H121" t="s">
        <v>66</v>
      </c>
      <c r="I121" t="s">
        <v>22</v>
      </c>
      <c r="J121" t="s">
        <v>67</v>
      </c>
      <c r="K121" t="s">
        <v>34</v>
      </c>
      <c r="L121" s="6">
        <v>5000</v>
      </c>
      <c r="M121" s="6">
        <v>0</v>
      </c>
      <c r="N121" s="6">
        <v>-5000</v>
      </c>
      <c r="O121" s="6">
        <v>54988.480000000003</v>
      </c>
      <c r="P121" s="7">
        <v>0</v>
      </c>
      <c r="Q121" s="6">
        <v>0</v>
      </c>
    </row>
    <row r="122" spans="1:18">
      <c r="A122">
        <v>121</v>
      </c>
      <c r="B122" s="5">
        <v>45716</v>
      </c>
      <c r="C122" t="s">
        <v>47</v>
      </c>
      <c r="D122" t="s">
        <v>48</v>
      </c>
      <c r="E122" t="s">
        <v>49</v>
      </c>
      <c r="F122">
        <v>3</v>
      </c>
      <c r="G122" t="s">
        <v>167</v>
      </c>
      <c r="H122" t="s">
        <v>66</v>
      </c>
      <c r="I122" t="s">
        <v>22</v>
      </c>
      <c r="J122" t="s">
        <v>67</v>
      </c>
      <c r="K122" t="s">
        <v>34</v>
      </c>
      <c r="L122" s="6">
        <v>5504.24</v>
      </c>
      <c r="M122" s="6">
        <v>0</v>
      </c>
      <c r="N122" s="6">
        <v>-5504.24</v>
      </c>
      <c r="O122" s="6">
        <v>49484.24</v>
      </c>
      <c r="P122" s="7">
        <v>0</v>
      </c>
      <c r="Q122" s="6">
        <v>0</v>
      </c>
    </row>
    <row r="123" spans="1:18">
      <c r="A123">
        <v>122</v>
      </c>
      <c r="B123" s="5">
        <v>45716</v>
      </c>
      <c r="C123" t="s">
        <v>47</v>
      </c>
      <c r="D123" t="s">
        <v>48</v>
      </c>
      <c r="E123" t="s">
        <v>49</v>
      </c>
      <c r="F123">
        <v>3</v>
      </c>
      <c r="G123" t="s">
        <v>168</v>
      </c>
      <c r="I123" t="s">
        <v>20</v>
      </c>
      <c r="J123" t="s">
        <v>20</v>
      </c>
      <c r="K123" t="s">
        <v>35</v>
      </c>
      <c r="L123" s="6">
        <v>0</v>
      </c>
      <c r="M123" s="6">
        <v>49484.24</v>
      </c>
      <c r="N123" s="6">
        <v>49484.24</v>
      </c>
      <c r="O123" s="6">
        <v>5</v>
      </c>
      <c r="P123" s="7">
        <v>0</v>
      </c>
      <c r="Q123" s="6">
        <v>0</v>
      </c>
      <c r="R123" t="s">
        <v>169</v>
      </c>
    </row>
    <row r="124" spans="1:18">
      <c r="A124">
        <v>123</v>
      </c>
      <c r="B124" s="5">
        <v>45716</v>
      </c>
      <c r="C124" t="s">
        <v>47</v>
      </c>
      <c r="D124" t="s">
        <v>48</v>
      </c>
      <c r="E124" t="s">
        <v>49</v>
      </c>
      <c r="F124">
        <v>3</v>
      </c>
      <c r="G124" t="s">
        <v>45</v>
      </c>
      <c r="I124" t="s">
        <v>14</v>
      </c>
      <c r="J124" t="s">
        <v>46</v>
      </c>
      <c r="K124" t="s">
        <v>34</v>
      </c>
      <c r="L124" s="6">
        <v>89</v>
      </c>
      <c r="M124" s="6">
        <v>0</v>
      </c>
      <c r="N124" s="6">
        <v>-89</v>
      </c>
      <c r="O124" s="6">
        <v>49395.24</v>
      </c>
      <c r="P124" s="7">
        <v>0.15</v>
      </c>
      <c r="Q124" s="6">
        <v>11.61</v>
      </c>
    </row>
    <row r="125" spans="1:18">
      <c r="A125">
        <v>124</v>
      </c>
      <c r="B125" s="5">
        <v>45716</v>
      </c>
      <c r="C125" t="s">
        <v>47</v>
      </c>
      <c r="D125" t="s">
        <v>48</v>
      </c>
      <c r="E125" t="s">
        <v>49</v>
      </c>
      <c r="F125">
        <v>3</v>
      </c>
      <c r="G125" t="s">
        <v>170</v>
      </c>
      <c r="I125" t="s">
        <v>21</v>
      </c>
      <c r="J125" t="s">
        <v>171</v>
      </c>
      <c r="K125" t="s">
        <v>34</v>
      </c>
      <c r="L125" s="6">
        <v>5</v>
      </c>
      <c r="M125" s="6">
        <v>0</v>
      </c>
      <c r="N125" s="6">
        <v>-5</v>
      </c>
      <c r="O125" s="6">
        <v>49390.239999999998</v>
      </c>
      <c r="P125" s="7">
        <v>0</v>
      </c>
      <c r="Q125" s="6">
        <v>0</v>
      </c>
      <c r="R125" t="s">
        <v>169</v>
      </c>
    </row>
    <row r="126" spans="1:18">
      <c r="A126">
        <v>125</v>
      </c>
      <c r="B126" s="5">
        <v>45717</v>
      </c>
      <c r="C126" t="s">
        <v>172</v>
      </c>
      <c r="D126" t="s">
        <v>173</v>
      </c>
      <c r="E126" t="s">
        <v>174</v>
      </c>
      <c r="F126">
        <v>1</v>
      </c>
      <c r="G126" t="s">
        <v>175</v>
      </c>
      <c r="H126" t="s">
        <v>176</v>
      </c>
      <c r="I126" t="s">
        <v>16</v>
      </c>
      <c r="J126" t="s">
        <v>52</v>
      </c>
      <c r="K126" t="s">
        <v>35</v>
      </c>
      <c r="L126" s="6">
        <v>0</v>
      </c>
      <c r="M126" s="6">
        <v>500</v>
      </c>
      <c r="N126" s="6">
        <v>500</v>
      </c>
      <c r="O126" s="6">
        <v>49890.239999999998</v>
      </c>
      <c r="P126" s="7">
        <v>0</v>
      </c>
      <c r="Q126" s="6">
        <v>0</v>
      </c>
    </row>
    <row r="127" spans="1:18">
      <c r="A127">
        <v>126</v>
      </c>
      <c r="B127" s="5">
        <v>45717</v>
      </c>
      <c r="C127" t="s">
        <v>172</v>
      </c>
      <c r="D127" t="s">
        <v>173</v>
      </c>
      <c r="E127" t="s">
        <v>174</v>
      </c>
      <c r="F127">
        <v>1</v>
      </c>
      <c r="G127" t="s">
        <v>177</v>
      </c>
      <c r="H127" t="s">
        <v>66</v>
      </c>
      <c r="I127" t="s">
        <v>22</v>
      </c>
      <c r="J127" t="s">
        <v>67</v>
      </c>
      <c r="K127" t="s">
        <v>34</v>
      </c>
      <c r="L127" s="6">
        <v>440</v>
      </c>
      <c r="M127" s="6">
        <v>0</v>
      </c>
      <c r="N127" s="6">
        <v>-440</v>
      </c>
      <c r="O127" s="6">
        <v>49450.239999999998</v>
      </c>
      <c r="P127" s="7">
        <v>0</v>
      </c>
      <c r="Q127" s="6">
        <v>0</v>
      </c>
    </row>
    <row r="128" spans="1:18">
      <c r="A128">
        <v>127</v>
      </c>
      <c r="B128" s="5">
        <v>45717</v>
      </c>
      <c r="C128" t="s">
        <v>172</v>
      </c>
      <c r="D128" t="s">
        <v>173</v>
      </c>
      <c r="E128" t="s">
        <v>174</v>
      </c>
      <c r="F128">
        <v>1</v>
      </c>
      <c r="G128" t="s">
        <v>178</v>
      </c>
      <c r="H128" t="s">
        <v>66</v>
      </c>
      <c r="I128" t="s">
        <v>22</v>
      </c>
      <c r="J128" t="s">
        <v>67</v>
      </c>
      <c r="K128" t="s">
        <v>34</v>
      </c>
      <c r="L128" s="6">
        <v>1182.26</v>
      </c>
      <c r="M128" s="6">
        <v>0</v>
      </c>
      <c r="N128" s="6">
        <v>-1182.26</v>
      </c>
      <c r="O128" s="6">
        <v>48267.98</v>
      </c>
      <c r="P128" s="7">
        <v>0</v>
      </c>
      <c r="Q128" s="6">
        <v>0</v>
      </c>
    </row>
    <row r="129" spans="1:17">
      <c r="A129">
        <v>128</v>
      </c>
      <c r="B129" s="5">
        <v>45717</v>
      </c>
      <c r="C129" t="s">
        <v>172</v>
      </c>
      <c r="D129" t="s">
        <v>173</v>
      </c>
      <c r="E129" t="s">
        <v>174</v>
      </c>
      <c r="F129">
        <v>1</v>
      </c>
      <c r="G129" t="s">
        <v>179</v>
      </c>
      <c r="H129" t="s">
        <v>66</v>
      </c>
      <c r="I129" t="s">
        <v>22</v>
      </c>
      <c r="J129" t="s">
        <v>67</v>
      </c>
      <c r="K129" t="s">
        <v>34</v>
      </c>
      <c r="L129" s="6">
        <v>1450</v>
      </c>
      <c r="M129" s="6">
        <v>0</v>
      </c>
      <c r="N129" s="6">
        <v>-1450</v>
      </c>
      <c r="O129" s="6">
        <v>46817.98</v>
      </c>
      <c r="P129" s="7">
        <v>0</v>
      </c>
      <c r="Q129" s="6">
        <v>0</v>
      </c>
    </row>
    <row r="130" spans="1:17">
      <c r="A130">
        <v>129</v>
      </c>
      <c r="B130" s="5">
        <v>45717</v>
      </c>
      <c r="C130" t="s">
        <v>172</v>
      </c>
      <c r="D130" t="s">
        <v>173</v>
      </c>
      <c r="E130" t="s">
        <v>174</v>
      </c>
      <c r="F130">
        <v>1</v>
      </c>
      <c r="G130" t="s">
        <v>180</v>
      </c>
      <c r="H130" t="s">
        <v>66</v>
      </c>
      <c r="I130" t="s">
        <v>22</v>
      </c>
      <c r="J130" t="s">
        <v>67</v>
      </c>
      <c r="K130" t="s">
        <v>34</v>
      </c>
      <c r="L130" s="6">
        <v>2064</v>
      </c>
      <c r="M130" s="6">
        <v>0</v>
      </c>
      <c r="N130" s="6">
        <v>-2064</v>
      </c>
      <c r="O130" s="6">
        <v>44753.98</v>
      </c>
      <c r="P130" s="7">
        <v>0</v>
      </c>
      <c r="Q130" s="6">
        <v>0</v>
      </c>
    </row>
    <row r="131" spans="1:17">
      <c r="A131">
        <v>130</v>
      </c>
      <c r="B131" s="5">
        <v>45717</v>
      </c>
      <c r="C131" t="s">
        <v>172</v>
      </c>
      <c r="D131" t="s">
        <v>173</v>
      </c>
      <c r="E131" t="s">
        <v>174</v>
      </c>
      <c r="F131">
        <v>1</v>
      </c>
      <c r="G131" t="s">
        <v>181</v>
      </c>
      <c r="H131" t="s">
        <v>66</v>
      </c>
      <c r="I131" t="s">
        <v>22</v>
      </c>
      <c r="J131" t="s">
        <v>67</v>
      </c>
      <c r="K131" t="s">
        <v>34</v>
      </c>
      <c r="L131" s="6">
        <v>4000</v>
      </c>
      <c r="M131" s="6">
        <v>0</v>
      </c>
      <c r="N131" s="6">
        <v>-4000</v>
      </c>
      <c r="O131" s="6">
        <v>40753.980000000003</v>
      </c>
      <c r="P131" s="7">
        <v>0</v>
      </c>
      <c r="Q131" s="6">
        <v>0</v>
      </c>
    </row>
    <row r="132" spans="1:17">
      <c r="A132">
        <v>131</v>
      </c>
      <c r="B132" s="5">
        <v>45717</v>
      </c>
      <c r="C132" t="s">
        <v>172</v>
      </c>
      <c r="D132" t="s">
        <v>173</v>
      </c>
      <c r="E132" t="s">
        <v>174</v>
      </c>
      <c r="F132">
        <v>1</v>
      </c>
      <c r="G132" t="s">
        <v>182</v>
      </c>
      <c r="H132" t="s">
        <v>66</v>
      </c>
      <c r="I132" t="s">
        <v>22</v>
      </c>
      <c r="J132" t="s">
        <v>67</v>
      </c>
      <c r="K132" t="s">
        <v>34</v>
      </c>
      <c r="L132" s="6">
        <v>6360</v>
      </c>
      <c r="M132" s="6">
        <v>0</v>
      </c>
      <c r="N132" s="6">
        <v>-6360</v>
      </c>
      <c r="O132" s="6">
        <v>34393.980000000003</v>
      </c>
      <c r="P132" s="7">
        <v>0</v>
      </c>
      <c r="Q132" s="6">
        <v>0</v>
      </c>
    </row>
    <row r="133" spans="1:17">
      <c r="A133">
        <v>132</v>
      </c>
      <c r="B133" s="5">
        <v>45717</v>
      </c>
      <c r="C133" t="s">
        <v>172</v>
      </c>
      <c r="D133" t="s">
        <v>173</v>
      </c>
      <c r="E133" t="s">
        <v>174</v>
      </c>
      <c r="F133">
        <v>1</v>
      </c>
      <c r="G133" t="s">
        <v>183</v>
      </c>
      <c r="H133" t="s">
        <v>66</v>
      </c>
      <c r="I133" t="s">
        <v>22</v>
      </c>
      <c r="J133" t="s">
        <v>67</v>
      </c>
      <c r="K133" t="s">
        <v>34</v>
      </c>
      <c r="L133" s="6">
        <v>20000</v>
      </c>
      <c r="M133" s="6">
        <v>0</v>
      </c>
      <c r="N133" s="6">
        <v>-20000</v>
      </c>
      <c r="O133" s="6">
        <v>14393.98</v>
      </c>
      <c r="P133" s="7">
        <v>0</v>
      </c>
      <c r="Q133" s="6">
        <v>0</v>
      </c>
    </row>
    <row r="134" spans="1:17">
      <c r="A134">
        <v>133</v>
      </c>
      <c r="B134" s="5">
        <v>45719</v>
      </c>
      <c r="C134" t="s">
        <v>172</v>
      </c>
      <c r="D134" t="s">
        <v>173</v>
      </c>
      <c r="E134" t="s">
        <v>174</v>
      </c>
      <c r="F134">
        <v>1</v>
      </c>
      <c r="G134" t="s">
        <v>184</v>
      </c>
      <c r="H134" t="s">
        <v>185</v>
      </c>
      <c r="I134" t="s">
        <v>16</v>
      </c>
      <c r="J134" t="s">
        <v>52</v>
      </c>
      <c r="K134" t="s">
        <v>35</v>
      </c>
      <c r="L134" s="6">
        <v>0</v>
      </c>
      <c r="M134" s="6">
        <v>170</v>
      </c>
      <c r="N134" s="6">
        <v>170</v>
      </c>
      <c r="O134" s="6">
        <v>14563.98</v>
      </c>
      <c r="P134" s="7">
        <v>0</v>
      </c>
      <c r="Q134" s="6">
        <v>0</v>
      </c>
    </row>
    <row r="135" spans="1:17">
      <c r="A135">
        <v>134</v>
      </c>
      <c r="B135" s="5">
        <v>45719</v>
      </c>
      <c r="C135" t="s">
        <v>172</v>
      </c>
      <c r="D135" t="s">
        <v>173</v>
      </c>
      <c r="E135" t="s">
        <v>174</v>
      </c>
      <c r="F135">
        <v>1</v>
      </c>
      <c r="G135" t="s">
        <v>186</v>
      </c>
      <c r="H135" t="s">
        <v>187</v>
      </c>
      <c r="I135" t="s">
        <v>16</v>
      </c>
      <c r="J135" t="s">
        <v>52</v>
      </c>
      <c r="K135" t="s">
        <v>35</v>
      </c>
      <c r="L135" s="6">
        <v>0</v>
      </c>
      <c r="M135" s="6">
        <v>10000</v>
      </c>
      <c r="N135" s="6">
        <v>10000</v>
      </c>
      <c r="O135" s="6">
        <v>24563.98</v>
      </c>
      <c r="P135" s="7">
        <v>0</v>
      </c>
      <c r="Q135" s="6">
        <v>0</v>
      </c>
    </row>
    <row r="136" spans="1:17">
      <c r="A136">
        <v>135</v>
      </c>
      <c r="B136" s="5">
        <v>45719</v>
      </c>
      <c r="C136" t="s">
        <v>172</v>
      </c>
      <c r="D136" t="s">
        <v>173</v>
      </c>
      <c r="E136" t="s">
        <v>174</v>
      </c>
      <c r="F136">
        <v>1</v>
      </c>
      <c r="G136" t="s">
        <v>188</v>
      </c>
      <c r="H136" t="s">
        <v>189</v>
      </c>
      <c r="I136" t="s">
        <v>16</v>
      </c>
      <c r="J136" t="s">
        <v>52</v>
      </c>
      <c r="K136" t="s">
        <v>35</v>
      </c>
      <c r="L136" s="6">
        <v>0</v>
      </c>
      <c r="M136" s="6">
        <v>100</v>
      </c>
      <c r="N136" s="6">
        <v>100</v>
      </c>
      <c r="O136" s="6">
        <v>24663.98</v>
      </c>
      <c r="P136" s="7">
        <v>0</v>
      </c>
      <c r="Q136" s="6">
        <v>0</v>
      </c>
    </row>
    <row r="137" spans="1:17">
      <c r="A137">
        <v>136</v>
      </c>
      <c r="B137" s="5">
        <v>45719</v>
      </c>
      <c r="C137" t="s">
        <v>172</v>
      </c>
      <c r="D137" t="s">
        <v>173</v>
      </c>
      <c r="E137" t="s">
        <v>174</v>
      </c>
      <c r="F137">
        <v>1</v>
      </c>
      <c r="G137" t="s">
        <v>190</v>
      </c>
      <c r="H137" t="s">
        <v>112</v>
      </c>
      <c r="I137" t="s">
        <v>16</v>
      </c>
      <c r="J137" t="s">
        <v>52</v>
      </c>
      <c r="K137" t="s">
        <v>35</v>
      </c>
      <c r="L137" s="6">
        <v>0</v>
      </c>
      <c r="M137" s="6">
        <v>10000</v>
      </c>
      <c r="N137" s="6">
        <v>10000</v>
      </c>
      <c r="O137" s="6">
        <v>34663.980000000003</v>
      </c>
      <c r="P137" s="7">
        <v>0</v>
      </c>
      <c r="Q137" s="6">
        <v>0</v>
      </c>
    </row>
    <row r="138" spans="1:17">
      <c r="A138">
        <v>137</v>
      </c>
      <c r="B138" s="5">
        <v>45719</v>
      </c>
      <c r="C138" t="s">
        <v>172</v>
      </c>
      <c r="D138" t="s">
        <v>173</v>
      </c>
      <c r="E138" t="s">
        <v>174</v>
      </c>
      <c r="F138">
        <v>1</v>
      </c>
      <c r="G138" t="s">
        <v>191</v>
      </c>
      <c r="H138" t="s">
        <v>102</v>
      </c>
      <c r="I138" t="s">
        <v>16</v>
      </c>
      <c r="J138" t="s">
        <v>52</v>
      </c>
      <c r="K138" t="s">
        <v>35</v>
      </c>
      <c r="L138" s="6">
        <v>0</v>
      </c>
      <c r="M138" s="6">
        <v>150</v>
      </c>
      <c r="N138" s="6">
        <v>150</v>
      </c>
      <c r="O138" s="6">
        <v>34813.980000000003</v>
      </c>
      <c r="P138" s="7">
        <v>0</v>
      </c>
      <c r="Q138" s="6">
        <v>0</v>
      </c>
    </row>
    <row r="139" spans="1:17">
      <c r="A139">
        <v>138</v>
      </c>
      <c r="B139" s="5">
        <v>45719</v>
      </c>
      <c r="C139" t="s">
        <v>172</v>
      </c>
      <c r="D139" t="s">
        <v>173</v>
      </c>
      <c r="E139" t="s">
        <v>174</v>
      </c>
      <c r="F139">
        <v>1</v>
      </c>
      <c r="G139" t="s">
        <v>192</v>
      </c>
      <c r="H139" t="s">
        <v>60</v>
      </c>
      <c r="I139" t="s">
        <v>16</v>
      </c>
      <c r="J139" t="s">
        <v>52</v>
      </c>
      <c r="K139" t="s">
        <v>35</v>
      </c>
      <c r="L139" s="6">
        <v>0</v>
      </c>
      <c r="M139" s="6">
        <v>48</v>
      </c>
      <c r="N139" s="6">
        <v>48</v>
      </c>
      <c r="O139" s="6">
        <v>34861.980000000003</v>
      </c>
      <c r="P139" s="7">
        <v>0</v>
      </c>
      <c r="Q139" s="6">
        <v>0</v>
      </c>
    </row>
    <row r="140" spans="1:17">
      <c r="A140">
        <v>139</v>
      </c>
      <c r="B140" s="5">
        <v>45719</v>
      </c>
      <c r="C140" t="s">
        <v>172</v>
      </c>
      <c r="D140" t="s">
        <v>173</v>
      </c>
      <c r="E140" t="s">
        <v>174</v>
      </c>
      <c r="F140">
        <v>1</v>
      </c>
      <c r="G140" t="s">
        <v>192</v>
      </c>
      <c r="H140" t="s">
        <v>60</v>
      </c>
      <c r="I140" t="s">
        <v>16</v>
      </c>
      <c r="J140" t="s">
        <v>52</v>
      </c>
      <c r="K140" t="s">
        <v>35</v>
      </c>
      <c r="L140" s="6">
        <v>0</v>
      </c>
      <c r="M140" s="6">
        <v>100</v>
      </c>
      <c r="N140" s="6">
        <v>100</v>
      </c>
      <c r="O140" s="6">
        <v>34961.980000000003</v>
      </c>
      <c r="P140" s="7">
        <v>0</v>
      </c>
      <c r="Q140" s="6">
        <v>0</v>
      </c>
    </row>
    <row r="141" spans="1:17">
      <c r="A141">
        <v>140</v>
      </c>
      <c r="B141" s="5">
        <v>45719</v>
      </c>
      <c r="C141" t="s">
        <v>172</v>
      </c>
      <c r="D141" t="s">
        <v>173</v>
      </c>
      <c r="E141" t="s">
        <v>174</v>
      </c>
      <c r="F141">
        <v>1</v>
      </c>
      <c r="G141" t="s">
        <v>190</v>
      </c>
      <c r="H141" t="s">
        <v>112</v>
      </c>
      <c r="I141" t="s">
        <v>16</v>
      </c>
      <c r="J141" t="s">
        <v>52</v>
      </c>
      <c r="K141" t="s">
        <v>35</v>
      </c>
      <c r="L141" s="6">
        <v>0</v>
      </c>
      <c r="M141" s="6">
        <v>20000</v>
      </c>
      <c r="N141" s="6">
        <v>20000</v>
      </c>
      <c r="O141" s="6">
        <v>54961.98</v>
      </c>
      <c r="P141" s="7">
        <v>0</v>
      </c>
      <c r="Q141" s="6">
        <v>0</v>
      </c>
    </row>
    <row r="142" spans="1:17">
      <c r="A142">
        <v>141</v>
      </c>
      <c r="B142" s="5">
        <v>45719</v>
      </c>
      <c r="C142" t="s">
        <v>172</v>
      </c>
      <c r="D142" t="s">
        <v>173</v>
      </c>
      <c r="E142" t="s">
        <v>174</v>
      </c>
      <c r="F142">
        <v>1</v>
      </c>
      <c r="G142" t="s">
        <v>191</v>
      </c>
      <c r="H142" t="s">
        <v>102</v>
      </c>
      <c r="I142" t="s">
        <v>16</v>
      </c>
      <c r="J142" t="s">
        <v>52</v>
      </c>
      <c r="K142" t="s">
        <v>35</v>
      </c>
      <c r="L142" s="6">
        <v>0</v>
      </c>
      <c r="M142" s="6">
        <v>1000</v>
      </c>
      <c r="N142" s="6">
        <v>1000</v>
      </c>
      <c r="O142" s="6">
        <v>55961.98</v>
      </c>
      <c r="P142" s="7">
        <v>0</v>
      </c>
      <c r="Q142" s="6">
        <v>0</v>
      </c>
    </row>
    <row r="143" spans="1:17">
      <c r="A143">
        <v>142</v>
      </c>
      <c r="B143" s="5">
        <v>45719</v>
      </c>
      <c r="C143" t="s">
        <v>172</v>
      </c>
      <c r="D143" t="s">
        <v>173</v>
      </c>
      <c r="E143" t="s">
        <v>174</v>
      </c>
      <c r="F143">
        <v>1</v>
      </c>
      <c r="G143" t="s">
        <v>193</v>
      </c>
      <c r="H143" t="s">
        <v>70</v>
      </c>
      <c r="I143" t="s">
        <v>16</v>
      </c>
      <c r="J143" t="s">
        <v>52</v>
      </c>
      <c r="K143" t="s">
        <v>35</v>
      </c>
      <c r="L143" s="6">
        <v>0</v>
      </c>
      <c r="M143" s="6">
        <v>3000</v>
      </c>
      <c r="N143" s="6">
        <v>3000</v>
      </c>
      <c r="O143" s="6">
        <v>58961.98</v>
      </c>
      <c r="P143" s="7">
        <v>0</v>
      </c>
      <c r="Q143" s="6">
        <v>0</v>
      </c>
    </row>
    <row r="144" spans="1:17">
      <c r="A144">
        <v>143</v>
      </c>
      <c r="B144" s="5">
        <v>45719</v>
      </c>
      <c r="C144" t="s">
        <v>172</v>
      </c>
      <c r="D144" t="s">
        <v>173</v>
      </c>
      <c r="E144" t="s">
        <v>174</v>
      </c>
      <c r="F144">
        <v>1</v>
      </c>
      <c r="G144" t="s">
        <v>194</v>
      </c>
      <c r="H144" t="s">
        <v>195</v>
      </c>
      <c r="I144" t="s">
        <v>16</v>
      </c>
      <c r="J144" t="s">
        <v>52</v>
      </c>
      <c r="K144" t="s">
        <v>35</v>
      </c>
      <c r="L144" s="6">
        <v>0</v>
      </c>
      <c r="M144" s="6">
        <v>500</v>
      </c>
      <c r="N144" s="6">
        <v>500</v>
      </c>
      <c r="O144" s="6">
        <v>59461.98</v>
      </c>
      <c r="P144" s="7">
        <v>0</v>
      </c>
      <c r="Q144" s="6">
        <v>0</v>
      </c>
    </row>
    <row r="145" spans="1:17">
      <c r="A145">
        <v>144</v>
      </c>
      <c r="B145" s="5">
        <v>45719</v>
      </c>
      <c r="C145" t="s">
        <v>172</v>
      </c>
      <c r="D145" t="s">
        <v>173</v>
      </c>
      <c r="E145" t="s">
        <v>174</v>
      </c>
      <c r="F145">
        <v>1</v>
      </c>
      <c r="G145" t="s">
        <v>196</v>
      </c>
      <c r="H145" t="s">
        <v>197</v>
      </c>
      <c r="I145" t="s">
        <v>16</v>
      </c>
      <c r="J145" t="s">
        <v>52</v>
      </c>
      <c r="K145" t="s">
        <v>35</v>
      </c>
      <c r="L145" s="6">
        <v>0</v>
      </c>
      <c r="M145" s="6">
        <v>1000</v>
      </c>
      <c r="N145" s="6">
        <v>1000</v>
      </c>
      <c r="O145" s="6">
        <v>60461.98</v>
      </c>
      <c r="P145" s="7">
        <v>0</v>
      </c>
      <c r="Q145" s="6">
        <v>0</v>
      </c>
    </row>
    <row r="146" spans="1:17">
      <c r="A146">
        <v>145</v>
      </c>
      <c r="B146" s="5">
        <v>45719</v>
      </c>
      <c r="C146" t="s">
        <v>172</v>
      </c>
      <c r="D146" t="s">
        <v>173</v>
      </c>
      <c r="E146" t="s">
        <v>174</v>
      </c>
      <c r="F146">
        <v>1</v>
      </c>
      <c r="G146" t="s">
        <v>194</v>
      </c>
      <c r="H146" t="s">
        <v>195</v>
      </c>
      <c r="I146" t="s">
        <v>16</v>
      </c>
      <c r="J146" t="s">
        <v>52</v>
      </c>
      <c r="K146" t="s">
        <v>35</v>
      </c>
      <c r="L146" s="6">
        <v>0</v>
      </c>
      <c r="M146" s="6">
        <v>500</v>
      </c>
      <c r="N146" s="6">
        <v>500</v>
      </c>
      <c r="O146" s="6">
        <v>60961.98</v>
      </c>
      <c r="P146" s="7">
        <v>0</v>
      </c>
      <c r="Q146" s="6">
        <v>0</v>
      </c>
    </row>
    <row r="147" spans="1:17">
      <c r="A147">
        <v>146</v>
      </c>
      <c r="B147" s="5">
        <v>45719</v>
      </c>
      <c r="C147" t="s">
        <v>172</v>
      </c>
      <c r="D147" t="s">
        <v>173</v>
      </c>
      <c r="E147" t="s">
        <v>174</v>
      </c>
      <c r="F147">
        <v>1</v>
      </c>
      <c r="G147" t="s">
        <v>198</v>
      </c>
      <c r="H147" t="s">
        <v>123</v>
      </c>
      <c r="I147" t="s">
        <v>16</v>
      </c>
      <c r="J147" t="s">
        <v>52</v>
      </c>
      <c r="K147" t="s">
        <v>35</v>
      </c>
      <c r="L147" s="6">
        <v>0</v>
      </c>
      <c r="M147" s="6">
        <v>374</v>
      </c>
      <c r="N147" s="6">
        <v>374</v>
      </c>
      <c r="O147" s="6">
        <v>61335.98</v>
      </c>
      <c r="P147" s="7">
        <v>0</v>
      </c>
      <c r="Q147" s="6">
        <v>0</v>
      </c>
    </row>
    <row r="148" spans="1:17">
      <c r="A148">
        <v>147</v>
      </c>
      <c r="B148" s="5">
        <v>45719</v>
      </c>
      <c r="C148" t="s">
        <v>172</v>
      </c>
      <c r="D148" t="s">
        <v>173</v>
      </c>
      <c r="E148" t="s">
        <v>174</v>
      </c>
      <c r="F148">
        <v>1</v>
      </c>
      <c r="G148" t="s">
        <v>199</v>
      </c>
      <c r="H148" t="s">
        <v>200</v>
      </c>
      <c r="I148" t="s">
        <v>16</v>
      </c>
      <c r="J148" t="s">
        <v>52</v>
      </c>
      <c r="K148" t="s">
        <v>35</v>
      </c>
      <c r="L148" s="6">
        <v>0</v>
      </c>
      <c r="M148" s="6">
        <v>1500</v>
      </c>
      <c r="N148" s="6">
        <v>1500</v>
      </c>
      <c r="O148" s="6">
        <v>62835.98</v>
      </c>
      <c r="P148" s="7">
        <v>0</v>
      </c>
      <c r="Q148" s="6">
        <v>0</v>
      </c>
    </row>
    <row r="149" spans="1:17">
      <c r="A149">
        <v>148</v>
      </c>
      <c r="B149" s="5">
        <v>45720</v>
      </c>
      <c r="C149" t="s">
        <v>172</v>
      </c>
      <c r="D149" t="s">
        <v>173</v>
      </c>
      <c r="E149" t="s">
        <v>174</v>
      </c>
      <c r="F149">
        <v>1</v>
      </c>
      <c r="G149" t="s">
        <v>201</v>
      </c>
      <c r="H149" t="s">
        <v>100</v>
      </c>
      <c r="I149" t="s">
        <v>16</v>
      </c>
      <c r="J149" t="s">
        <v>52</v>
      </c>
      <c r="K149" t="s">
        <v>35</v>
      </c>
      <c r="L149" s="6">
        <v>0</v>
      </c>
      <c r="M149" s="6">
        <v>1300</v>
      </c>
      <c r="N149" s="6">
        <v>1300</v>
      </c>
      <c r="O149" s="6">
        <v>64135.98</v>
      </c>
      <c r="P149" s="7">
        <v>0</v>
      </c>
      <c r="Q149" s="6">
        <v>0</v>
      </c>
    </row>
    <row r="150" spans="1:17">
      <c r="A150">
        <v>149</v>
      </c>
      <c r="B150" s="5">
        <v>45720</v>
      </c>
      <c r="C150" t="s">
        <v>172</v>
      </c>
      <c r="D150" t="s">
        <v>173</v>
      </c>
      <c r="E150" t="s">
        <v>174</v>
      </c>
      <c r="F150">
        <v>1</v>
      </c>
      <c r="G150" t="s">
        <v>202</v>
      </c>
      <c r="H150" t="s">
        <v>134</v>
      </c>
      <c r="I150" t="s">
        <v>16</v>
      </c>
      <c r="J150" t="s">
        <v>52</v>
      </c>
      <c r="K150" t="s">
        <v>35</v>
      </c>
      <c r="L150" s="6">
        <v>0</v>
      </c>
      <c r="M150" s="6">
        <v>2000</v>
      </c>
      <c r="N150" s="6">
        <v>2000</v>
      </c>
      <c r="O150" s="6">
        <v>66135.98</v>
      </c>
      <c r="P150" s="7">
        <v>0</v>
      </c>
      <c r="Q150" s="6">
        <v>0</v>
      </c>
    </row>
    <row r="151" spans="1:17">
      <c r="A151">
        <v>150</v>
      </c>
      <c r="B151" s="5">
        <v>45720</v>
      </c>
      <c r="C151" t="s">
        <v>172</v>
      </c>
      <c r="D151" t="s">
        <v>173</v>
      </c>
      <c r="E151" t="s">
        <v>174</v>
      </c>
      <c r="F151">
        <v>2</v>
      </c>
      <c r="G151" t="s">
        <v>199</v>
      </c>
      <c r="H151" t="s">
        <v>200</v>
      </c>
      <c r="I151" t="s">
        <v>16</v>
      </c>
      <c r="J151" t="s">
        <v>52</v>
      </c>
      <c r="K151" t="s">
        <v>35</v>
      </c>
      <c r="L151" s="6">
        <v>0</v>
      </c>
      <c r="M151" s="6">
        <v>1500</v>
      </c>
      <c r="N151" s="6">
        <v>1500</v>
      </c>
      <c r="O151" s="6">
        <v>67635.98</v>
      </c>
      <c r="P151" s="7">
        <v>0</v>
      </c>
      <c r="Q151" s="6">
        <v>0</v>
      </c>
    </row>
    <row r="152" spans="1:17">
      <c r="A152">
        <v>151</v>
      </c>
      <c r="B152" s="5">
        <v>45720</v>
      </c>
      <c r="C152" t="s">
        <v>172</v>
      </c>
      <c r="D152" t="s">
        <v>173</v>
      </c>
      <c r="E152" t="s">
        <v>174</v>
      </c>
      <c r="F152">
        <v>2</v>
      </c>
      <c r="G152" t="s">
        <v>184</v>
      </c>
      <c r="H152" t="s">
        <v>185</v>
      </c>
      <c r="I152" t="s">
        <v>16</v>
      </c>
      <c r="J152" t="s">
        <v>52</v>
      </c>
      <c r="K152" t="s">
        <v>35</v>
      </c>
      <c r="L152" s="6">
        <v>0</v>
      </c>
      <c r="M152" s="6">
        <v>100</v>
      </c>
      <c r="N152" s="6">
        <v>100</v>
      </c>
      <c r="O152" s="6">
        <v>67735.98</v>
      </c>
      <c r="P152" s="7">
        <v>0</v>
      </c>
      <c r="Q152" s="6">
        <v>0</v>
      </c>
    </row>
    <row r="153" spans="1:17">
      <c r="A153">
        <v>152</v>
      </c>
      <c r="B153" s="5">
        <v>45720</v>
      </c>
      <c r="C153" t="s">
        <v>172</v>
      </c>
      <c r="D153" t="s">
        <v>173</v>
      </c>
      <c r="E153" t="s">
        <v>174</v>
      </c>
      <c r="F153">
        <v>2</v>
      </c>
      <c r="G153" t="s">
        <v>193</v>
      </c>
      <c r="H153" t="s">
        <v>70</v>
      </c>
      <c r="I153" t="s">
        <v>16</v>
      </c>
      <c r="J153" t="s">
        <v>52</v>
      </c>
      <c r="K153" t="s">
        <v>35</v>
      </c>
      <c r="L153" s="6">
        <v>0</v>
      </c>
      <c r="M153" s="6">
        <v>1500</v>
      </c>
      <c r="N153" s="6">
        <v>1500</v>
      </c>
      <c r="O153" s="6">
        <v>69235.98</v>
      </c>
      <c r="P153" s="7">
        <v>0</v>
      </c>
      <c r="Q153" s="6">
        <v>0</v>
      </c>
    </row>
    <row r="154" spans="1:17">
      <c r="A154">
        <v>153</v>
      </c>
      <c r="B154" s="5">
        <v>45720</v>
      </c>
      <c r="C154" t="s">
        <v>172</v>
      </c>
      <c r="D154" t="s">
        <v>173</v>
      </c>
      <c r="E154" t="s">
        <v>174</v>
      </c>
      <c r="F154">
        <v>2</v>
      </c>
      <c r="G154" t="s">
        <v>191</v>
      </c>
      <c r="H154" t="s">
        <v>102</v>
      </c>
      <c r="I154" t="s">
        <v>16</v>
      </c>
      <c r="J154" t="s">
        <v>52</v>
      </c>
      <c r="K154" t="s">
        <v>35</v>
      </c>
      <c r="L154" s="6">
        <v>0</v>
      </c>
      <c r="M154" s="6">
        <v>1000</v>
      </c>
      <c r="N154" s="6">
        <v>1000</v>
      </c>
      <c r="O154" s="6">
        <v>70235.98</v>
      </c>
      <c r="P154" s="7">
        <v>0</v>
      </c>
      <c r="Q154" s="6">
        <v>0</v>
      </c>
    </row>
    <row r="155" spans="1:17">
      <c r="A155">
        <v>154</v>
      </c>
      <c r="B155" s="5">
        <v>45720</v>
      </c>
      <c r="C155" t="s">
        <v>172</v>
      </c>
      <c r="D155" t="s">
        <v>173</v>
      </c>
      <c r="E155" t="s">
        <v>174</v>
      </c>
      <c r="F155">
        <v>2</v>
      </c>
      <c r="G155" t="s">
        <v>203</v>
      </c>
      <c r="H155" t="s">
        <v>77</v>
      </c>
      <c r="I155" t="s">
        <v>16</v>
      </c>
      <c r="J155" t="s">
        <v>52</v>
      </c>
      <c r="K155" t="s">
        <v>35</v>
      </c>
      <c r="L155" s="6">
        <v>0</v>
      </c>
      <c r="M155" s="6">
        <v>10000</v>
      </c>
      <c r="N155" s="6">
        <v>10000</v>
      </c>
      <c r="O155" s="6">
        <v>80235.98</v>
      </c>
      <c r="P155" s="7">
        <v>0</v>
      </c>
      <c r="Q155" s="6">
        <v>0</v>
      </c>
    </row>
    <row r="156" spans="1:17">
      <c r="A156">
        <v>155</v>
      </c>
      <c r="B156" s="5">
        <v>45720</v>
      </c>
      <c r="C156" t="s">
        <v>172</v>
      </c>
      <c r="D156" t="s">
        <v>173</v>
      </c>
      <c r="E156" t="s">
        <v>174</v>
      </c>
      <c r="F156">
        <v>2</v>
      </c>
      <c r="G156" t="s">
        <v>199</v>
      </c>
      <c r="H156" t="s">
        <v>200</v>
      </c>
      <c r="I156" t="s">
        <v>16</v>
      </c>
      <c r="J156" t="s">
        <v>52</v>
      </c>
      <c r="K156" t="s">
        <v>35</v>
      </c>
      <c r="L156" s="6">
        <v>0</v>
      </c>
      <c r="M156" s="6">
        <v>1500</v>
      </c>
      <c r="N156" s="6">
        <v>1500</v>
      </c>
      <c r="O156" s="6">
        <v>81735.98</v>
      </c>
      <c r="P156" s="7">
        <v>0</v>
      </c>
      <c r="Q156" s="6">
        <v>0</v>
      </c>
    </row>
    <row r="157" spans="1:17">
      <c r="A157">
        <v>156</v>
      </c>
      <c r="B157" s="5">
        <v>45720</v>
      </c>
      <c r="C157" t="s">
        <v>172</v>
      </c>
      <c r="D157" t="s">
        <v>173</v>
      </c>
      <c r="E157" t="s">
        <v>174</v>
      </c>
      <c r="F157">
        <v>2</v>
      </c>
      <c r="G157" t="s">
        <v>204</v>
      </c>
      <c r="H157" t="s">
        <v>66</v>
      </c>
      <c r="I157" t="s">
        <v>22</v>
      </c>
      <c r="J157" t="s">
        <v>67</v>
      </c>
      <c r="K157" t="s">
        <v>34</v>
      </c>
      <c r="L157" s="6">
        <v>253.69</v>
      </c>
      <c r="M157" s="6">
        <v>0</v>
      </c>
      <c r="N157" s="6">
        <v>-253.69</v>
      </c>
      <c r="O157" s="6">
        <v>81482.289999999994</v>
      </c>
      <c r="P157" s="7">
        <v>0</v>
      </c>
      <c r="Q157" s="6">
        <v>0</v>
      </c>
    </row>
    <row r="158" spans="1:17">
      <c r="A158">
        <v>157</v>
      </c>
      <c r="B158" s="5">
        <v>45720</v>
      </c>
      <c r="C158" t="s">
        <v>172</v>
      </c>
      <c r="D158" t="s">
        <v>173</v>
      </c>
      <c r="E158" t="s">
        <v>174</v>
      </c>
      <c r="F158">
        <v>2</v>
      </c>
      <c r="G158" t="s">
        <v>205</v>
      </c>
      <c r="H158" t="s">
        <v>66</v>
      </c>
      <c r="I158" t="s">
        <v>22</v>
      </c>
      <c r="J158" t="s">
        <v>67</v>
      </c>
      <c r="K158" t="s">
        <v>34</v>
      </c>
      <c r="L158" s="6">
        <v>202</v>
      </c>
      <c r="M158" s="6">
        <v>0</v>
      </c>
      <c r="N158" s="6">
        <v>-202</v>
      </c>
      <c r="O158" s="6">
        <v>81280.289999999994</v>
      </c>
      <c r="P158" s="7">
        <v>0</v>
      </c>
      <c r="Q158" s="6">
        <v>0</v>
      </c>
    </row>
    <row r="159" spans="1:17">
      <c r="A159">
        <v>158</v>
      </c>
      <c r="B159" s="5">
        <v>45720</v>
      </c>
      <c r="C159" t="s">
        <v>172</v>
      </c>
      <c r="D159" t="s">
        <v>173</v>
      </c>
      <c r="E159" t="s">
        <v>174</v>
      </c>
      <c r="F159">
        <v>2</v>
      </c>
      <c r="G159" t="s">
        <v>206</v>
      </c>
      <c r="H159" t="s">
        <v>66</v>
      </c>
      <c r="I159" t="s">
        <v>22</v>
      </c>
      <c r="J159" t="s">
        <v>67</v>
      </c>
      <c r="K159" t="s">
        <v>34</v>
      </c>
      <c r="L159" s="6">
        <v>600</v>
      </c>
      <c r="M159" s="6">
        <v>0</v>
      </c>
      <c r="N159" s="6">
        <v>-600</v>
      </c>
      <c r="O159" s="6">
        <v>80680.289999999994</v>
      </c>
      <c r="P159" s="7">
        <v>0</v>
      </c>
      <c r="Q159" s="6">
        <v>0</v>
      </c>
    </row>
    <row r="160" spans="1:17">
      <c r="A160">
        <v>159</v>
      </c>
      <c r="B160" s="5">
        <v>45720</v>
      </c>
      <c r="C160" t="s">
        <v>172</v>
      </c>
      <c r="D160" t="s">
        <v>173</v>
      </c>
      <c r="E160" t="s">
        <v>174</v>
      </c>
      <c r="F160">
        <v>2</v>
      </c>
      <c r="G160" t="s">
        <v>207</v>
      </c>
      <c r="H160" t="s">
        <v>66</v>
      </c>
      <c r="I160" t="s">
        <v>22</v>
      </c>
      <c r="J160" t="s">
        <v>67</v>
      </c>
      <c r="K160" t="s">
        <v>34</v>
      </c>
      <c r="L160" s="6">
        <v>3000</v>
      </c>
      <c r="M160" s="6">
        <v>0</v>
      </c>
      <c r="N160" s="6">
        <v>-3000</v>
      </c>
      <c r="O160" s="6">
        <v>77680.289999999994</v>
      </c>
      <c r="P160" s="7">
        <v>0</v>
      </c>
      <c r="Q160" s="6">
        <v>0</v>
      </c>
    </row>
    <row r="161" spans="1:17">
      <c r="A161">
        <v>160</v>
      </c>
      <c r="B161" s="5">
        <v>45720</v>
      </c>
      <c r="C161" t="s">
        <v>172</v>
      </c>
      <c r="D161" t="s">
        <v>173</v>
      </c>
      <c r="E161" t="s">
        <v>174</v>
      </c>
      <c r="F161">
        <v>2</v>
      </c>
      <c r="G161" t="s">
        <v>193</v>
      </c>
      <c r="H161" t="s">
        <v>70</v>
      </c>
      <c r="I161" t="s">
        <v>16</v>
      </c>
      <c r="J161" t="s">
        <v>52</v>
      </c>
      <c r="K161" t="s">
        <v>35</v>
      </c>
      <c r="L161" s="6">
        <v>0</v>
      </c>
      <c r="M161" s="6">
        <v>250</v>
      </c>
      <c r="N161" s="6">
        <v>250</v>
      </c>
      <c r="O161" s="6">
        <v>77930.289999999994</v>
      </c>
      <c r="P161" s="7">
        <v>0</v>
      </c>
      <c r="Q161" s="6">
        <v>0</v>
      </c>
    </row>
    <row r="162" spans="1:17">
      <c r="A162">
        <v>161</v>
      </c>
      <c r="B162" s="5">
        <v>45720</v>
      </c>
      <c r="C162" t="s">
        <v>172</v>
      </c>
      <c r="D162" t="s">
        <v>173</v>
      </c>
      <c r="E162" t="s">
        <v>174</v>
      </c>
      <c r="F162">
        <v>2</v>
      </c>
      <c r="G162" t="s">
        <v>208</v>
      </c>
      <c r="H162" t="s">
        <v>66</v>
      </c>
      <c r="I162" t="s">
        <v>22</v>
      </c>
      <c r="J162" t="s">
        <v>67</v>
      </c>
      <c r="K162" t="s">
        <v>34</v>
      </c>
      <c r="L162" s="6">
        <v>1031</v>
      </c>
      <c r="M162" s="6">
        <v>0</v>
      </c>
      <c r="N162" s="6">
        <v>-1031</v>
      </c>
      <c r="O162" s="6">
        <v>76899.289999999994</v>
      </c>
      <c r="P162" s="7">
        <v>0</v>
      </c>
      <c r="Q162" s="6">
        <v>0</v>
      </c>
    </row>
    <row r="163" spans="1:17">
      <c r="A163">
        <v>162</v>
      </c>
      <c r="B163" s="5">
        <v>45720</v>
      </c>
      <c r="C163" t="s">
        <v>172</v>
      </c>
      <c r="D163" t="s">
        <v>173</v>
      </c>
      <c r="E163" t="s">
        <v>174</v>
      </c>
      <c r="F163">
        <v>2</v>
      </c>
      <c r="G163" t="s">
        <v>209</v>
      </c>
      <c r="H163" t="s">
        <v>66</v>
      </c>
      <c r="I163" t="s">
        <v>22</v>
      </c>
      <c r="J163" t="s">
        <v>67</v>
      </c>
      <c r="K163" t="s">
        <v>34</v>
      </c>
      <c r="L163" s="6">
        <v>1459</v>
      </c>
      <c r="M163" s="6">
        <v>0</v>
      </c>
      <c r="N163" s="6">
        <v>-1459</v>
      </c>
      <c r="O163" s="6">
        <v>75440.289999999994</v>
      </c>
      <c r="P163" s="7">
        <v>0</v>
      </c>
      <c r="Q163" s="6">
        <v>0</v>
      </c>
    </row>
    <row r="164" spans="1:17">
      <c r="A164">
        <v>163</v>
      </c>
      <c r="B164" s="5">
        <v>45720</v>
      </c>
      <c r="C164" t="s">
        <v>172</v>
      </c>
      <c r="D164" t="s">
        <v>173</v>
      </c>
      <c r="E164" t="s">
        <v>174</v>
      </c>
      <c r="F164">
        <v>2</v>
      </c>
      <c r="G164" t="s">
        <v>210</v>
      </c>
      <c r="H164" t="s">
        <v>66</v>
      </c>
      <c r="I164" t="s">
        <v>22</v>
      </c>
      <c r="J164" t="s">
        <v>67</v>
      </c>
      <c r="K164" t="s">
        <v>34</v>
      </c>
      <c r="L164" s="6">
        <v>1500</v>
      </c>
      <c r="M164" s="6">
        <v>0</v>
      </c>
      <c r="N164" s="6">
        <v>-1500</v>
      </c>
      <c r="O164" s="6">
        <v>73940.289999999994</v>
      </c>
      <c r="P164" s="7">
        <v>0</v>
      </c>
      <c r="Q164" s="6">
        <v>0</v>
      </c>
    </row>
    <row r="165" spans="1:17">
      <c r="A165">
        <v>164</v>
      </c>
      <c r="B165" s="5">
        <v>45720</v>
      </c>
      <c r="C165" t="s">
        <v>172</v>
      </c>
      <c r="D165" t="s">
        <v>173</v>
      </c>
      <c r="E165" t="s">
        <v>174</v>
      </c>
      <c r="F165">
        <v>2</v>
      </c>
      <c r="G165" t="s">
        <v>211</v>
      </c>
      <c r="H165" t="s">
        <v>66</v>
      </c>
      <c r="I165" t="s">
        <v>22</v>
      </c>
      <c r="J165" t="s">
        <v>67</v>
      </c>
      <c r="K165" t="s">
        <v>34</v>
      </c>
      <c r="L165" s="6">
        <v>8970</v>
      </c>
      <c r="M165" s="6">
        <v>0</v>
      </c>
      <c r="N165" s="6">
        <v>-8970</v>
      </c>
      <c r="O165" s="6">
        <v>64970.29</v>
      </c>
      <c r="P165" s="7">
        <v>0</v>
      </c>
      <c r="Q165" s="6">
        <v>0</v>
      </c>
    </row>
    <row r="166" spans="1:17">
      <c r="A166">
        <v>165</v>
      </c>
      <c r="B166" s="5">
        <v>45721</v>
      </c>
      <c r="C166" t="s">
        <v>172</v>
      </c>
      <c r="D166" t="s">
        <v>173</v>
      </c>
      <c r="E166" t="s">
        <v>174</v>
      </c>
      <c r="F166">
        <v>2</v>
      </c>
      <c r="G166" t="s">
        <v>194</v>
      </c>
      <c r="H166" t="s">
        <v>195</v>
      </c>
      <c r="I166" t="s">
        <v>16</v>
      </c>
      <c r="J166" t="s">
        <v>52</v>
      </c>
      <c r="K166" t="s">
        <v>35</v>
      </c>
      <c r="L166" s="6">
        <v>0</v>
      </c>
      <c r="M166" s="6">
        <v>500</v>
      </c>
      <c r="N166" s="6">
        <v>500</v>
      </c>
      <c r="O166" s="6">
        <v>65470.29</v>
      </c>
      <c r="P166" s="7">
        <v>0</v>
      </c>
      <c r="Q166" s="6">
        <v>0</v>
      </c>
    </row>
    <row r="167" spans="1:17">
      <c r="A167">
        <v>166</v>
      </c>
      <c r="B167" s="5">
        <v>45721</v>
      </c>
      <c r="C167" t="s">
        <v>172</v>
      </c>
      <c r="D167" t="s">
        <v>173</v>
      </c>
      <c r="E167" t="s">
        <v>174</v>
      </c>
      <c r="F167">
        <v>2</v>
      </c>
      <c r="G167" t="s">
        <v>193</v>
      </c>
      <c r="H167" t="s">
        <v>70</v>
      </c>
      <c r="I167" t="s">
        <v>16</v>
      </c>
      <c r="J167" t="s">
        <v>52</v>
      </c>
      <c r="K167" t="s">
        <v>35</v>
      </c>
      <c r="L167" s="6">
        <v>0</v>
      </c>
      <c r="M167" s="6">
        <v>500</v>
      </c>
      <c r="N167" s="6">
        <v>500</v>
      </c>
      <c r="O167" s="6">
        <v>65970.289999999994</v>
      </c>
      <c r="P167" s="7">
        <v>0</v>
      </c>
      <c r="Q167" s="6">
        <v>0</v>
      </c>
    </row>
    <row r="168" spans="1:17">
      <c r="A168">
        <v>167</v>
      </c>
      <c r="B168" s="5">
        <v>45721</v>
      </c>
      <c r="C168" t="s">
        <v>172</v>
      </c>
      <c r="D168" t="s">
        <v>173</v>
      </c>
      <c r="E168" t="s">
        <v>174</v>
      </c>
      <c r="F168">
        <v>2</v>
      </c>
      <c r="G168" t="s">
        <v>199</v>
      </c>
      <c r="H168" t="s">
        <v>200</v>
      </c>
      <c r="I168" t="s">
        <v>16</v>
      </c>
      <c r="J168" t="s">
        <v>52</v>
      </c>
      <c r="K168" t="s">
        <v>35</v>
      </c>
      <c r="L168" s="6">
        <v>0</v>
      </c>
      <c r="M168" s="6">
        <v>1500</v>
      </c>
      <c r="N168" s="6">
        <v>1500</v>
      </c>
      <c r="O168" s="6">
        <v>67470.289999999994</v>
      </c>
      <c r="P168" s="7">
        <v>0</v>
      </c>
      <c r="Q168" s="6">
        <v>0</v>
      </c>
    </row>
    <row r="169" spans="1:17">
      <c r="A169">
        <v>168</v>
      </c>
      <c r="B169" s="5">
        <v>45721</v>
      </c>
      <c r="C169" t="s">
        <v>172</v>
      </c>
      <c r="D169" t="s">
        <v>173</v>
      </c>
      <c r="E169" t="s">
        <v>174</v>
      </c>
      <c r="F169">
        <v>2</v>
      </c>
      <c r="G169" t="s">
        <v>202</v>
      </c>
      <c r="H169" t="s">
        <v>134</v>
      </c>
      <c r="I169" t="s">
        <v>16</v>
      </c>
      <c r="J169" t="s">
        <v>52</v>
      </c>
      <c r="K169" t="s">
        <v>35</v>
      </c>
      <c r="L169" s="6">
        <v>0</v>
      </c>
      <c r="M169" s="6">
        <v>1000</v>
      </c>
      <c r="N169" s="6">
        <v>1000</v>
      </c>
      <c r="O169" s="6">
        <v>68470.289999999994</v>
      </c>
      <c r="P169" s="7">
        <v>0</v>
      </c>
      <c r="Q169" s="6">
        <v>0</v>
      </c>
    </row>
    <row r="170" spans="1:17">
      <c r="A170">
        <v>169</v>
      </c>
      <c r="B170" s="5">
        <v>45721</v>
      </c>
      <c r="C170" t="s">
        <v>172</v>
      </c>
      <c r="D170" t="s">
        <v>173</v>
      </c>
      <c r="E170" t="s">
        <v>174</v>
      </c>
      <c r="F170">
        <v>2</v>
      </c>
      <c r="G170" t="s">
        <v>184</v>
      </c>
      <c r="H170" t="s">
        <v>185</v>
      </c>
      <c r="I170" t="s">
        <v>16</v>
      </c>
      <c r="J170" t="s">
        <v>52</v>
      </c>
      <c r="K170" t="s">
        <v>35</v>
      </c>
      <c r="L170" s="6">
        <v>0</v>
      </c>
      <c r="M170" s="6">
        <v>2000</v>
      </c>
      <c r="N170" s="6">
        <v>2000</v>
      </c>
      <c r="O170" s="6">
        <v>70470.289999999994</v>
      </c>
      <c r="P170" s="7">
        <v>0</v>
      </c>
      <c r="Q170" s="6">
        <v>0</v>
      </c>
    </row>
    <row r="171" spans="1:17">
      <c r="A171">
        <v>170</v>
      </c>
      <c r="B171" s="5">
        <v>45721</v>
      </c>
      <c r="C171" t="s">
        <v>172</v>
      </c>
      <c r="D171" t="s">
        <v>173</v>
      </c>
      <c r="E171" t="s">
        <v>174</v>
      </c>
      <c r="F171">
        <v>2</v>
      </c>
      <c r="G171" t="s">
        <v>212</v>
      </c>
      <c r="H171" t="s">
        <v>213</v>
      </c>
      <c r="I171" t="s">
        <v>16</v>
      </c>
      <c r="J171" t="s">
        <v>52</v>
      </c>
      <c r="K171" t="s">
        <v>35</v>
      </c>
      <c r="L171" s="6">
        <v>0</v>
      </c>
      <c r="M171" s="6">
        <v>1000</v>
      </c>
      <c r="N171" s="6">
        <v>1000</v>
      </c>
      <c r="O171" s="6">
        <v>71470.289999999994</v>
      </c>
      <c r="P171" s="7">
        <v>0</v>
      </c>
      <c r="Q171" s="6">
        <v>0</v>
      </c>
    </row>
    <row r="172" spans="1:17">
      <c r="A172">
        <v>171</v>
      </c>
      <c r="B172" s="5">
        <v>45721</v>
      </c>
      <c r="C172" t="s">
        <v>172</v>
      </c>
      <c r="D172" t="s">
        <v>173</v>
      </c>
      <c r="E172" t="s">
        <v>174</v>
      </c>
      <c r="F172">
        <v>2</v>
      </c>
      <c r="G172" t="s">
        <v>199</v>
      </c>
      <c r="H172" t="s">
        <v>200</v>
      </c>
      <c r="I172" t="s">
        <v>16</v>
      </c>
      <c r="J172" t="s">
        <v>52</v>
      </c>
      <c r="K172" t="s">
        <v>35</v>
      </c>
      <c r="L172" s="6">
        <v>0</v>
      </c>
      <c r="M172" s="6">
        <v>1500</v>
      </c>
      <c r="N172" s="6">
        <v>1500</v>
      </c>
      <c r="O172" s="6">
        <v>72970.289999999994</v>
      </c>
      <c r="P172" s="7">
        <v>0</v>
      </c>
      <c r="Q172" s="6">
        <v>0</v>
      </c>
    </row>
    <row r="173" spans="1:17">
      <c r="A173">
        <v>172</v>
      </c>
      <c r="B173" s="5">
        <v>45721</v>
      </c>
      <c r="C173" t="s">
        <v>172</v>
      </c>
      <c r="D173" t="s">
        <v>173</v>
      </c>
      <c r="E173" t="s">
        <v>174</v>
      </c>
      <c r="F173">
        <v>2</v>
      </c>
      <c r="G173" t="s">
        <v>202</v>
      </c>
      <c r="H173" t="s">
        <v>134</v>
      </c>
      <c r="I173" t="s">
        <v>16</v>
      </c>
      <c r="J173" t="s">
        <v>52</v>
      </c>
      <c r="K173" t="s">
        <v>35</v>
      </c>
      <c r="L173" s="6">
        <v>0</v>
      </c>
      <c r="M173" s="6">
        <v>3000</v>
      </c>
      <c r="N173" s="6">
        <v>3000</v>
      </c>
      <c r="O173" s="6">
        <v>75970.289999999994</v>
      </c>
      <c r="P173" s="7">
        <v>0</v>
      </c>
      <c r="Q173" s="6">
        <v>0</v>
      </c>
    </row>
    <row r="174" spans="1:17">
      <c r="A174">
        <v>173</v>
      </c>
      <c r="B174" s="5">
        <v>45721</v>
      </c>
      <c r="C174" t="s">
        <v>172</v>
      </c>
      <c r="D174" t="s">
        <v>173</v>
      </c>
      <c r="E174" t="s">
        <v>174</v>
      </c>
      <c r="F174">
        <v>2</v>
      </c>
      <c r="G174" t="s">
        <v>193</v>
      </c>
      <c r="H174" t="s">
        <v>70</v>
      </c>
      <c r="I174" t="s">
        <v>16</v>
      </c>
      <c r="J174" t="s">
        <v>52</v>
      </c>
      <c r="K174" t="s">
        <v>35</v>
      </c>
      <c r="L174" s="6">
        <v>0</v>
      </c>
      <c r="M174" s="6">
        <v>2500</v>
      </c>
      <c r="N174" s="6">
        <v>2500</v>
      </c>
      <c r="O174" s="6">
        <v>78470.289999999994</v>
      </c>
      <c r="P174" s="7">
        <v>0</v>
      </c>
      <c r="Q174" s="6">
        <v>0</v>
      </c>
    </row>
    <row r="175" spans="1:17">
      <c r="A175">
        <v>174</v>
      </c>
      <c r="B175" s="5">
        <v>45721</v>
      </c>
      <c r="C175" t="s">
        <v>172</v>
      </c>
      <c r="D175" t="s">
        <v>173</v>
      </c>
      <c r="E175" t="s">
        <v>174</v>
      </c>
      <c r="F175">
        <v>2</v>
      </c>
      <c r="G175" t="s">
        <v>194</v>
      </c>
      <c r="H175" t="s">
        <v>195</v>
      </c>
      <c r="I175" t="s">
        <v>16</v>
      </c>
      <c r="J175" t="s">
        <v>52</v>
      </c>
      <c r="K175" t="s">
        <v>35</v>
      </c>
      <c r="L175" s="6">
        <v>0</v>
      </c>
      <c r="M175" s="6">
        <v>500</v>
      </c>
      <c r="N175" s="6">
        <v>500</v>
      </c>
      <c r="O175" s="6">
        <v>78970.289999999994</v>
      </c>
      <c r="P175" s="7">
        <v>0</v>
      </c>
      <c r="Q175" s="6">
        <v>0</v>
      </c>
    </row>
    <row r="176" spans="1:17">
      <c r="A176">
        <v>175</v>
      </c>
      <c r="B176" s="5">
        <v>45721</v>
      </c>
      <c r="C176" t="s">
        <v>172</v>
      </c>
      <c r="D176" t="s">
        <v>173</v>
      </c>
      <c r="E176" t="s">
        <v>174</v>
      </c>
      <c r="F176">
        <v>2</v>
      </c>
      <c r="G176" t="s">
        <v>194</v>
      </c>
      <c r="H176" t="s">
        <v>195</v>
      </c>
      <c r="I176" t="s">
        <v>16</v>
      </c>
      <c r="J176" t="s">
        <v>52</v>
      </c>
      <c r="K176" t="s">
        <v>35</v>
      </c>
      <c r="L176" s="6">
        <v>0</v>
      </c>
      <c r="M176" s="6">
        <v>1100</v>
      </c>
      <c r="N176" s="6">
        <v>1100</v>
      </c>
      <c r="O176" s="6">
        <v>80070.289999999994</v>
      </c>
      <c r="P176" s="7">
        <v>0</v>
      </c>
      <c r="Q176" s="6">
        <v>0</v>
      </c>
    </row>
    <row r="177" spans="1:17">
      <c r="A177">
        <v>176</v>
      </c>
      <c r="B177" s="5">
        <v>45721</v>
      </c>
      <c r="C177" t="s">
        <v>172</v>
      </c>
      <c r="D177" t="s">
        <v>173</v>
      </c>
      <c r="E177" t="s">
        <v>174</v>
      </c>
      <c r="F177">
        <v>2</v>
      </c>
      <c r="G177" t="s">
        <v>214</v>
      </c>
      <c r="H177" t="s">
        <v>66</v>
      </c>
      <c r="I177" t="s">
        <v>22</v>
      </c>
      <c r="J177" t="s">
        <v>67</v>
      </c>
      <c r="K177" t="s">
        <v>34</v>
      </c>
      <c r="L177" s="6">
        <v>5000</v>
      </c>
      <c r="M177" s="6">
        <v>0</v>
      </c>
      <c r="N177" s="6">
        <v>-5000</v>
      </c>
      <c r="O177" s="6">
        <v>75070.289999999994</v>
      </c>
      <c r="P177" s="7">
        <v>0</v>
      </c>
      <c r="Q177" s="6">
        <v>0</v>
      </c>
    </row>
    <row r="178" spans="1:17">
      <c r="A178">
        <v>177</v>
      </c>
      <c r="B178" s="5">
        <v>45721</v>
      </c>
      <c r="C178" t="s">
        <v>172</v>
      </c>
      <c r="D178" t="s">
        <v>173</v>
      </c>
      <c r="E178" t="s">
        <v>174</v>
      </c>
      <c r="F178">
        <v>2</v>
      </c>
      <c r="G178" t="s">
        <v>215</v>
      </c>
      <c r="H178" t="s">
        <v>66</v>
      </c>
      <c r="I178" t="s">
        <v>22</v>
      </c>
      <c r="J178" t="s">
        <v>67</v>
      </c>
      <c r="K178" t="s">
        <v>34</v>
      </c>
      <c r="L178" s="6">
        <v>1200</v>
      </c>
      <c r="M178" s="6">
        <v>0</v>
      </c>
      <c r="N178" s="6">
        <v>-1200</v>
      </c>
      <c r="O178" s="6">
        <v>73870.289999999994</v>
      </c>
      <c r="P178" s="7">
        <v>0</v>
      </c>
      <c r="Q178" s="6">
        <v>0</v>
      </c>
    </row>
    <row r="179" spans="1:17">
      <c r="A179">
        <v>178</v>
      </c>
      <c r="B179" s="5">
        <v>45721</v>
      </c>
      <c r="C179" t="s">
        <v>172</v>
      </c>
      <c r="D179" t="s">
        <v>173</v>
      </c>
      <c r="E179" t="s">
        <v>174</v>
      </c>
      <c r="F179">
        <v>2</v>
      </c>
      <c r="G179" t="s">
        <v>216</v>
      </c>
      <c r="H179" t="s">
        <v>66</v>
      </c>
      <c r="I179" t="s">
        <v>22</v>
      </c>
      <c r="J179" t="s">
        <v>67</v>
      </c>
      <c r="K179" t="s">
        <v>34</v>
      </c>
      <c r="L179" s="6">
        <v>5000</v>
      </c>
      <c r="M179" s="6">
        <v>0</v>
      </c>
      <c r="N179" s="6">
        <v>-5000</v>
      </c>
      <c r="O179" s="6">
        <v>68870.289999999994</v>
      </c>
      <c r="P179" s="7">
        <v>0</v>
      </c>
      <c r="Q179" s="6">
        <v>0</v>
      </c>
    </row>
    <row r="180" spans="1:17">
      <c r="A180">
        <v>179</v>
      </c>
      <c r="B180" s="5">
        <v>45721</v>
      </c>
      <c r="C180" t="s">
        <v>172</v>
      </c>
      <c r="D180" t="s">
        <v>173</v>
      </c>
      <c r="E180" t="s">
        <v>174</v>
      </c>
      <c r="F180">
        <v>2</v>
      </c>
      <c r="G180" t="s">
        <v>217</v>
      </c>
      <c r="H180" t="s">
        <v>66</v>
      </c>
      <c r="I180" t="s">
        <v>22</v>
      </c>
      <c r="J180" t="s">
        <v>67</v>
      </c>
      <c r="K180" t="s">
        <v>34</v>
      </c>
      <c r="L180" s="6">
        <v>1275</v>
      </c>
      <c r="M180" s="6">
        <v>0</v>
      </c>
      <c r="N180" s="6">
        <v>-1275</v>
      </c>
      <c r="O180" s="6">
        <v>67595.289999999994</v>
      </c>
      <c r="P180" s="7">
        <v>0</v>
      </c>
      <c r="Q180" s="6">
        <v>0</v>
      </c>
    </row>
    <row r="181" spans="1:17">
      <c r="A181">
        <v>180</v>
      </c>
      <c r="B181" s="5">
        <v>45721</v>
      </c>
      <c r="C181" t="s">
        <v>172</v>
      </c>
      <c r="D181" t="s">
        <v>173</v>
      </c>
      <c r="E181" t="s">
        <v>174</v>
      </c>
      <c r="F181">
        <v>2</v>
      </c>
      <c r="G181" t="s">
        <v>218</v>
      </c>
      <c r="H181" t="s">
        <v>66</v>
      </c>
      <c r="I181" t="s">
        <v>22</v>
      </c>
      <c r="J181" t="s">
        <v>67</v>
      </c>
      <c r="K181" t="s">
        <v>34</v>
      </c>
      <c r="L181" s="6">
        <v>230</v>
      </c>
      <c r="M181" s="6">
        <v>0</v>
      </c>
      <c r="N181" s="6">
        <v>-230</v>
      </c>
      <c r="O181" s="6">
        <v>67365.289999999994</v>
      </c>
      <c r="P181" s="7">
        <v>0</v>
      </c>
      <c r="Q181" s="6">
        <v>0</v>
      </c>
    </row>
    <row r="182" spans="1:17">
      <c r="A182">
        <v>181</v>
      </c>
      <c r="B182" s="5">
        <v>45721</v>
      </c>
      <c r="C182" t="s">
        <v>172</v>
      </c>
      <c r="D182" t="s">
        <v>173</v>
      </c>
      <c r="E182" t="s">
        <v>174</v>
      </c>
      <c r="F182">
        <v>2</v>
      </c>
      <c r="G182" t="s">
        <v>219</v>
      </c>
      <c r="H182" t="s">
        <v>66</v>
      </c>
      <c r="I182" t="s">
        <v>22</v>
      </c>
      <c r="J182" t="s">
        <v>67</v>
      </c>
      <c r="K182" t="s">
        <v>34</v>
      </c>
      <c r="L182" s="6">
        <v>14000</v>
      </c>
      <c r="M182" s="6">
        <v>0</v>
      </c>
      <c r="N182" s="6">
        <v>-14000</v>
      </c>
      <c r="O182" s="6">
        <v>53365.29</v>
      </c>
      <c r="P182" s="7">
        <v>0</v>
      </c>
      <c r="Q182" s="6">
        <v>0</v>
      </c>
    </row>
    <row r="183" spans="1:17">
      <c r="A183">
        <v>182</v>
      </c>
      <c r="B183" s="5">
        <v>45721</v>
      </c>
      <c r="C183" t="s">
        <v>172</v>
      </c>
      <c r="D183" t="s">
        <v>173</v>
      </c>
      <c r="E183" t="s">
        <v>174</v>
      </c>
      <c r="F183">
        <v>2</v>
      </c>
      <c r="G183" t="s">
        <v>220</v>
      </c>
      <c r="H183" t="s">
        <v>66</v>
      </c>
      <c r="I183" t="s">
        <v>22</v>
      </c>
      <c r="J183" t="s">
        <v>67</v>
      </c>
      <c r="K183" t="s">
        <v>34</v>
      </c>
      <c r="L183" s="6">
        <v>400</v>
      </c>
      <c r="M183" s="6">
        <v>0</v>
      </c>
      <c r="N183" s="6">
        <v>-400</v>
      </c>
      <c r="O183" s="6">
        <v>52965.29</v>
      </c>
      <c r="P183" s="7">
        <v>0</v>
      </c>
      <c r="Q183" s="6">
        <v>0</v>
      </c>
    </row>
    <row r="184" spans="1:17">
      <c r="A184">
        <v>183</v>
      </c>
      <c r="B184" s="5">
        <v>45721</v>
      </c>
      <c r="C184" t="s">
        <v>172</v>
      </c>
      <c r="D184" t="s">
        <v>173</v>
      </c>
      <c r="E184" t="s">
        <v>174</v>
      </c>
      <c r="F184">
        <v>2</v>
      </c>
      <c r="G184" t="s">
        <v>221</v>
      </c>
      <c r="H184" t="s">
        <v>66</v>
      </c>
      <c r="I184" t="s">
        <v>22</v>
      </c>
      <c r="J184" t="s">
        <v>67</v>
      </c>
      <c r="K184" t="s">
        <v>34</v>
      </c>
      <c r="L184" s="6">
        <v>2036</v>
      </c>
      <c r="M184" s="6">
        <v>0</v>
      </c>
      <c r="N184" s="6">
        <v>-2036</v>
      </c>
      <c r="O184" s="6">
        <v>50929.29</v>
      </c>
      <c r="P184" s="7">
        <v>0</v>
      </c>
      <c r="Q184" s="6">
        <v>0</v>
      </c>
    </row>
    <row r="185" spans="1:17">
      <c r="A185">
        <v>184</v>
      </c>
      <c r="B185" s="5">
        <v>45721</v>
      </c>
      <c r="C185" t="s">
        <v>172</v>
      </c>
      <c r="D185" t="s">
        <v>173</v>
      </c>
      <c r="E185" t="s">
        <v>174</v>
      </c>
      <c r="F185">
        <v>2</v>
      </c>
      <c r="G185" t="s">
        <v>186</v>
      </c>
      <c r="H185" t="s">
        <v>187</v>
      </c>
      <c r="I185" t="s">
        <v>16</v>
      </c>
      <c r="J185" t="s">
        <v>52</v>
      </c>
      <c r="K185" t="s">
        <v>35</v>
      </c>
      <c r="L185" s="6">
        <v>0</v>
      </c>
      <c r="M185" s="6">
        <v>25000</v>
      </c>
      <c r="N185" s="6">
        <v>25000</v>
      </c>
      <c r="O185" s="6">
        <v>75929.289999999994</v>
      </c>
      <c r="P185" s="7">
        <v>0</v>
      </c>
      <c r="Q185" s="6">
        <v>0</v>
      </c>
    </row>
    <row r="186" spans="1:17">
      <c r="A186">
        <v>185</v>
      </c>
      <c r="B186" s="5">
        <v>45722</v>
      </c>
      <c r="C186" t="s">
        <v>172</v>
      </c>
      <c r="D186" t="s">
        <v>173</v>
      </c>
      <c r="E186" t="s">
        <v>174</v>
      </c>
      <c r="F186">
        <v>2</v>
      </c>
      <c r="G186" t="s">
        <v>222</v>
      </c>
      <c r="I186" t="s">
        <v>17</v>
      </c>
      <c r="J186" t="s">
        <v>64</v>
      </c>
      <c r="K186" t="s">
        <v>34</v>
      </c>
      <c r="L186" s="6">
        <v>20000</v>
      </c>
      <c r="M186" s="6">
        <v>0</v>
      </c>
      <c r="N186" s="6">
        <v>-20000</v>
      </c>
      <c r="O186" s="6">
        <v>55929.29</v>
      </c>
      <c r="P186" s="7">
        <v>0</v>
      </c>
      <c r="Q186" s="6">
        <v>0</v>
      </c>
    </row>
    <row r="187" spans="1:17">
      <c r="A187">
        <v>186</v>
      </c>
      <c r="B187" s="5">
        <v>45722</v>
      </c>
      <c r="C187" t="s">
        <v>172</v>
      </c>
      <c r="D187" t="s">
        <v>173</v>
      </c>
      <c r="E187" t="s">
        <v>174</v>
      </c>
      <c r="F187">
        <v>2</v>
      </c>
      <c r="G187" t="s">
        <v>223</v>
      </c>
      <c r="H187" t="s">
        <v>66</v>
      </c>
      <c r="I187" t="s">
        <v>22</v>
      </c>
      <c r="J187" t="s">
        <v>67</v>
      </c>
      <c r="K187" t="s">
        <v>34</v>
      </c>
      <c r="L187" s="6">
        <v>2587</v>
      </c>
      <c r="M187" s="6">
        <v>0</v>
      </c>
      <c r="N187" s="6">
        <v>-2587</v>
      </c>
      <c r="O187" s="6">
        <v>53342.29</v>
      </c>
      <c r="P187" s="7">
        <v>0</v>
      </c>
      <c r="Q187" s="6">
        <v>0</v>
      </c>
    </row>
    <row r="188" spans="1:17">
      <c r="A188">
        <v>187</v>
      </c>
      <c r="B188" s="5">
        <v>45722</v>
      </c>
      <c r="C188" t="s">
        <v>172</v>
      </c>
      <c r="D188" t="s">
        <v>173</v>
      </c>
      <c r="E188" t="s">
        <v>174</v>
      </c>
      <c r="F188">
        <v>2</v>
      </c>
      <c r="G188" t="s">
        <v>224</v>
      </c>
      <c r="H188" t="s">
        <v>66</v>
      </c>
      <c r="I188" t="s">
        <v>22</v>
      </c>
      <c r="J188" t="s">
        <v>67</v>
      </c>
      <c r="K188" t="s">
        <v>34</v>
      </c>
      <c r="L188" s="6">
        <v>108</v>
      </c>
      <c r="M188" s="6">
        <v>0</v>
      </c>
      <c r="N188" s="6">
        <v>-108</v>
      </c>
      <c r="O188" s="6">
        <v>53234.29</v>
      </c>
      <c r="P188" s="7">
        <v>0</v>
      </c>
      <c r="Q188" s="6">
        <v>0</v>
      </c>
    </row>
    <row r="189" spans="1:17">
      <c r="A189">
        <v>188</v>
      </c>
      <c r="B189" s="5">
        <v>45722</v>
      </c>
      <c r="C189" t="s">
        <v>172</v>
      </c>
      <c r="D189" t="s">
        <v>173</v>
      </c>
      <c r="E189" t="s">
        <v>174</v>
      </c>
      <c r="F189">
        <v>2</v>
      </c>
      <c r="G189" t="s">
        <v>194</v>
      </c>
      <c r="H189" t="s">
        <v>195</v>
      </c>
      <c r="I189" t="s">
        <v>16</v>
      </c>
      <c r="J189" t="s">
        <v>52</v>
      </c>
      <c r="K189" t="s">
        <v>35</v>
      </c>
      <c r="L189" s="6">
        <v>0</v>
      </c>
      <c r="M189" s="6">
        <v>500</v>
      </c>
      <c r="N189" s="6">
        <v>500</v>
      </c>
      <c r="O189" s="6">
        <v>53734.29</v>
      </c>
      <c r="P189" s="7">
        <v>0</v>
      </c>
      <c r="Q189" s="6">
        <v>0</v>
      </c>
    </row>
    <row r="190" spans="1:17">
      <c r="A190">
        <v>189</v>
      </c>
      <c r="B190" s="5">
        <v>45722</v>
      </c>
      <c r="C190" t="s">
        <v>172</v>
      </c>
      <c r="D190" t="s">
        <v>173</v>
      </c>
      <c r="E190" t="s">
        <v>174</v>
      </c>
      <c r="F190">
        <v>2</v>
      </c>
      <c r="G190" t="s">
        <v>225</v>
      </c>
      <c r="H190" t="s">
        <v>226</v>
      </c>
      <c r="I190" t="s">
        <v>16</v>
      </c>
      <c r="J190" t="s">
        <v>52</v>
      </c>
      <c r="K190" t="s">
        <v>35</v>
      </c>
      <c r="L190" s="6">
        <v>0</v>
      </c>
      <c r="M190" s="6">
        <v>100</v>
      </c>
      <c r="N190" s="6">
        <v>100</v>
      </c>
      <c r="O190" s="6">
        <v>53834.29</v>
      </c>
      <c r="P190" s="7">
        <v>0</v>
      </c>
      <c r="Q190" s="6">
        <v>0</v>
      </c>
    </row>
    <row r="191" spans="1:17">
      <c r="A191">
        <v>190</v>
      </c>
      <c r="B191" s="5">
        <v>45722</v>
      </c>
      <c r="C191" t="s">
        <v>172</v>
      </c>
      <c r="D191" t="s">
        <v>173</v>
      </c>
      <c r="E191" t="s">
        <v>174</v>
      </c>
      <c r="F191">
        <v>2</v>
      </c>
      <c r="G191" t="s">
        <v>199</v>
      </c>
      <c r="H191" t="s">
        <v>200</v>
      </c>
      <c r="I191" t="s">
        <v>16</v>
      </c>
      <c r="J191" t="s">
        <v>52</v>
      </c>
      <c r="K191" t="s">
        <v>35</v>
      </c>
      <c r="L191" s="6">
        <v>0</v>
      </c>
      <c r="M191" s="6">
        <v>1000</v>
      </c>
      <c r="N191" s="6">
        <v>1000</v>
      </c>
      <c r="O191" s="6">
        <v>54834.29</v>
      </c>
      <c r="P191" s="7">
        <v>0</v>
      </c>
      <c r="Q191" s="6">
        <v>0</v>
      </c>
    </row>
    <row r="192" spans="1:17">
      <c r="A192">
        <v>191</v>
      </c>
      <c r="B192" s="5">
        <v>45722</v>
      </c>
      <c r="C192" t="s">
        <v>172</v>
      </c>
      <c r="D192" t="s">
        <v>173</v>
      </c>
      <c r="E192" t="s">
        <v>174</v>
      </c>
      <c r="F192">
        <v>2</v>
      </c>
      <c r="G192" t="s">
        <v>227</v>
      </c>
      <c r="H192" t="s">
        <v>228</v>
      </c>
      <c r="I192" t="s">
        <v>16</v>
      </c>
      <c r="J192" t="s">
        <v>52</v>
      </c>
      <c r="K192" t="s">
        <v>35</v>
      </c>
      <c r="L192" s="6">
        <v>0</v>
      </c>
      <c r="M192" s="6">
        <v>300</v>
      </c>
      <c r="N192" s="6">
        <v>300</v>
      </c>
      <c r="O192" s="6">
        <v>55134.29</v>
      </c>
      <c r="P192" s="7">
        <v>0</v>
      </c>
      <c r="Q192" s="6">
        <v>0</v>
      </c>
    </row>
    <row r="193" spans="1:17">
      <c r="A193">
        <v>192</v>
      </c>
      <c r="B193" s="5">
        <v>45722</v>
      </c>
      <c r="C193" t="s">
        <v>172</v>
      </c>
      <c r="D193" t="s">
        <v>173</v>
      </c>
      <c r="E193" t="s">
        <v>174</v>
      </c>
      <c r="F193">
        <v>2</v>
      </c>
      <c r="G193" t="s">
        <v>193</v>
      </c>
      <c r="H193" t="s">
        <v>70</v>
      </c>
      <c r="I193" t="s">
        <v>16</v>
      </c>
      <c r="J193" t="s">
        <v>52</v>
      </c>
      <c r="K193" t="s">
        <v>35</v>
      </c>
      <c r="L193" s="6">
        <v>0</v>
      </c>
      <c r="M193" s="6">
        <v>3000</v>
      </c>
      <c r="N193" s="6">
        <v>3000</v>
      </c>
      <c r="O193" s="6">
        <v>58134.29</v>
      </c>
      <c r="P193" s="7">
        <v>0</v>
      </c>
      <c r="Q193" s="6">
        <v>0</v>
      </c>
    </row>
    <row r="194" spans="1:17">
      <c r="A194">
        <v>193</v>
      </c>
      <c r="B194" s="5">
        <v>45722</v>
      </c>
      <c r="C194" t="s">
        <v>172</v>
      </c>
      <c r="D194" t="s">
        <v>173</v>
      </c>
      <c r="E194" t="s">
        <v>174</v>
      </c>
      <c r="F194">
        <v>2</v>
      </c>
      <c r="G194" t="s">
        <v>229</v>
      </c>
      <c r="H194" t="s">
        <v>230</v>
      </c>
      <c r="I194" t="s">
        <v>16</v>
      </c>
      <c r="J194" t="s">
        <v>52</v>
      </c>
      <c r="K194" t="s">
        <v>35</v>
      </c>
      <c r="L194" s="6">
        <v>0</v>
      </c>
      <c r="M194" s="6">
        <v>200</v>
      </c>
      <c r="N194" s="6">
        <v>200</v>
      </c>
      <c r="O194" s="6">
        <v>58334.29</v>
      </c>
      <c r="P194" s="7">
        <v>0</v>
      </c>
      <c r="Q194" s="6">
        <v>0</v>
      </c>
    </row>
    <row r="195" spans="1:17">
      <c r="A195">
        <v>194</v>
      </c>
      <c r="B195" s="5">
        <v>45722</v>
      </c>
      <c r="C195" t="s">
        <v>172</v>
      </c>
      <c r="D195" t="s">
        <v>173</v>
      </c>
      <c r="E195" t="s">
        <v>174</v>
      </c>
      <c r="F195">
        <v>2</v>
      </c>
      <c r="G195" t="s">
        <v>186</v>
      </c>
      <c r="H195" t="s">
        <v>187</v>
      </c>
      <c r="I195" t="s">
        <v>16</v>
      </c>
      <c r="J195" t="s">
        <v>52</v>
      </c>
      <c r="K195" t="s">
        <v>35</v>
      </c>
      <c r="L195" s="6">
        <v>0</v>
      </c>
      <c r="M195" s="6">
        <v>5000</v>
      </c>
      <c r="N195" s="6">
        <v>5000</v>
      </c>
      <c r="O195" s="6">
        <v>63334.29</v>
      </c>
      <c r="P195" s="7">
        <v>0</v>
      </c>
      <c r="Q195" s="6">
        <v>0</v>
      </c>
    </row>
    <row r="196" spans="1:17">
      <c r="A196">
        <v>195</v>
      </c>
      <c r="B196" s="5">
        <v>45722</v>
      </c>
      <c r="C196" t="s">
        <v>172</v>
      </c>
      <c r="D196" t="s">
        <v>173</v>
      </c>
      <c r="E196" t="s">
        <v>174</v>
      </c>
      <c r="F196">
        <v>2</v>
      </c>
      <c r="G196" t="s">
        <v>186</v>
      </c>
      <c r="H196" t="s">
        <v>187</v>
      </c>
      <c r="I196" t="s">
        <v>16</v>
      </c>
      <c r="J196" t="s">
        <v>52</v>
      </c>
      <c r="K196" t="s">
        <v>35</v>
      </c>
      <c r="L196" s="6">
        <v>0</v>
      </c>
      <c r="M196" s="6">
        <v>5000</v>
      </c>
      <c r="N196" s="6">
        <v>5000</v>
      </c>
      <c r="O196" s="6">
        <v>68334.289999999994</v>
      </c>
      <c r="P196" s="7">
        <v>0</v>
      </c>
      <c r="Q196" s="6">
        <v>0</v>
      </c>
    </row>
    <row r="197" spans="1:17">
      <c r="A197">
        <v>196</v>
      </c>
      <c r="B197" s="5">
        <v>45722</v>
      </c>
      <c r="C197" t="s">
        <v>172</v>
      </c>
      <c r="D197" t="s">
        <v>173</v>
      </c>
      <c r="E197" t="s">
        <v>174</v>
      </c>
      <c r="F197">
        <v>2</v>
      </c>
      <c r="G197" t="s">
        <v>201</v>
      </c>
      <c r="H197" t="s">
        <v>100</v>
      </c>
      <c r="I197" t="s">
        <v>16</v>
      </c>
      <c r="J197" t="s">
        <v>52</v>
      </c>
      <c r="K197" t="s">
        <v>35</v>
      </c>
      <c r="L197" s="6">
        <v>0</v>
      </c>
      <c r="M197" s="6">
        <v>600</v>
      </c>
      <c r="N197" s="6">
        <v>600</v>
      </c>
      <c r="O197" s="6">
        <v>68934.289999999994</v>
      </c>
      <c r="P197" s="7">
        <v>0</v>
      </c>
      <c r="Q197" s="6">
        <v>0</v>
      </c>
    </row>
    <row r="198" spans="1:17">
      <c r="A198">
        <v>197</v>
      </c>
      <c r="B198" s="5">
        <v>45722</v>
      </c>
      <c r="C198" t="s">
        <v>172</v>
      </c>
      <c r="D198" t="s">
        <v>173</v>
      </c>
      <c r="E198" t="s">
        <v>174</v>
      </c>
      <c r="F198">
        <v>2</v>
      </c>
      <c r="G198" t="s">
        <v>186</v>
      </c>
      <c r="H198" t="s">
        <v>187</v>
      </c>
      <c r="I198" t="s">
        <v>16</v>
      </c>
      <c r="J198" t="s">
        <v>52</v>
      </c>
      <c r="K198" t="s">
        <v>35</v>
      </c>
      <c r="L198" s="6">
        <v>0</v>
      </c>
      <c r="M198" s="6">
        <v>10000</v>
      </c>
      <c r="N198" s="6">
        <v>10000</v>
      </c>
      <c r="O198" s="6">
        <v>78934.289999999994</v>
      </c>
      <c r="P198" s="7">
        <v>0</v>
      </c>
      <c r="Q198" s="6">
        <v>0</v>
      </c>
    </row>
    <row r="199" spans="1:17">
      <c r="A199">
        <v>198</v>
      </c>
      <c r="B199" s="5">
        <v>45722</v>
      </c>
      <c r="C199" t="s">
        <v>172</v>
      </c>
      <c r="D199" t="s">
        <v>173</v>
      </c>
      <c r="E199" t="s">
        <v>174</v>
      </c>
      <c r="F199">
        <v>2</v>
      </c>
      <c r="G199" t="s">
        <v>231</v>
      </c>
      <c r="H199" t="s">
        <v>232</v>
      </c>
      <c r="I199" t="s">
        <v>16</v>
      </c>
      <c r="J199" t="s">
        <v>52</v>
      </c>
      <c r="K199" t="s">
        <v>35</v>
      </c>
      <c r="L199" s="6">
        <v>0</v>
      </c>
      <c r="M199" s="6">
        <v>200</v>
      </c>
      <c r="N199" s="6">
        <v>200</v>
      </c>
      <c r="O199" s="6">
        <v>79134.289999999994</v>
      </c>
      <c r="P199" s="7">
        <v>0</v>
      </c>
      <c r="Q199" s="6">
        <v>0</v>
      </c>
    </row>
    <row r="200" spans="1:17">
      <c r="A200">
        <v>199</v>
      </c>
      <c r="B200" s="5">
        <v>45722</v>
      </c>
      <c r="C200" t="s">
        <v>172</v>
      </c>
      <c r="D200" t="s">
        <v>173</v>
      </c>
      <c r="E200" t="s">
        <v>174</v>
      </c>
      <c r="F200">
        <v>2</v>
      </c>
      <c r="G200" t="s">
        <v>233</v>
      </c>
      <c r="H200" t="s">
        <v>162</v>
      </c>
      <c r="I200" t="s">
        <v>16</v>
      </c>
      <c r="J200" t="s">
        <v>52</v>
      </c>
      <c r="K200" t="s">
        <v>35</v>
      </c>
      <c r="L200" s="6">
        <v>0</v>
      </c>
      <c r="M200" s="6">
        <v>5000</v>
      </c>
      <c r="N200" s="6">
        <v>5000</v>
      </c>
      <c r="O200" s="6">
        <v>84134.29</v>
      </c>
      <c r="P200" s="7">
        <v>0</v>
      </c>
      <c r="Q200" s="6">
        <v>0</v>
      </c>
    </row>
    <row r="201" spans="1:17">
      <c r="A201">
        <v>200</v>
      </c>
      <c r="B201" s="5">
        <v>45722</v>
      </c>
      <c r="C201" t="s">
        <v>172</v>
      </c>
      <c r="D201" t="s">
        <v>173</v>
      </c>
      <c r="E201" t="s">
        <v>174</v>
      </c>
      <c r="F201">
        <v>2</v>
      </c>
      <c r="G201" t="s">
        <v>234</v>
      </c>
      <c r="H201" t="s">
        <v>66</v>
      </c>
      <c r="I201" t="s">
        <v>22</v>
      </c>
      <c r="J201" t="s">
        <v>67</v>
      </c>
      <c r="K201" t="s">
        <v>34</v>
      </c>
      <c r="L201" s="6">
        <v>70</v>
      </c>
      <c r="M201" s="6">
        <v>0</v>
      </c>
      <c r="N201" s="6">
        <v>-70</v>
      </c>
      <c r="O201" s="6">
        <v>84064.29</v>
      </c>
      <c r="P201" s="7">
        <v>0</v>
      </c>
      <c r="Q201" s="6">
        <v>0</v>
      </c>
    </row>
    <row r="202" spans="1:17">
      <c r="A202">
        <v>201</v>
      </c>
      <c r="B202" s="5">
        <v>45722</v>
      </c>
      <c r="C202" t="s">
        <v>172</v>
      </c>
      <c r="D202" t="s">
        <v>173</v>
      </c>
      <c r="E202" t="s">
        <v>174</v>
      </c>
      <c r="F202">
        <v>2</v>
      </c>
      <c r="G202" t="s">
        <v>235</v>
      </c>
      <c r="H202" t="s">
        <v>66</v>
      </c>
      <c r="I202" t="s">
        <v>22</v>
      </c>
      <c r="J202" t="s">
        <v>67</v>
      </c>
      <c r="K202" t="s">
        <v>34</v>
      </c>
      <c r="L202" s="6">
        <v>150</v>
      </c>
      <c r="M202" s="6">
        <v>0</v>
      </c>
      <c r="N202" s="6">
        <v>-150</v>
      </c>
      <c r="O202" s="6">
        <v>83914.29</v>
      </c>
      <c r="P202" s="7">
        <v>0</v>
      </c>
      <c r="Q202" s="6">
        <v>0</v>
      </c>
    </row>
    <row r="203" spans="1:17">
      <c r="A203">
        <v>202</v>
      </c>
      <c r="B203" s="5">
        <v>45722</v>
      </c>
      <c r="C203" t="s">
        <v>172</v>
      </c>
      <c r="D203" t="s">
        <v>173</v>
      </c>
      <c r="E203" t="s">
        <v>174</v>
      </c>
      <c r="F203">
        <v>2</v>
      </c>
      <c r="G203" t="s">
        <v>236</v>
      </c>
      <c r="H203" t="s">
        <v>66</v>
      </c>
      <c r="I203" t="s">
        <v>22</v>
      </c>
      <c r="J203" t="s">
        <v>67</v>
      </c>
      <c r="K203" t="s">
        <v>34</v>
      </c>
      <c r="L203" s="6">
        <v>500</v>
      </c>
      <c r="M203" s="6">
        <v>0</v>
      </c>
      <c r="N203" s="6">
        <v>-500</v>
      </c>
      <c r="O203" s="6">
        <v>83414.289999999994</v>
      </c>
      <c r="P203" s="7">
        <v>0</v>
      </c>
      <c r="Q203" s="6">
        <v>0</v>
      </c>
    </row>
    <row r="204" spans="1:17">
      <c r="A204">
        <v>203</v>
      </c>
      <c r="B204" s="5">
        <v>45722</v>
      </c>
      <c r="C204" t="s">
        <v>172</v>
      </c>
      <c r="D204" t="s">
        <v>173</v>
      </c>
      <c r="E204" t="s">
        <v>174</v>
      </c>
      <c r="F204">
        <v>2</v>
      </c>
      <c r="G204" t="s">
        <v>237</v>
      </c>
      <c r="H204" t="s">
        <v>66</v>
      </c>
      <c r="I204" t="s">
        <v>22</v>
      </c>
      <c r="J204" t="s">
        <v>67</v>
      </c>
      <c r="K204" t="s">
        <v>34</v>
      </c>
      <c r="L204" s="6">
        <v>735.41</v>
      </c>
      <c r="M204" s="6">
        <v>0</v>
      </c>
      <c r="N204" s="6">
        <v>-735.41</v>
      </c>
      <c r="O204" s="6">
        <v>82678.880000000005</v>
      </c>
      <c r="P204" s="7">
        <v>0</v>
      </c>
      <c r="Q204" s="6">
        <v>0</v>
      </c>
    </row>
    <row r="205" spans="1:17">
      <c r="A205">
        <v>204</v>
      </c>
      <c r="B205" s="5">
        <v>45723</v>
      </c>
      <c r="C205" t="s">
        <v>172</v>
      </c>
      <c r="D205" t="s">
        <v>173</v>
      </c>
      <c r="E205" t="s">
        <v>174</v>
      </c>
      <c r="F205">
        <v>2</v>
      </c>
      <c r="G205" t="s">
        <v>194</v>
      </c>
      <c r="H205" t="s">
        <v>195</v>
      </c>
      <c r="I205" t="s">
        <v>16</v>
      </c>
      <c r="J205" t="s">
        <v>52</v>
      </c>
      <c r="K205" t="s">
        <v>35</v>
      </c>
      <c r="L205" s="6">
        <v>0</v>
      </c>
      <c r="M205" s="6">
        <v>650</v>
      </c>
      <c r="N205" s="6">
        <v>650</v>
      </c>
      <c r="O205" s="6">
        <v>83328.88</v>
      </c>
      <c r="P205" s="7">
        <v>0</v>
      </c>
      <c r="Q205" s="6">
        <v>0</v>
      </c>
    </row>
    <row r="206" spans="1:17">
      <c r="A206">
        <v>205</v>
      </c>
      <c r="B206" s="5">
        <v>45723</v>
      </c>
      <c r="C206" t="s">
        <v>172</v>
      </c>
      <c r="D206" t="s">
        <v>173</v>
      </c>
      <c r="E206" t="s">
        <v>174</v>
      </c>
      <c r="F206">
        <v>2</v>
      </c>
      <c r="G206" t="s">
        <v>175</v>
      </c>
      <c r="H206" t="s">
        <v>176</v>
      </c>
      <c r="I206" t="s">
        <v>16</v>
      </c>
      <c r="J206" t="s">
        <v>52</v>
      </c>
      <c r="K206" t="s">
        <v>35</v>
      </c>
      <c r="L206" s="6">
        <v>0</v>
      </c>
      <c r="M206" s="6">
        <v>4000</v>
      </c>
      <c r="N206" s="6">
        <v>4000</v>
      </c>
      <c r="O206" s="6">
        <v>87328.88</v>
      </c>
      <c r="P206" s="7">
        <v>0</v>
      </c>
      <c r="Q206" s="6">
        <v>0</v>
      </c>
    </row>
    <row r="207" spans="1:17">
      <c r="A207">
        <v>206</v>
      </c>
      <c r="B207" s="5">
        <v>45723</v>
      </c>
      <c r="C207" t="s">
        <v>172</v>
      </c>
      <c r="D207" t="s">
        <v>173</v>
      </c>
      <c r="E207" t="s">
        <v>174</v>
      </c>
      <c r="F207">
        <v>2</v>
      </c>
      <c r="G207" t="s">
        <v>194</v>
      </c>
      <c r="H207" t="s">
        <v>195</v>
      </c>
      <c r="I207" t="s">
        <v>16</v>
      </c>
      <c r="J207" t="s">
        <v>52</v>
      </c>
      <c r="K207" t="s">
        <v>35</v>
      </c>
      <c r="L207" s="6">
        <v>0</v>
      </c>
      <c r="M207" s="6">
        <v>350</v>
      </c>
      <c r="N207" s="6">
        <v>350</v>
      </c>
      <c r="O207" s="6">
        <v>87678.88</v>
      </c>
      <c r="P207" s="7">
        <v>0</v>
      </c>
      <c r="Q207" s="6">
        <v>0</v>
      </c>
    </row>
    <row r="208" spans="1:17">
      <c r="A208">
        <v>207</v>
      </c>
      <c r="B208" s="5">
        <v>45723</v>
      </c>
      <c r="C208" t="s">
        <v>172</v>
      </c>
      <c r="D208" t="s">
        <v>173</v>
      </c>
      <c r="E208" t="s">
        <v>174</v>
      </c>
      <c r="F208">
        <v>2</v>
      </c>
      <c r="G208" t="s">
        <v>227</v>
      </c>
      <c r="H208" t="s">
        <v>228</v>
      </c>
      <c r="I208" t="s">
        <v>16</v>
      </c>
      <c r="J208" t="s">
        <v>52</v>
      </c>
      <c r="K208" t="s">
        <v>35</v>
      </c>
      <c r="L208" s="6">
        <v>0</v>
      </c>
      <c r="M208" s="6">
        <v>4000</v>
      </c>
      <c r="N208" s="6">
        <v>4000</v>
      </c>
      <c r="O208" s="6">
        <v>91678.88</v>
      </c>
      <c r="P208" s="7">
        <v>0</v>
      </c>
      <c r="Q208" s="6">
        <v>0</v>
      </c>
    </row>
    <row r="209" spans="1:17">
      <c r="A209">
        <v>208</v>
      </c>
      <c r="B209" s="5">
        <v>45723</v>
      </c>
      <c r="C209" t="s">
        <v>172</v>
      </c>
      <c r="D209" t="s">
        <v>173</v>
      </c>
      <c r="E209" t="s">
        <v>174</v>
      </c>
      <c r="F209">
        <v>2</v>
      </c>
      <c r="G209" t="s">
        <v>238</v>
      </c>
      <c r="H209" t="s">
        <v>66</v>
      </c>
      <c r="I209" t="s">
        <v>22</v>
      </c>
      <c r="J209" t="s">
        <v>67</v>
      </c>
      <c r="K209" t="s">
        <v>34</v>
      </c>
      <c r="L209" s="6">
        <v>600</v>
      </c>
      <c r="M209" s="6">
        <v>0</v>
      </c>
      <c r="N209" s="6">
        <v>-600</v>
      </c>
      <c r="O209" s="6">
        <v>91078.88</v>
      </c>
      <c r="P209" s="7">
        <v>0</v>
      </c>
      <c r="Q209" s="6">
        <v>0</v>
      </c>
    </row>
    <row r="210" spans="1:17">
      <c r="A210">
        <v>209</v>
      </c>
      <c r="B210" s="5">
        <v>45723</v>
      </c>
      <c r="C210" t="s">
        <v>172</v>
      </c>
      <c r="D210" t="s">
        <v>173</v>
      </c>
      <c r="E210" t="s">
        <v>174</v>
      </c>
      <c r="F210">
        <v>2</v>
      </c>
      <c r="G210" t="s">
        <v>239</v>
      </c>
      <c r="H210" t="s">
        <v>66</v>
      </c>
      <c r="I210" t="s">
        <v>22</v>
      </c>
      <c r="J210" t="s">
        <v>67</v>
      </c>
      <c r="K210" t="s">
        <v>34</v>
      </c>
      <c r="L210" s="6">
        <v>2500</v>
      </c>
      <c r="M210" s="6">
        <v>0</v>
      </c>
      <c r="N210" s="6">
        <v>-2500</v>
      </c>
      <c r="O210" s="6">
        <v>88578.880000000005</v>
      </c>
      <c r="P210" s="7">
        <v>0</v>
      </c>
      <c r="Q210" s="6">
        <v>0</v>
      </c>
    </row>
    <row r="211" spans="1:17">
      <c r="A211">
        <v>210</v>
      </c>
      <c r="B211" s="5">
        <v>45723</v>
      </c>
      <c r="C211" t="s">
        <v>172</v>
      </c>
      <c r="D211" t="s">
        <v>173</v>
      </c>
      <c r="E211" t="s">
        <v>174</v>
      </c>
      <c r="F211">
        <v>3</v>
      </c>
      <c r="G211" t="s">
        <v>201</v>
      </c>
      <c r="H211" t="s">
        <v>100</v>
      </c>
      <c r="I211" t="s">
        <v>16</v>
      </c>
      <c r="J211" t="s">
        <v>52</v>
      </c>
      <c r="K211" t="s">
        <v>35</v>
      </c>
      <c r="L211" s="6">
        <v>0</v>
      </c>
      <c r="M211" s="6">
        <v>1200</v>
      </c>
      <c r="N211" s="6">
        <v>1200</v>
      </c>
      <c r="O211" s="6">
        <v>89778.880000000005</v>
      </c>
      <c r="P211" s="7">
        <v>0</v>
      </c>
      <c r="Q211" s="6">
        <v>0</v>
      </c>
    </row>
    <row r="212" spans="1:17">
      <c r="A212">
        <v>211</v>
      </c>
      <c r="B212" s="5">
        <v>45723</v>
      </c>
      <c r="C212" t="s">
        <v>172</v>
      </c>
      <c r="D212" t="s">
        <v>173</v>
      </c>
      <c r="E212" t="s">
        <v>174</v>
      </c>
      <c r="F212">
        <v>3</v>
      </c>
      <c r="G212" t="s">
        <v>240</v>
      </c>
      <c r="H212" t="s">
        <v>241</v>
      </c>
      <c r="I212" t="s">
        <v>16</v>
      </c>
      <c r="J212" t="s">
        <v>52</v>
      </c>
      <c r="K212" t="s">
        <v>35</v>
      </c>
      <c r="L212" s="6">
        <v>0</v>
      </c>
      <c r="M212" s="6">
        <v>5000</v>
      </c>
      <c r="N212" s="6">
        <v>5000</v>
      </c>
      <c r="O212" s="6">
        <v>94778.880000000005</v>
      </c>
      <c r="P212" s="7">
        <v>0</v>
      </c>
      <c r="Q212" s="6">
        <v>0</v>
      </c>
    </row>
    <row r="213" spans="1:17">
      <c r="A213">
        <v>212</v>
      </c>
      <c r="B213" s="5">
        <v>45723</v>
      </c>
      <c r="C213" t="s">
        <v>172</v>
      </c>
      <c r="D213" t="s">
        <v>173</v>
      </c>
      <c r="E213" t="s">
        <v>174</v>
      </c>
      <c r="F213">
        <v>3</v>
      </c>
      <c r="G213" t="s">
        <v>242</v>
      </c>
      <c r="H213" t="s">
        <v>243</v>
      </c>
      <c r="I213" t="s">
        <v>16</v>
      </c>
      <c r="J213" t="s">
        <v>52</v>
      </c>
      <c r="K213" t="s">
        <v>35</v>
      </c>
      <c r="L213" s="6">
        <v>0</v>
      </c>
      <c r="M213" s="6">
        <v>500</v>
      </c>
      <c r="N213" s="6">
        <v>500</v>
      </c>
      <c r="O213" s="6">
        <v>95278.88</v>
      </c>
      <c r="P213" s="7">
        <v>0</v>
      </c>
      <c r="Q213" s="6">
        <v>0</v>
      </c>
    </row>
    <row r="214" spans="1:17">
      <c r="A214">
        <v>213</v>
      </c>
      <c r="B214" s="5">
        <v>45723</v>
      </c>
      <c r="C214" t="s">
        <v>172</v>
      </c>
      <c r="D214" t="s">
        <v>173</v>
      </c>
      <c r="E214" t="s">
        <v>174</v>
      </c>
      <c r="F214">
        <v>3</v>
      </c>
      <c r="G214" t="s">
        <v>244</v>
      </c>
      <c r="I214" t="s">
        <v>17</v>
      </c>
      <c r="J214" t="s">
        <v>64</v>
      </c>
      <c r="K214" t="s">
        <v>34</v>
      </c>
      <c r="L214" s="6">
        <v>10000</v>
      </c>
      <c r="M214" s="6">
        <v>0</v>
      </c>
      <c r="N214" s="6">
        <v>-10000</v>
      </c>
      <c r="O214" s="6">
        <v>85278.88</v>
      </c>
      <c r="P214" s="7">
        <v>0</v>
      </c>
      <c r="Q214" s="6">
        <v>0</v>
      </c>
    </row>
    <row r="215" spans="1:17">
      <c r="A215">
        <v>214</v>
      </c>
      <c r="B215" s="5">
        <v>45723</v>
      </c>
      <c r="C215" t="s">
        <v>172</v>
      </c>
      <c r="D215" t="s">
        <v>173</v>
      </c>
      <c r="E215" t="s">
        <v>174</v>
      </c>
      <c r="F215">
        <v>3</v>
      </c>
      <c r="G215" t="s">
        <v>201</v>
      </c>
      <c r="H215" t="s">
        <v>100</v>
      </c>
      <c r="I215" t="s">
        <v>16</v>
      </c>
      <c r="J215" t="s">
        <v>52</v>
      </c>
      <c r="K215" t="s">
        <v>35</v>
      </c>
      <c r="L215" s="6">
        <v>0</v>
      </c>
      <c r="M215" s="6">
        <v>1000</v>
      </c>
      <c r="N215" s="6">
        <v>1000</v>
      </c>
      <c r="O215" s="6">
        <v>86278.88</v>
      </c>
      <c r="P215" s="7">
        <v>0</v>
      </c>
      <c r="Q215" s="6">
        <v>0</v>
      </c>
    </row>
    <row r="216" spans="1:17">
      <c r="A216">
        <v>215</v>
      </c>
      <c r="B216" s="5">
        <v>45723</v>
      </c>
      <c r="C216" t="s">
        <v>172</v>
      </c>
      <c r="D216" t="s">
        <v>173</v>
      </c>
      <c r="E216" t="s">
        <v>174</v>
      </c>
      <c r="F216">
        <v>3</v>
      </c>
      <c r="G216" t="s">
        <v>193</v>
      </c>
      <c r="H216" t="s">
        <v>70</v>
      </c>
      <c r="I216" t="s">
        <v>16</v>
      </c>
      <c r="J216" t="s">
        <v>52</v>
      </c>
      <c r="K216" t="s">
        <v>35</v>
      </c>
      <c r="L216" s="6">
        <v>0</v>
      </c>
      <c r="M216" s="6">
        <v>6000</v>
      </c>
      <c r="N216" s="6">
        <v>6000</v>
      </c>
      <c r="O216" s="6">
        <v>92278.88</v>
      </c>
      <c r="P216" s="7">
        <v>0</v>
      </c>
      <c r="Q216" s="6">
        <v>0</v>
      </c>
    </row>
    <row r="217" spans="1:17">
      <c r="A217">
        <v>216</v>
      </c>
      <c r="B217" s="5">
        <v>45723</v>
      </c>
      <c r="C217" t="s">
        <v>172</v>
      </c>
      <c r="D217" t="s">
        <v>173</v>
      </c>
      <c r="E217" t="s">
        <v>174</v>
      </c>
      <c r="F217">
        <v>3</v>
      </c>
      <c r="G217" t="s">
        <v>245</v>
      </c>
      <c r="H217" t="s">
        <v>246</v>
      </c>
      <c r="I217" t="s">
        <v>16</v>
      </c>
      <c r="J217" t="s">
        <v>52</v>
      </c>
      <c r="K217" t="s">
        <v>35</v>
      </c>
      <c r="L217" s="6">
        <v>0</v>
      </c>
      <c r="M217" s="6">
        <v>3000</v>
      </c>
      <c r="N217" s="6">
        <v>3000</v>
      </c>
      <c r="O217" s="6">
        <v>95278.88</v>
      </c>
      <c r="P217" s="7">
        <v>0</v>
      </c>
      <c r="Q217" s="6">
        <v>0</v>
      </c>
    </row>
    <row r="218" spans="1:17">
      <c r="A218">
        <v>217</v>
      </c>
      <c r="B218" s="5">
        <v>45723</v>
      </c>
      <c r="C218" t="s">
        <v>172</v>
      </c>
      <c r="D218" t="s">
        <v>173</v>
      </c>
      <c r="E218" t="s">
        <v>174</v>
      </c>
      <c r="F218">
        <v>3</v>
      </c>
      <c r="G218" t="s">
        <v>247</v>
      </c>
      <c r="H218" t="s">
        <v>248</v>
      </c>
      <c r="I218" t="s">
        <v>16</v>
      </c>
      <c r="J218" t="s">
        <v>52</v>
      </c>
      <c r="K218" t="s">
        <v>35</v>
      </c>
      <c r="L218" s="6">
        <v>0</v>
      </c>
      <c r="M218" s="6">
        <v>2000</v>
      </c>
      <c r="N218" s="6">
        <v>2000</v>
      </c>
      <c r="O218" s="6">
        <v>97278.88</v>
      </c>
      <c r="P218" s="7">
        <v>0</v>
      </c>
      <c r="Q218" s="6">
        <v>0</v>
      </c>
    </row>
    <row r="219" spans="1:17">
      <c r="A219">
        <v>218</v>
      </c>
      <c r="B219" s="5">
        <v>45723</v>
      </c>
      <c r="C219" t="s">
        <v>172</v>
      </c>
      <c r="D219" t="s">
        <v>173</v>
      </c>
      <c r="E219" t="s">
        <v>174</v>
      </c>
      <c r="F219">
        <v>3</v>
      </c>
      <c r="G219" t="s">
        <v>249</v>
      </c>
      <c r="H219" t="s">
        <v>250</v>
      </c>
      <c r="I219" t="s">
        <v>16</v>
      </c>
      <c r="J219" t="s">
        <v>52</v>
      </c>
      <c r="K219" t="s">
        <v>35</v>
      </c>
      <c r="L219" s="6">
        <v>0</v>
      </c>
      <c r="M219" s="6">
        <v>3000</v>
      </c>
      <c r="N219" s="6">
        <v>3000</v>
      </c>
      <c r="O219" s="6">
        <v>100278.88</v>
      </c>
      <c r="P219" s="7">
        <v>0</v>
      </c>
      <c r="Q219" s="6">
        <v>0</v>
      </c>
    </row>
    <row r="220" spans="1:17">
      <c r="A220">
        <v>219</v>
      </c>
      <c r="B220" s="5">
        <v>45723</v>
      </c>
      <c r="C220" t="s">
        <v>172</v>
      </c>
      <c r="D220" t="s">
        <v>173</v>
      </c>
      <c r="E220" t="s">
        <v>174</v>
      </c>
      <c r="F220">
        <v>3</v>
      </c>
      <c r="G220" t="s">
        <v>251</v>
      </c>
      <c r="H220" t="s">
        <v>252</v>
      </c>
      <c r="I220" t="s">
        <v>16</v>
      </c>
      <c r="J220" t="s">
        <v>52</v>
      </c>
      <c r="K220" t="s">
        <v>35</v>
      </c>
      <c r="L220" s="6">
        <v>0</v>
      </c>
      <c r="M220" s="6">
        <v>100</v>
      </c>
      <c r="N220" s="6">
        <v>100</v>
      </c>
      <c r="O220" s="6">
        <v>100378.88</v>
      </c>
      <c r="P220" s="7">
        <v>0</v>
      </c>
      <c r="Q220" s="6">
        <v>0</v>
      </c>
    </row>
    <row r="221" spans="1:17">
      <c r="A221">
        <v>220</v>
      </c>
      <c r="B221" s="5">
        <v>45723</v>
      </c>
      <c r="C221" t="s">
        <v>172</v>
      </c>
      <c r="D221" t="s">
        <v>173</v>
      </c>
      <c r="E221" t="s">
        <v>174</v>
      </c>
      <c r="F221">
        <v>3</v>
      </c>
      <c r="G221" t="s">
        <v>253</v>
      </c>
      <c r="H221" t="s">
        <v>72</v>
      </c>
      <c r="I221" t="s">
        <v>16</v>
      </c>
      <c r="J221" t="s">
        <v>52</v>
      </c>
      <c r="K221" t="s">
        <v>35</v>
      </c>
      <c r="L221" s="6">
        <v>0</v>
      </c>
      <c r="M221" s="6">
        <v>2000</v>
      </c>
      <c r="N221" s="6">
        <v>2000</v>
      </c>
      <c r="O221" s="6">
        <v>102378.88</v>
      </c>
      <c r="P221" s="7">
        <v>0</v>
      </c>
      <c r="Q221" s="6">
        <v>0</v>
      </c>
    </row>
    <row r="222" spans="1:17">
      <c r="A222">
        <v>221</v>
      </c>
      <c r="B222" s="5">
        <v>45723</v>
      </c>
      <c r="C222" t="s">
        <v>172</v>
      </c>
      <c r="D222" t="s">
        <v>173</v>
      </c>
      <c r="E222" t="s">
        <v>174</v>
      </c>
      <c r="F222">
        <v>3</v>
      </c>
      <c r="G222" t="s">
        <v>254</v>
      </c>
      <c r="H222" t="s">
        <v>255</v>
      </c>
      <c r="I222" t="s">
        <v>16</v>
      </c>
      <c r="J222" t="s">
        <v>52</v>
      </c>
      <c r="K222" t="s">
        <v>35</v>
      </c>
      <c r="L222" s="6">
        <v>0</v>
      </c>
      <c r="M222" s="6">
        <v>150</v>
      </c>
      <c r="N222" s="6">
        <v>150</v>
      </c>
      <c r="O222" s="6">
        <v>102528.88</v>
      </c>
      <c r="P222" s="7">
        <v>0</v>
      </c>
      <c r="Q222" s="6">
        <v>0</v>
      </c>
    </row>
    <row r="223" spans="1:17">
      <c r="A223">
        <v>222</v>
      </c>
      <c r="B223" s="5">
        <v>45723</v>
      </c>
      <c r="C223" t="s">
        <v>172</v>
      </c>
      <c r="D223" t="s">
        <v>173</v>
      </c>
      <c r="E223" t="s">
        <v>174</v>
      </c>
      <c r="F223">
        <v>3</v>
      </c>
      <c r="G223" t="s">
        <v>247</v>
      </c>
      <c r="H223" t="s">
        <v>248</v>
      </c>
      <c r="I223" t="s">
        <v>16</v>
      </c>
      <c r="J223" t="s">
        <v>52</v>
      </c>
      <c r="K223" t="s">
        <v>35</v>
      </c>
      <c r="L223" s="6">
        <v>0</v>
      </c>
      <c r="M223" s="6">
        <v>1000</v>
      </c>
      <c r="N223" s="6">
        <v>1000</v>
      </c>
      <c r="O223" s="6">
        <v>103528.88</v>
      </c>
      <c r="P223" s="7">
        <v>0</v>
      </c>
      <c r="Q223" s="6">
        <v>0</v>
      </c>
    </row>
    <row r="224" spans="1:17">
      <c r="A224">
        <v>223</v>
      </c>
      <c r="B224" s="5">
        <v>45723</v>
      </c>
      <c r="C224" t="s">
        <v>172</v>
      </c>
      <c r="D224" t="s">
        <v>173</v>
      </c>
      <c r="E224" t="s">
        <v>174</v>
      </c>
      <c r="F224">
        <v>3</v>
      </c>
      <c r="G224" t="s">
        <v>256</v>
      </c>
      <c r="H224" t="s">
        <v>257</v>
      </c>
      <c r="I224" t="s">
        <v>16</v>
      </c>
      <c r="J224" t="s">
        <v>52</v>
      </c>
      <c r="K224" t="s">
        <v>35</v>
      </c>
      <c r="L224" s="6">
        <v>0</v>
      </c>
      <c r="M224" s="6">
        <v>225</v>
      </c>
      <c r="N224" s="6">
        <v>225</v>
      </c>
      <c r="O224" s="6">
        <v>103753.88</v>
      </c>
      <c r="P224" s="7">
        <v>0</v>
      </c>
      <c r="Q224" s="6">
        <v>0</v>
      </c>
    </row>
    <row r="225" spans="1:17">
      <c r="A225">
        <v>224</v>
      </c>
      <c r="B225" s="5">
        <v>45723</v>
      </c>
      <c r="C225" t="s">
        <v>172</v>
      </c>
      <c r="D225" t="s">
        <v>173</v>
      </c>
      <c r="E225" t="s">
        <v>174</v>
      </c>
      <c r="F225">
        <v>3</v>
      </c>
      <c r="G225" t="s">
        <v>258</v>
      </c>
      <c r="H225" t="s">
        <v>259</v>
      </c>
      <c r="I225" t="s">
        <v>16</v>
      </c>
      <c r="J225" t="s">
        <v>52</v>
      </c>
      <c r="K225" t="s">
        <v>35</v>
      </c>
      <c r="L225" s="6">
        <v>0</v>
      </c>
      <c r="M225" s="6">
        <v>400</v>
      </c>
      <c r="N225" s="6">
        <v>400</v>
      </c>
      <c r="O225" s="6">
        <v>104153.88</v>
      </c>
      <c r="P225" s="7">
        <v>0</v>
      </c>
      <c r="Q225" s="6">
        <v>0</v>
      </c>
    </row>
    <row r="226" spans="1:17">
      <c r="A226">
        <v>225</v>
      </c>
      <c r="B226" s="5">
        <v>45723</v>
      </c>
      <c r="C226" t="s">
        <v>172</v>
      </c>
      <c r="D226" t="s">
        <v>173</v>
      </c>
      <c r="E226" t="s">
        <v>174</v>
      </c>
      <c r="F226">
        <v>3</v>
      </c>
      <c r="G226" t="s">
        <v>260</v>
      </c>
      <c r="I226" t="s">
        <v>17</v>
      </c>
      <c r="J226" t="s">
        <v>64</v>
      </c>
      <c r="K226" t="s">
        <v>34</v>
      </c>
      <c r="L226" s="6">
        <v>3000</v>
      </c>
      <c r="M226" s="6">
        <v>0</v>
      </c>
      <c r="N226" s="6">
        <v>-3000</v>
      </c>
      <c r="O226" s="6">
        <v>101153.88</v>
      </c>
      <c r="P226" s="7">
        <v>0</v>
      </c>
      <c r="Q226" s="6">
        <v>0</v>
      </c>
    </row>
    <row r="227" spans="1:17">
      <c r="A227">
        <v>226</v>
      </c>
      <c r="B227" s="5">
        <v>45723</v>
      </c>
      <c r="C227" t="s">
        <v>172</v>
      </c>
      <c r="D227" t="s">
        <v>173</v>
      </c>
      <c r="E227" t="s">
        <v>174</v>
      </c>
      <c r="F227">
        <v>3</v>
      </c>
      <c r="G227" t="s">
        <v>261</v>
      </c>
      <c r="H227" t="s">
        <v>66</v>
      </c>
      <c r="I227" t="s">
        <v>22</v>
      </c>
      <c r="J227" t="s">
        <v>67</v>
      </c>
      <c r="K227" t="s">
        <v>34</v>
      </c>
      <c r="L227" s="6">
        <v>531</v>
      </c>
      <c r="M227" s="6">
        <v>0</v>
      </c>
      <c r="N227" s="6">
        <v>-531</v>
      </c>
      <c r="O227" s="6">
        <v>100622.88</v>
      </c>
      <c r="P227" s="7">
        <v>0</v>
      </c>
      <c r="Q227" s="6">
        <v>0</v>
      </c>
    </row>
    <row r="228" spans="1:17">
      <c r="A228">
        <v>227</v>
      </c>
      <c r="B228" s="5">
        <v>45723</v>
      </c>
      <c r="C228" t="s">
        <v>172</v>
      </c>
      <c r="D228" t="s">
        <v>173</v>
      </c>
      <c r="E228" t="s">
        <v>174</v>
      </c>
      <c r="F228">
        <v>3</v>
      </c>
      <c r="G228" t="s">
        <v>262</v>
      </c>
      <c r="H228" t="s">
        <v>66</v>
      </c>
      <c r="I228" t="s">
        <v>22</v>
      </c>
      <c r="J228" t="s">
        <v>67</v>
      </c>
      <c r="K228" t="s">
        <v>34</v>
      </c>
      <c r="L228" s="6">
        <v>10844</v>
      </c>
      <c r="M228" s="6">
        <v>0</v>
      </c>
      <c r="N228" s="6">
        <v>-10844</v>
      </c>
      <c r="O228" s="6">
        <v>89778.880000000005</v>
      </c>
      <c r="P228" s="7">
        <v>0</v>
      </c>
      <c r="Q228" s="6">
        <v>0</v>
      </c>
    </row>
    <row r="229" spans="1:17">
      <c r="A229">
        <v>228</v>
      </c>
      <c r="B229" s="5">
        <v>45723</v>
      </c>
      <c r="C229" t="s">
        <v>172</v>
      </c>
      <c r="D229" t="s">
        <v>173</v>
      </c>
      <c r="E229" t="s">
        <v>174</v>
      </c>
      <c r="F229">
        <v>3</v>
      </c>
      <c r="G229" t="s">
        <v>263</v>
      </c>
      <c r="H229" t="s">
        <v>66</v>
      </c>
      <c r="I229" t="s">
        <v>22</v>
      </c>
      <c r="J229" t="s">
        <v>67</v>
      </c>
      <c r="K229" t="s">
        <v>34</v>
      </c>
      <c r="L229" s="6">
        <v>17304.32</v>
      </c>
      <c r="M229" s="6">
        <v>0</v>
      </c>
      <c r="N229" s="6">
        <v>-17304.32</v>
      </c>
      <c r="O229" s="6">
        <v>72474.559999999998</v>
      </c>
      <c r="P229" s="7">
        <v>0</v>
      </c>
      <c r="Q229" s="6">
        <v>0</v>
      </c>
    </row>
    <row r="230" spans="1:17">
      <c r="A230">
        <v>229</v>
      </c>
      <c r="B230" s="5">
        <v>45723</v>
      </c>
      <c r="C230" t="s">
        <v>172</v>
      </c>
      <c r="D230" t="s">
        <v>173</v>
      </c>
      <c r="E230" t="s">
        <v>174</v>
      </c>
      <c r="F230">
        <v>3</v>
      </c>
      <c r="G230" t="s">
        <v>199</v>
      </c>
      <c r="H230" t="s">
        <v>200</v>
      </c>
      <c r="I230" t="s">
        <v>16</v>
      </c>
      <c r="J230" t="s">
        <v>52</v>
      </c>
      <c r="K230" t="s">
        <v>35</v>
      </c>
      <c r="L230" s="6">
        <v>0</v>
      </c>
      <c r="M230" s="6">
        <v>1500</v>
      </c>
      <c r="N230" s="6">
        <v>1500</v>
      </c>
      <c r="O230" s="6">
        <v>73974.559999999998</v>
      </c>
      <c r="P230" s="7">
        <v>0</v>
      </c>
      <c r="Q230" s="6">
        <v>0</v>
      </c>
    </row>
    <row r="231" spans="1:17">
      <c r="A231">
        <v>230</v>
      </c>
      <c r="B231" s="5">
        <v>45723</v>
      </c>
      <c r="C231" t="s">
        <v>172</v>
      </c>
      <c r="D231" t="s">
        <v>173</v>
      </c>
      <c r="E231" t="s">
        <v>174</v>
      </c>
      <c r="F231">
        <v>3</v>
      </c>
      <c r="G231" t="s">
        <v>264</v>
      </c>
      <c r="H231" t="s">
        <v>265</v>
      </c>
      <c r="I231" t="s">
        <v>16</v>
      </c>
      <c r="J231" t="s">
        <v>52</v>
      </c>
      <c r="K231" t="s">
        <v>35</v>
      </c>
      <c r="L231" s="6">
        <v>0</v>
      </c>
      <c r="M231" s="6">
        <v>500</v>
      </c>
      <c r="N231" s="6">
        <v>500</v>
      </c>
      <c r="O231" s="6">
        <v>74474.559999999998</v>
      </c>
      <c r="P231" s="7">
        <v>0</v>
      </c>
      <c r="Q231" s="6">
        <v>0</v>
      </c>
    </row>
    <row r="232" spans="1:17">
      <c r="A232">
        <v>231</v>
      </c>
      <c r="B232" s="5">
        <v>45723</v>
      </c>
      <c r="C232" t="s">
        <v>172</v>
      </c>
      <c r="D232" t="s">
        <v>173</v>
      </c>
      <c r="E232" t="s">
        <v>174</v>
      </c>
      <c r="F232">
        <v>3</v>
      </c>
      <c r="G232" t="s">
        <v>266</v>
      </c>
      <c r="H232" t="s">
        <v>66</v>
      </c>
      <c r="I232" t="s">
        <v>22</v>
      </c>
      <c r="J232" t="s">
        <v>67</v>
      </c>
      <c r="K232" t="s">
        <v>34</v>
      </c>
      <c r="L232" s="6">
        <v>3171.91</v>
      </c>
      <c r="M232" s="6">
        <v>0</v>
      </c>
      <c r="N232" s="6">
        <v>-3171.91</v>
      </c>
      <c r="O232" s="6">
        <v>71302.649999999994</v>
      </c>
      <c r="P232" s="7">
        <v>0</v>
      </c>
      <c r="Q232" s="6">
        <v>0</v>
      </c>
    </row>
    <row r="233" spans="1:17">
      <c r="A233">
        <v>232</v>
      </c>
      <c r="B233" s="5">
        <v>45723</v>
      </c>
      <c r="C233" t="s">
        <v>172</v>
      </c>
      <c r="D233" t="s">
        <v>173</v>
      </c>
      <c r="E233" t="s">
        <v>174</v>
      </c>
      <c r="F233">
        <v>3</v>
      </c>
      <c r="G233" t="s">
        <v>267</v>
      </c>
      <c r="H233" t="s">
        <v>66</v>
      </c>
      <c r="I233" t="s">
        <v>22</v>
      </c>
      <c r="J233" t="s">
        <v>67</v>
      </c>
      <c r="K233" t="s">
        <v>34</v>
      </c>
      <c r="L233" s="6">
        <v>16200</v>
      </c>
      <c r="M233" s="6">
        <v>0</v>
      </c>
      <c r="N233" s="6">
        <v>-16200</v>
      </c>
      <c r="O233" s="6">
        <v>55102.65</v>
      </c>
      <c r="P233" s="7">
        <v>0</v>
      </c>
      <c r="Q233" s="6">
        <v>0</v>
      </c>
    </row>
    <row r="234" spans="1:17">
      <c r="A234">
        <v>233</v>
      </c>
      <c r="B234" s="5">
        <v>45723</v>
      </c>
      <c r="C234" t="s">
        <v>172</v>
      </c>
      <c r="D234" t="s">
        <v>173</v>
      </c>
      <c r="E234" t="s">
        <v>174</v>
      </c>
      <c r="F234">
        <v>3</v>
      </c>
      <c r="G234" t="s">
        <v>268</v>
      </c>
      <c r="H234" t="s">
        <v>66</v>
      </c>
      <c r="I234" t="s">
        <v>22</v>
      </c>
      <c r="J234" t="s">
        <v>67</v>
      </c>
      <c r="K234" t="s">
        <v>34</v>
      </c>
      <c r="L234" s="6">
        <v>5978</v>
      </c>
      <c r="M234" s="6">
        <v>0</v>
      </c>
      <c r="N234" s="6">
        <v>-5978</v>
      </c>
      <c r="O234" s="6">
        <v>49124.65</v>
      </c>
      <c r="P234" s="7">
        <v>0</v>
      </c>
      <c r="Q234" s="6">
        <v>0</v>
      </c>
    </row>
    <row r="235" spans="1:17">
      <c r="A235">
        <v>234</v>
      </c>
      <c r="B235" s="5">
        <v>45723</v>
      </c>
      <c r="C235" t="s">
        <v>172</v>
      </c>
      <c r="D235" t="s">
        <v>173</v>
      </c>
      <c r="E235" t="s">
        <v>174</v>
      </c>
      <c r="F235">
        <v>3</v>
      </c>
      <c r="G235" t="s">
        <v>269</v>
      </c>
      <c r="H235" t="s">
        <v>270</v>
      </c>
      <c r="I235" t="s">
        <v>16</v>
      </c>
      <c r="J235" t="s">
        <v>52</v>
      </c>
      <c r="K235" t="s">
        <v>35</v>
      </c>
      <c r="L235" s="6">
        <v>0</v>
      </c>
      <c r="M235" s="6">
        <v>1000</v>
      </c>
      <c r="N235" s="6">
        <v>1000</v>
      </c>
      <c r="O235" s="6">
        <v>50124.65</v>
      </c>
      <c r="P235" s="7">
        <v>0</v>
      </c>
      <c r="Q235" s="6">
        <v>0</v>
      </c>
    </row>
    <row r="236" spans="1:17">
      <c r="A236">
        <v>235</v>
      </c>
      <c r="B236" s="5">
        <v>45723</v>
      </c>
      <c r="C236" t="s">
        <v>172</v>
      </c>
      <c r="D236" t="s">
        <v>173</v>
      </c>
      <c r="E236" t="s">
        <v>174</v>
      </c>
      <c r="F236">
        <v>3</v>
      </c>
      <c r="G236" t="s">
        <v>193</v>
      </c>
      <c r="H236" t="s">
        <v>70</v>
      </c>
      <c r="I236" t="s">
        <v>16</v>
      </c>
      <c r="J236" t="s">
        <v>52</v>
      </c>
      <c r="K236" t="s">
        <v>35</v>
      </c>
      <c r="L236" s="6">
        <v>0</v>
      </c>
      <c r="M236" s="6">
        <v>1000</v>
      </c>
      <c r="N236" s="6">
        <v>1000</v>
      </c>
      <c r="O236" s="6">
        <v>51124.65</v>
      </c>
      <c r="P236" s="7">
        <v>0</v>
      </c>
      <c r="Q236" s="6">
        <v>0</v>
      </c>
    </row>
    <row r="237" spans="1:17">
      <c r="A237">
        <v>236</v>
      </c>
      <c r="B237" s="5">
        <v>45723</v>
      </c>
      <c r="C237" t="s">
        <v>172</v>
      </c>
      <c r="D237" t="s">
        <v>173</v>
      </c>
      <c r="E237" t="s">
        <v>174</v>
      </c>
      <c r="F237">
        <v>3</v>
      </c>
      <c r="G237" t="s">
        <v>271</v>
      </c>
      <c r="H237" t="s">
        <v>66</v>
      </c>
      <c r="I237" t="s">
        <v>22</v>
      </c>
      <c r="J237" t="s">
        <v>67</v>
      </c>
      <c r="K237" t="s">
        <v>34</v>
      </c>
      <c r="L237" s="6">
        <v>3352</v>
      </c>
      <c r="M237" s="6">
        <v>0</v>
      </c>
      <c r="N237" s="6">
        <v>-3352</v>
      </c>
      <c r="O237" s="6">
        <v>47772.65</v>
      </c>
      <c r="P237" s="7">
        <v>0</v>
      </c>
      <c r="Q237" s="6">
        <v>0</v>
      </c>
    </row>
    <row r="238" spans="1:17">
      <c r="A238">
        <v>237</v>
      </c>
      <c r="B238" s="5">
        <v>45723</v>
      </c>
      <c r="C238" t="s">
        <v>172</v>
      </c>
      <c r="D238" t="s">
        <v>173</v>
      </c>
      <c r="E238" t="s">
        <v>174</v>
      </c>
      <c r="F238">
        <v>3</v>
      </c>
      <c r="G238" t="s">
        <v>272</v>
      </c>
      <c r="H238" t="s">
        <v>66</v>
      </c>
      <c r="I238" t="s">
        <v>22</v>
      </c>
      <c r="J238" t="s">
        <v>67</v>
      </c>
      <c r="K238" t="s">
        <v>34</v>
      </c>
      <c r="L238" s="6">
        <v>4310</v>
      </c>
      <c r="M238" s="6">
        <v>0</v>
      </c>
      <c r="N238" s="6">
        <v>-4310</v>
      </c>
      <c r="O238" s="6">
        <v>43462.65</v>
      </c>
      <c r="P238" s="7">
        <v>0</v>
      </c>
      <c r="Q238" s="6">
        <v>0</v>
      </c>
    </row>
    <row r="239" spans="1:17">
      <c r="A239">
        <v>238</v>
      </c>
      <c r="B239" s="5">
        <v>45723</v>
      </c>
      <c r="C239" t="s">
        <v>172</v>
      </c>
      <c r="D239" t="s">
        <v>173</v>
      </c>
      <c r="E239" t="s">
        <v>174</v>
      </c>
      <c r="F239">
        <v>3</v>
      </c>
      <c r="G239" t="s">
        <v>273</v>
      </c>
      <c r="H239" t="s">
        <v>66</v>
      </c>
      <c r="I239" t="s">
        <v>22</v>
      </c>
      <c r="J239" t="s">
        <v>67</v>
      </c>
      <c r="K239" t="s">
        <v>34</v>
      </c>
      <c r="L239" s="6">
        <v>4935</v>
      </c>
      <c r="M239" s="6">
        <v>0</v>
      </c>
      <c r="N239" s="6">
        <v>-4935</v>
      </c>
      <c r="O239" s="6">
        <v>38527.65</v>
      </c>
      <c r="P239" s="7">
        <v>0</v>
      </c>
      <c r="Q239" s="6">
        <v>0</v>
      </c>
    </row>
    <row r="240" spans="1:17">
      <c r="A240">
        <v>239</v>
      </c>
      <c r="B240" s="5">
        <v>45724</v>
      </c>
      <c r="C240" t="s">
        <v>172</v>
      </c>
      <c r="D240" t="s">
        <v>173</v>
      </c>
      <c r="E240" t="s">
        <v>174</v>
      </c>
      <c r="F240">
        <v>3</v>
      </c>
      <c r="G240" t="s">
        <v>274</v>
      </c>
      <c r="H240" t="s">
        <v>275</v>
      </c>
      <c r="I240" t="s">
        <v>16</v>
      </c>
      <c r="J240" t="s">
        <v>52</v>
      </c>
      <c r="K240" t="s">
        <v>35</v>
      </c>
      <c r="L240" s="6">
        <v>0</v>
      </c>
      <c r="M240" s="6">
        <v>9137</v>
      </c>
      <c r="N240" s="6">
        <v>9137</v>
      </c>
      <c r="O240" s="6">
        <v>47664.65</v>
      </c>
      <c r="P240" s="7">
        <v>0</v>
      </c>
      <c r="Q240" s="6">
        <v>0</v>
      </c>
    </row>
    <row r="241" spans="1:17">
      <c r="A241">
        <v>240</v>
      </c>
      <c r="B241" s="5">
        <v>45726</v>
      </c>
      <c r="C241" t="s">
        <v>172</v>
      </c>
      <c r="D241" t="s">
        <v>173</v>
      </c>
      <c r="E241" t="s">
        <v>174</v>
      </c>
      <c r="F241">
        <v>3</v>
      </c>
      <c r="G241" t="s">
        <v>276</v>
      </c>
      <c r="H241" t="s">
        <v>277</v>
      </c>
      <c r="I241" t="s">
        <v>16</v>
      </c>
      <c r="J241" t="s">
        <v>52</v>
      </c>
      <c r="K241" t="s">
        <v>35</v>
      </c>
      <c r="L241" s="6">
        <v>0</v>
      </c>
      <c r="M241" s="6">
        <v>5000</v>
      </c>
      <c r="N241" s="6">
        <v>5000</v>
      </c>
      <c r="O241" s="6">
        <v>52664.65</v>
      </c>
      <c r="P241" s="7">
        <v>0</v>
      </c>
      <c r="Q241" s="6">
        <v>0</v>
      </c>
    </row>
    <row r="242" spans="1:17">
      <c r="A242">
        <v>241</v>
      </c>
      <c r="B242" s="5">
        <v>45726</v>
      </c>
      <c r="C242" t="s">
        <v>172</v>
      </c>
      <c r="D242" t="s">
        <v>173</v>
      </c>
      <c r="E242" t="s">
        <v>174</v>
      </c>
      <c r="F242">
        <v>3</v>
      </c>
      <c r="G242" t="s">
        <v>191</v>
      </c>
      <c r="H242" t="s">
        <v>102</v>
      </c>
      <c r="I242" t="s">
        <v>16</v>
      </c>
      <c r="J242" t="s">
        <v>52</v>
      </c>
      <c r="K242" t="s">
        <v>35</v>
      </c>
      <c r="L242" s="6">
        <v>0</v>
      </c>
      <c r="M242" s="6">
        <v>750</v>
      </c>
      <c r="N242" s="6">
        <v>750</v>
      </c>
      <c r="O242" s="6">
        <v>53414.65</v>
      </c>
      <c r="P242" s="7">
        <v>0</v>
      </c>
      <c r="Q242" s="6">
        <v>0</v>
      </c>
    </row>
    <row r="243" spans="1:17">
      <c r="A243">
        <v>242</v>
      </c>
      <c r="B243" s="5">
        <v>45726</v>
      </c>
      <c r="C243" t="s">
        <v>172</v>
      </c>
      <c r="D243" t="s">
        <v>173</v>
      </c>
      <c r="E243" t="s">
        <v>174</v>
      </c>
      <c r="F243">
        <v>3</v>
      </c>
      <c r="G243" t="s">
        <v>186</v>
      </c>
      <c r="H243" t="s">
        <v>187</v>
      </c>
      <c r="I243" t="s">
        <v>16</v>
      </c>
      <c r="J243" t="s">
        <v>52</v>
      </c>
      <c r="K243" t="s">
        <v>35</v>
      </c>
      <c r="L243" s="6">
        <v>0</v>
      </c>
      <c r="M243" s="6">
        <v>29999</v>
      </c>
      <c r="N243" s="6">
        <v>29999</v>
      </c>
      <c r="O243" s="6">
        <v>83413.649999999994</v>
      </c>
      <c r="P243" s="7">
        <v>0</v>
      </c>
      <c r="Q243" s="6">
        <v>0</v>
      </c>
    </row>
    <row r="244" spans="1:17">
      <c r="A244">
        <v>243</v>
      </c>
      <c r="B244" s="5">
        <v>45726</v>
      </c>
      <c r="C244" t="s">
        <v>172</v>
      </c>
      <c r="D244" t="s">
        <v>173</v>
      </c>
      <c r="E244" t="s">
        <v>174</v>
      </c>
      <c r="F244">
        <v>3</v>
      </c>
      <c r="G244" t="s">
        <v>278</v>
      </c>
      <c r="H244" t="s">
        <v>89</v>
      </c>
      <c r="I244" t="s">
        <v>16</v>
      </c>
      <c r="J244" t="s">
        <v>52</v>
      </c>
      <c r="K244" t="s">
        <v>35</v>
      </c>
      <c r="L244" s="6">
        <v>0</v>
      </c>
      <c r="M244" s="6">
        <v>250</v>
      </c>
      <c r="N244" s="6">
        <v>250</v>
      </c>
      <c r="O244" s="6">
        <v>83663.649999999994</v>
      </c>
      <c r="P244" s="7">
        <v>0</v>
      </c>
      <c r="Q244" s="6">
        <v>0</v>
      </c>
    </row>
    <row r="245" spans="1:17">
      <c r="A245">
        <v>244</v>
      </c>
      <c r="B245" s="5">
        <v>45726</v>
      </c>
      <c r="C245" t="s">
        <v>172</v>
      </c>
      <c r="D245" t="s">
        <v>173</v>
      </c>
      <c r="E245" t="s">
        <v>174</v>
      </c>
      <c r="F245">
        <v>3</v>
      </c>
      <c r="G245" t="s">
        <v>190</v>
      </c>
      <c r="H245" t="s">
        <v>112</v>
      </c>
      <c r="I245" t="s">
        <v>16</v>
      </c>
      <c r="J245" t="s">
        <v>52</v>
      </c>
      <c r="K245" t="s">
        <v>35</v>
      </c>
      <c r="L245" s="6">
        <v>0</v>
      </c>
      <c r="M245" s="6">
        <v>20000</v>
      </c>
      <c r="N245" s="6">
        <v>20000</v>
      </c>
      <c r="O245" s="6">
        <v>103663.65</v>
      </c>
      <c r="P245" s="7">
        <v>0</v>
      </c>
      <c r="Q245" s="6">
        <v>0</v>
      </c>
    </row>
    <row r="246" spans="1:17">
      <c r="A246">
        <v>245</v>
      </c>
      <c r="B246" s="5">
        <v>45726</v>
      </c>
      <c r="C246" t="s">
        <v>172</v>
      </c>
      <c r="D246" t="s">
        <v>173</v>
      </c>
      <c r="E246" t="s">
        <v>174</v>
      </c>
      <c r="F246">
        <v>3</v>
      </c>
      <c r="G246" t="s">
        <v>279</v>
      </c>
      <c r="H246" t="s">
        <v>280</v>
      </c>
      <c r="I246" t="s">
        <v>16</v>
      </c>
      <c r="J246" t="s">
        <v>52</v>
      </c>
      <c r="K246" t="s">
        <v>35</v>
      </c>
      <c r="L246" s="6">
        <v>0</v>
      </c>
      <c r="M246" s="6">
        <v>3000</v>
      </c>
      <c r="N246" s="6">
        <v>3000</v>
      </c>
      <c r="O246" s="6">
        <v>106663.65</v>
      </c>
      <c r="P246" s="7">
        <v>0</v>
      </c>
      <c r="Q246" s="6">
        <v>0</v>
      </c>
    </row>
    <row r="247" spans="1:17">
      <c r="A247">
        <v>246</v>
      </c>
      <c r="B247" s="5">
        <v>45726</v>
      </c>
      <c r="C247" t="s">
        <v>172</v>
      </c>
      <c r="D247" t="s">
        <v>173</v>
      </c>
      <c r="E247" t="s">
        <v>174</v>
      </c>
      <c r="F247">
        <v>3</v>
      </c>
      <c r="G247" t="s">
        <v>281</v>
      </c>
      <c r="H247" t="s">
        <v>66</v>
      </c>
      <c r="I247" t="s">
        <v>22</v>
      </c>
      <c r="J247" t="s">
        <v>67</v>
      </c>
      <c r="K247" t="s">
        <v>34</v>
      </c>
      <c r="L247" s="6">
        <v>50058</v>
      </c>
      <c r="M247" s="6">
        <v>0</v>
      </c>
      <c r="N247" s="6">
        <v>-50058</v>
      </c>
      <c r="O247" s="6">
        <v>56605.65</v>
      </c>
      <c r="P247" s="7">
        <v>0</v>
      </c>
      <c r="Q247" s="6">
        <v>0</v>
      </c>
    </row>
    <row r="248" spans="1:17">
      <c r="A248">
        <v>247</v>
      </c>
      <c r="B248" s="5">
        <v>45726</v>
      </c>
      <c r="C248" t="s">
        <v>172</v>
      </c>
      <c r="D248" t="s">
        <v>173</v>
      </c>
      <c r="E248" t="s">
        <v>174</v>
      </c>
      <c r="F248">
        <v>3</v>
      </c>
      <c r="G248" t="s">
        <v>282</v>
      </c>
      <c r="H248" t="s">
        <v>283</v>
      </c>
      <c r="I248" t="s">
        <v>16</v>
      </c>
      <c r="J248" t="s">
        <v>52</v>
      </c>
      <c r="K248" t="s">
        <v>35</v>
      </c>
      <c r="L248" s="6">
        <v>0</v>
      </c>
      <c r="M248" s="6">
        <v>1000</v>
      </c>
      <c r="N248" s="6">
        <v>1000</v>
      </c>
      <c r="O248" s="6">
        <v>57605.65</v>
      </c>
      <c r="P248" s="7">
        <v>0</v>
      </c>
      <c r="Q248" s="6">
        <v>0</v>
      </c>
    </row>
    <row r="249" spans="1:17">
      <c r="A249">
        <v>248</v>
      </c>
      <c r="B249" s="5">
        <v>45726</v>
      </c>
      <c r="C249" t="s">
        <v>172</v>
      </c>
      <c r="D249" t="s">
        <v>173</v>
      </c>
      <c r="E249" t="s">
        <v>174</v>
      </c>
      <c r="F249">
        <v>3</v>
      </c>
      <c r="G249" t="s">
        <v>201</v>
      </c>
      <c r="H249" t="s">
        <v>100</v>
      </c>
      <c r="I249" t="s">
        <v>16</v>
      </c>
      <c r="J249" t="s">
        <v>52</v>
      </c>
      <c r="K249" t="s">
        <v>35</v>
      </c>
      <c r="L249" s="6">
        <v>0</v>
      </c>
      <c r="M249" s="6">
        <v>1000</v>
      </c>
      <c r="N249" s="6">
        <v>1000</v>
      </c>
      <c r="O249" s="6">
        <v>58605.65</v>
      </c>
      <c r="P249" s="7">
        <v>0</v>
      </c>
      <c r="Q249" s="6">
        <v>0</v>
      </c>
    </row>
    <row r="250" spans="1:17">
      <c r="A250">
        <v>249</v>
      </c>
      <c r="B250" s="5">
        <v>45726</v>
      </c>
      <c r="C250" t="s">
        <v>172</v>
      </c>
      <c r="D250" t="s">
        <v>173</v>
      </c>
      <c r="E250" t="s">
        <v>174</v>
      </c>
      <c r="F250">
        <v>3</v>
      </c>
      <c r="G250" t="s">
        <v>193</v>
      </c>
      <c r="H250" t="s">
        <v>70</v>
      </c>
      <c r="I250" t="s">
        <v>16</v>
      </c>
      <c r="J250" t="s">
        <v>52</v>
      </c>
      <c r="K250" t="s">
        <v>35</v>
      </c>
      <c r="L250" s="6">
        <v>0</v>
      </c>
      <c r="M250" s="6">
        <v>3000</v>
      </c>
      <c r="N250" s="6">
        <v>3000</v>
      </c>
      <c r="O250" s="6">
        <v>61605.65</v>
      </c>
      <c r="P250" s="7">
        <v>0</v>
      </c>
      <c r="Q250" s="6">
        <v>0</v>
      </c>
    </row>
    <row r="251" spans="1:17">
      <c r="A251">
        <v>250</v>
      </c>
      <c r="B251" s="5">
        <v>45726</v>
      </c>
      <c r="C251" t="s">
        <v>172</v>
      </c>
      <c r="D251" t="s">
        <v>173</v>
      </c>
      <c r="E251" t="s">
        <v>174</v>
      </c>
      <c r="F251">
        <v>3</v>
      </c>
      <c r="G251" t="s">
        <v>201</v>
      </c>
      <c r="H251" t="s">
        <v>100</v>
      </c>
      <c r="I251" t="s">
        <v>16</v>
      </c>
      <c r="J251" t="s">
        <v>52</v>
      </c>
      <c r="K251" t="s">
        <v>35</v>
      </c>
      <c r="L251" s="6">
        <v>0</v>
      </c>
      <c r="M251" s="6">
        <v>1200</v>
      </c>
      <c r="N251" s="6">
        <v>1200</v>
      </c>
      <c r="O251" s="6">
        <v>62805.65</v>
      </c>
      <c r="P251" s="7">
        <v>0</v>
      </c>
      <c r="Q251" s="6">
        <v>0</v>
      </c>
    </row>
    <row r="252" spans="1:17">
      <c r="A252">
        <v>251</v>
      </c>
      <c r="B252" s="5">
        <v>45726</v>
      </c>
      <c r="C252" t="s">
        <v>172</v>
      </c>
      <c r="D252" t="s">
        <v>173</v>
      </c>
      <c r="E252" t="s">
        <v>174</v>
      </c>
      <c r="F252">
        <v>3</v>
      </c>
      <c r="G252" t="s">
        <v>284</v>
      </c>
      <c r="H252" t="s">
        <v>156</v>
      </c>
      <c r="I252" t="s">
        <v>16</v>
      </c>
      <c r="J252" t="s">
        <v>52</v>
      </c>
      <c r="K252" t="s">
        <v>35</v>
      </c>
      <c r="L252" s="6">
        <v>0</v>
      </c>
      <c r="M252" s="6">
        <v>513</v>
      </c>
      <c r="N252" s="6">
        <v>513</v>
      </c>
      <c r="O252" s="6">
        <v>63318.65</v>
      </c>
      <c r="P252" s="7">
        <v>0</v>
      </c>
      <c r="Q252" s="6">
        <v>0</v>
      </c>
    </row>
    <row r="253" spans="1:17">
      <c r="A253">
        <v>252</v>
      </c>
      <c r="B253" s="5">
        <v>45726</v>
      </c>
      <c r="C253" t="s">
        <v>172</v>
      </c>
      <c r="D253" t="s">
        <v>173</v>
      </c>
      <c r="E253" t="s">
        <v>174</v>
      </c>
      <c r="F253">
        <v>3</v>
      </c>
      <c r="G253" t="s">
        <v>201</v>
      </c>
      <c r="H253" t="s">
        <v>100</v>
      </c>
      <c r="I253" t="s">
        <v>16</v>
      </c>
      <c r="J253" t="s">
        <v>52</v>
      </c>
      <c r="K253" t="s">
        <v>35</v>
      </c>
      <c r="L253" s="6">
        <v>0</v>
      </c>
      <c r="M253" s="6">
        <v>500</v>
      </c>
      <c r="N253" s="6">
        <v>500</v>
      </c>
      <c r="O253" s="6">
        <v>63818.65</v>
      </c>
      <c r="P253" s="7">
        <v>0</v>
      </c>
      <c r="Q253" s="6">
        <v>0</v>
      </c>
    </row>
    <row r="254" spans="1:17">
      <c r="A254">
        <v>253</v>
      </c>
      <c r="B254" s="5">
        <v>45726</v>
      </c>
      <c r="C254" t="s">
        <v>172</v>
      </c>
      <c r="D254" t="s">
        <v>173</v>
      </c>
      <c r="E254" t="s">
        <v>174</v>
      </c>
      <c r="F254">
        <v>3</v>
      </c>
      <c r="G254" t="s">
        <v>253</v>
      </c>
      <c r="H254" t="s">
        <v>72</v>
      </c>
      <c r="I254" t="s">
        <v>16</v>
      </c>
      <c r="J254" t="s">
        <v>52</v>
      </c>
      <c r="K254" t="s">
        <v>35</v>
      </c>
      <c r="L254" s="6">
        <v>0</v>
      </c>
      <c r="M254" s="6">
        <v>10000</v>
      </c>
      <c r="N254" s="6">
        <v>10000</v>
      </c>
      <c r="O254" s="6">
        <v>73818.649999999994</v>
      </c>
      <c r="P254" s="7">
        <v>0</v>
      </c>
      <c r="Q254" s="6">
        <v>0</v>
      </c>
    </row>
    <row r="255" spans="1:17">
      <c r="A255">
        <v>254</v>
      </c>
      <c r="B255" s="5">
        <v>45726</v>
      </c>
      <c r="C255" t="s">
        <v>172</v>
      </c>
      <c r="D255" t="s">
        <v>173</v>
      </c>
      <c r="E255" t="s">
        <v>174</v>
      </c>
      <c r="F255">
        <v>3</v>
      </c>
      <c r="G255" t="s">
        <v>269</v>
      </c>
      <c r="H255" t="s">
        <v>270</v>
      </c>
      <c r="I255" t="s">
        <v>16</v>
      </c>
      <c r="J255" t="s">
        <v>52</v>
      </c>
      <c r="K255" t="s">
        <v>35</v>
      </c>
      <c r="L255" s="6">
        <v>0</v>
      </c>
      <c r="M255" s="6">
        <v>1000</v>
      </c>
      <c r="N255" s="6">
        <v>1000</v>
      </c>
      <c r="O255" s="6">
        <v>74818.649999999994</v>
      </c>
      <c r="P255" s="7">
        <v>0</v>
      </c>
      <c r="Q255" s="6">
        <v>0</v>
      </c>
    </row>
    <row r="256" spans="1:17">
      <c r="A256">
        <v>255</v>
      </c>
      <c r="B256" s="5">
        <v>45726</v>
      </c>
      <c r="C256" t="s">
        <v>172</v>
      </c>
      <c r="D256" t="s">
        <v>173</v>
      </c>
      <c r="E256" t="s">
        <v>174</v>
      </c>
      <c r="F256">
        <v>3</v>
      </c>
      <c r="G256" t="s">
        <v>233</v>
      </c>
      <c r="H256" t="s">
        <v>162</v>
      </c>
      <c r="I256" t="s">
        <v>16</v>
      </c>
      <c r="J256" t="s">
        <v>52</v>
      </c>
      <c r="K256" t="s">
        <v>35</v>
      </c>
      <c r="L256" s="6">
        <v>0</v>
      </c>
      <c r="M256" s="6">
        <v>5000</v>
      </c>
      <c r="N256" s="6">
        <v>5000</v>
      </c>
      <c r="O256" s="6">
        <v>79818.649999999994</v>
      </c>
      <c r="P256" s="7">
        <v>0</v>
      </c>
      <c r="Q256" s="6">
        <v>0</v>
      </c>
    </row>
    <row r="257" spans="1:17">
      <c r="A257">
        <v>256</v>
      </c>
      <c r="B257" s="5">
        <v>45726</v>
      </c>
      <c r="C257" t="s">
        <v>172</v>
      </c>
      <c r="D257" t="s">
        <v>173</v>
      </c>
      <c r="E257" t="s">
        <v>174</v>
      </c>
      <c r="F257">
        <v>3</v>
      </c>
      <c r="G257" t="s">
        <v>199</v>
      </c>
      <c r="H257" t="s">
        <v>200</v>
      </c>
      <c r="I257" t="s">
        <v>16</v>
      </c>
      <c r="J257" t="s">
        <v>52</v>
      </c>
      <c r="K257" t="s">
        <v>35</v>
      </c>
      <c r="L257" s="6">
        <v>0</v>
      </c>
      <c r="M257" s="6">
        <v>3000</v>
      </c>
      <c r="N257" s="6">
        <v>3000</v>
      </c>
      <c r="O257" s="6">
        <v>82818.649999999994</v>
      </c>
      <c r="P257" s="7">
        <v>0</v>
      </c>
      <c r="Q257" s="6">
        <v>0</v>
      </c>
    </row>
    <row r="258" spans="1:17">
      <c r="A258">
        <v>257</v>
      </c>
      <c r="B258" s="5">
        <v>45726</v>
      </c>
      <c r="C258" t="s">
        <v>172</v>
      </c>
      <c r="D258" t="s">
        <v>173</v>
      </c>
      <c r="E258" t="s">
        <v>174</v>
      </c>
      <c r="F258">
        <v>3</v>
      </c>
      <c r="G258" t="s">
        <v>285</v>
      </c>
      <c r="H258" t="s">
        <v>286</v>
      </c>
      <c r="I258" t="s">
        <v>16</v>
      </c>
      <c r="J258" t="s">
        <v>52</v>
      </c>
      <c r="K258" t="s">
        <v>35</v>
      </c>
      <c r="L258" s="6">
        <v>0</v>
      </c>
      <c r="M258" s="6">
        <v>500</v>
      </c>
      <c r="N258" s="6">
        <v>500</v>
      </c>
      <c r="O258" s="6">
        <v>83318.649999999994</v>
      </c>
      <c r="P258" s="7">
        <v>0</v>
      </c>
      <c r="Q258" s="6">
        <v>0</v>
      </c>
    </row>
    <row r="259" spans="1:17">
      <c r="A259">
        <v>258</v>
      </c>
      <c r="B259" s="5">
        <v>45727</v>
      </c>
      <c r="C259" t="s">
        <v>172</v>
      </c>
      <c r="D259" t="s">
        <v>173</v>
      </c>
      <c r="E259" t="s">
        <v>174</v>
      </c>
      <c r="F259">
        <v>3</v>
      </c>
      <c r="G259" t="s">
        <v>287</v>
      </c>
      <c r="H259" t="s">
        <v>66</v>
      </c>
      <c r="I259" t="s">
        <v>22</v>
      </c>
      <c r="J259" t="s">
        <v>67</v>
      </c>
      <c r="K259" t="s">
        <v>34</v>
      </c>
      <c r="L259" s="6">
        <v>2700</v>
      </c>
      <c r="M259" s="6">
        <v>0</v>
      </c>
      <c r="N259" s="6">
        <v>-2700</v>
      </c>
      <c r="O259" s="6">
        <v>80618.649999999994</v>
      </c>
      <c r="P259" s="7">
        <v>0</v>
      </c>
      <c r="Q259" s="6">
        <v>0</v>
      </c>
    </row>
    <row r="260" spans="1:17">
      <c r="A260">
        <v>259</v>
      </c>
      <c r="B260" s="5">
        <v>45727</v>
      </c>
      <c r="C260" t="s">
        <v>172</v>
      </c>
      <c r="D260" t="s">
        <v>173</v>
      </c>
      <c r="E260" t="s">
        <v>174</v>
      </c>
      <c r="F260">
        <v>3</v>
      </c>
      <c r="G260" t="s">
        <v>288</v>
      </c>
      <c r="H260" t="s">
        <v>66</v>
      </c>
      <c r="I260" t="s">
        <v>22</v>
      </c>
      <c r="J260" t="s">
        <v>67</v>
      </c>
      <c r="K260" t="s">
        <v>34</v>
      </c>
      <c r="L260" s="6">
        <v>4000</v>
      </c>
      <c r="M260" s="6">
        <v>0</v>
      </c>
      <c r="N260" s="6">
        <v>-4000</v>
      </c>
      <c r="O260" s="6">
        <v>76618.649999999994</v>
      </c>
      <c r="P260" s="7">
        <v>0</v>
      </c>
      <c r="Q260" s="6">
        <v>0</v>
      </c>
    </row>
    <row r="261" spans="1:17">
      <c r="A261">
        <v>260</v>
      </c>
      <c r="B261" s="5">
        <v>45727</v>
      </c>
      <c r="C261" t="s">
        <v>172</v>
      </c>
      <c r="D261" t="s">
        <v>173</v>
      </c>
      <c r="E261" t="s">
        <v>174</v>
      </c>
      <c r="F261">
        <v>4</v>
      </c>
      <c r="G261" t="s">
        <v>289</v>
      </c>
      <c r="H261" t="s">
        <v>66</v>
      </c>
      <c r="I261" t="s">
        <v>22</v>
      </c>
      <c r="J261" t="s">
        <v>67</v>
      </c>
      <c r="K261" t="s">
        <v>34</v>
      </c>
      <c r="L261" s="6">
        <v>573</v>
      </c>
      <c r="M261" s="6">
        <v>0</v>
      </c>
      <c r="N261" s="6">
        <v>-573</v>
      </c>
      <c r="O261" s="6">
        <v>76045.649999999994</v>
      </c>
      <c r="P261" s="7">
        <v>0</v>
      </c>
      <c r="Q261" s="6">
        <v>0</v>
      </c>
    </row>
    <row r="262" spans="1:17">
      <c r="A262">
        <v>261</v>
      </c>
      <c r="B262" s="5">
        <v>45727</v>
      </c>
      <c r="C262" t="s">
        <v>172</v>
      </c>
      <c r="D262" t="s">
        <v>173</v>
      </c>
      <c r="E262" t="s">
        <v>174</v>
      </c>
      <c r="F262">
        <v>4</v>
      </c>
      <c r="G262" t="s">
        <v>201</v>
      </c>
      <c r="H262" t="s">
        <v>100</v>
      </c>
      <c r="I262" t="s">
        <v>16</v>
      </c>
      <c r="J262" t="s">
        <v>52</v>
      </c>
      <c r="K262" t="s">
        <v>35</v>
      </c>
      <c r="L262" s="6">
        <v>0</v>
      </c>
      <c r="M262" s="6">
        <v>2250</v>
      </c>
      <c r="N262" s="6">
        <v>2250</v>
      </c>
      <c r="O262" s="6">
        <v>78295.649999999994</v>
      </c>
      <c r="P262" s="7">
        <v>0</v>
      </c>
      <c r="Q262" s="6">
        <v>0</v>
      </c>
    </row>
    <row r="263" spans="1:17">
      <c r="A263">
        <v>262</v>
      </c>
      <c r="B263" s="5">
        <v>45727</v>
      </c>
      <c r="C263" t="s">
        <v>172</v>
      </c>
      <c r="D263" t="s">
        <v>173</v>
      </c>
      <c r="E263" t="s">
        <v>174</v>
      </c>
      <c r="F263">
        <v>4</v>
      </c>
      <c r="G263" t="s">
        <v>184</v>
      </c>
      <c r="H263" t="s">
        <v>185</v>
      </c>
      <c r="I263" t="s">
        <v>16</v>
      </c>
      <c r="J263" t="s">
        <v>52</v>
      </c>
      <c r="K263" t="s">
        <v>35</v>
      </c>
      <c r="L263" s="6">
        <v>0</v>
      </c>
      <c r="M263" s="6">
        <v>500</v>
      </c>
      <c r="N263" s="6">
        <v>500</v>
      </c>
      <c r="O263" s="6">
        <v>78795.649999999994</v>
      </c>
      <c r="P263" s="7">
        <v>0</v>
      </c>
      <c r="Q263" s="6">
        <v>0</v>
      </c>
    </row>
    <row r="264" spans="1:17">
      <c r="A264">
        <v>263</v>
      </c>
      <c r="B264" s="5">
        <v>45727</v>
      </c>
      <c r="C264" t="s">
        <v>172</v>
      </c>
      <c r="D264" t="s">
        <v>173</v>
      </c>
      <c r="E264" t="s">
        <v>174</v>
      </c>
      <c r="F264">
        <v>4</v>
      </c>
      <c r="G264" t="s">
        <v>258</v>
      </c>
      <c r="H264" t="s">
        <v>259</v>
      </c>
      <c r="I264" t="s">
        <v>16</v>
      </c>
      <c r="J264" t="s">
        <v>52</v>
      </c>
      <c r="K264" t="s">
        <v>35</v>
      </c>
      <c r="L264" s="6">
        <v>0</v>
      </c>
      <c r="M264" s="6">
        <v>500</v>
      </c>
      <c r="N264" s="6">
        <v>500</v>
      </c>
      <c r="O264" s="6">
        <v>79295.649999999994</v>
      </c>
      <c r="P264" s="7">
        <v>0</v>
      </c>
      <c r="Q264" s="6">
        <v>0</v>
      </c>
    </row>
    <row r="265" spans="1:17">
      <c r="A265">
        <v>264</v>
      </c>
      <c r="B265" s="5">
        <v>45727</v>
      </c>
      <c r="C265" t="s">
        <v>172</v>
      </c>
      <c r="D265" t="s">
        <v>173</v>
      </c>
      <c r="E265" t="s">
        <v>174</v>
      </c>
      <c r="F265">
        <v>4</v>
      </c>
      <c r="G265" t="s">
        <v>279</v>
      </c>
      <c r="H265" t="s">
        <v>280</v>
      </c>
      <c r="I265" t="s">
        <v>16</v>
      </c>
      <c r="J265" t="s">
        <v>52</v>
      </c>
      <c r="K265" t="s">
        <v>35</v>
      </c>
      <c r="L265" s="6">
        <v>0</v>
      </c>
      <c r="M265" s="6">
        <v>3000</v>
      </c>
      <c r="N265" s="6">
        <v>3000</v>
      </c>
      <c r="O265" s="6">
        <v>82295.649999999994</v>
      </c>
      <c r="P265" s="7">
        <v>0</v>
      </c>
      <c r="Q265" s="6">
        <v>0</v>
      </c>
    </row>
    <row r="266" spans="1:17">
      <c r="A266">
        <v>265</v>
      </c>
      <c r="B266" s="5">
        <v>45727</v>
      </c>
      <c r="C266" t="s">
        <v>172</v>
      </c>
      <c r="D266" t="s">
        <v>173</v>
      </c>
      <c r="E266" t="s">
        <v>174</v>
      </c>
      <c r="F266">
        <v>4</v>
      </c>
      <c r="G266" t="s">
        <v>191</v>
      </c>
      <c r="H266" t="s">
        <v>102</v>
      </c>
      <c r="I266" t="s">
        <v>16</v>
      </c>
      <c r="J266" t="s">
        <v>52</v>
      </c>
      <c r="K266" t="s">
        <v>35</v>
      </c>
      <c r="L266" s="6">
        <v>0</v>
      </c>
      <c r="M266" s="6">
        <v>1500</v>
      </c>
      <c r="N266" s="6">
        <v>1500</v>
      </c>
      <c r="O266" s="6">
        <v>83795.649999999994</v>
      </c>
      <c r="P266" s="7">
        <v>0</v>
      </c>
      <c r="Q266" s="6">
        <v>0</v>
      </c>
    </row>
    <row r="267" spans="1:17">
      <c r="A267">
        <v>266</v>
      </c>
      <c r="B267" s="5">
        <v>45727</v>
      </c>
      <c r="C267" t="s">
        <v>172</v>
      </c>
      <c r="D267" t="s">
        <v>173</v>
      </c>
      <c r="E267" t="s">
        <v>174</v>
      </c>
      <c r="F267">
        <v>4</v>
      </c>
      <c r="G267" t="s">
        <v>290</v>
      </c>
      <c r="H267" t="s">
        <v>66</v>
      </c>
      <c r="I267" t="s">
        <v>22</v>
      </c>
      <c r="J267" t="s">
        <v>67</v>
      </c>
      <c r="K267" t="s">
        <v>34</v>
      </c>
      <c r="L267" s="6">
        <v>1000</v>
      </c>
      <c r="M267" s="6">
        <v>0</v>
      </c>
      <c r="N267" s="6">
        <v>-1000</v>
      </c>
      <c r="O267" s="6">
        <v>82795.649999999994</v>
      </c>
      <c r="P267" s="7">
        <v>0</v>
      </c>
      <c r="Q267" s="6">
        <v>0</v>
      </c>
    </row>
    <row r="268" spans="1:17">
      <c r="A268">
        <v>267</v>
      </c>
      <c r="B268" s="5">
        <v>45727</v>
      </c>
      <c r="C268" t="s">
        <v>172</v>
      </c>
      <c r="D268" t="s">
        <v>173</v>
      </c>
      <c r="E268" t="s">
        <v>174</v>
      </c>
      <c r="F268">
        <v>4</v>
      </c>
      <c r="G268" t="s">
        <v>291</v>
      </c>
      <c r="H268" t="s">
        <v>66</v>
      </c>
      <c r="I268" t="s">
        <v>22</v>
      </c>
      <c r="J268" t="s">
        <v>67</v>
      </c>
      <c r="K268" t="s">
        <v>34</v>
      </c>
      <c r="L268" s="6">
        <v>206.18</v>
      </c>
      <c r="M268" s="6">
        <v>0</v>
      </c>
      <c r="N268" s="6">
        <v>-206.18</v>
      </c>
      <c r="O268" s="6">
        <v>82589.47</v>
      </c>
      <c r="P268" s="7">
        <v>0</v>
      </c>
      <c r="Q268" s="6">
        <v>0</v>
      </c>
    </row>
    <row r="269" spans="1:17">
      <c r="A269">
        <v>268</v>
      </c>
      <c r="B269" s="5">
        <v>45727</v>
      </c>
      <c r="C269" t="s">
        <v>172</v>
      </c>
      <c r="D269" t="s">
        <v>173</v>
      </c>
      <c r="E269" t="s">
        <v>174</v>
      </c>
      <c r="F269">
        <v>4</v>
      </c>
      <c r="G269" t="s">
        <v>278</v>
      </c>
      <c r="H269" t="s">
        <v>89</v>
      </c>
      <c r="I269" t="s">
        <v>16</v>
      </c>
      <c r="J269" t="s">
        <v>52</v>
      </c>
      <c r="K269" t="s">
        <v>35</v>
      </c>
      <c r="L269" s="6">
        <v>0</v>
      </c>
      <c r="M269" s="6">
        <v>350</v>
      </c>
      <c r="N269" s="6">
        <v>350</v>
      </c>
      <c r="O269" s="6">
        <v>82939.47</v>
      </c>
      <c r="P269" s="7">
        <v>0</v>
      </c>
      <c r="Q269" s="6">
        <v>0</v>
      </c>
    </row>
    <row r="270" spans="1:17">
      <c r="A270">
        <v>269</v>
      </c>
      <c r="B270" s="5">
        <v>45727</v>
      </c>
      <c r="C270" t="s">
        <v>172</v>
      </c>
      <c r="D270" t="s">
        <v>173</v>
      </c>
      <c r="E270" t="s">
        <v>174</v>
      </c>
      <c r="F270">
        <v>4</v>
      </c>
      <c r="G270" t="s">
        <v>292</v>
      </c>
      <c r="H270" t="s">
        <v>293</v>
      </c>
      <c r="I270" t="s">
        <v>16</v>
      </c>
      <c r="J270" t="s">
        <v>52</v>
      </c>
      <c r="K270" t="s">
        <v>35</v>
      </c>
      <c r="L270" s="6">
        <v>0</v>
      </c>
      <c r="M270" s="6">
        <v>120</v>
      </c>
      <c r="N270" s="6">
        <v>120</v>
      </c>
      <c r="O270" s="6">
        <v>83059.47</v>
      </c>
      <c r="P270" s="7">
        <v>0</v>
      </c>
      <c r="Q270" s="6">
        <v>0</v>
      </c>
    </row>
    <row r="271" spans="1:17">
      <c r="A271">
        <v>270</v>
      </c>
      <c r="B271" s="5">
        <v>45727</v>
      </c>
      <c r="C271" t="s">
        <v>172</v>
      </c>
      <c r="D271" t="s">
        <v>173</v>
      </c>
      <c r="E271" t="s">
        <v>174</v>
      </c>
      <c r="F271">
        <v>4</v>
      </c>
      <c r="G271" t="s">
        <v>193</v>
      </c>
      <c r="H271" t="s">
        <v>70</v>
      </c>
      <c r="I271" t="s">
        <v>16</v>
      </c>
      <c r="J271" t="s">
        <v>52</v>
      </c>
      <c r="K271" t="s">
        <v>35</v>
      </c>
      <c r="L271" s="6">
        <v>0</v>
      </c>
      <c r="M271" s="6">
        <v>10000</v>
      </c>
      <c r="N271" s="6">
        <v>10000</v>
      </c>
      <c r="O271" s="6">
        <v>93059.47</v>
      </c>
      <c r="P271" s="7">
        <v>0</v>
      </c>
      <c r="Q271" s="6">
        <v>0</v>
      </c>
    </row>
    <row r="272" spans="1:17">
      <c r="A272">
        <v>271</v>
      </c>
      <c r="B272" s="5">
        <v>45727</v>
      </c>
      <c r="C272" t="s">
        <v>172</v>
      </c>
      <c r="D272" t="s">
        <v>173</v>
      </c>
      <c r="E272" t="s">
        <v>174</v>
      </c>
      <c r="F272">
        <v>4</v>
      </c>
      <c r="G272" t="s">
        <v>191</v>
      </c>
      <c r="H272" t="s">
        <v>102</v>
      </c>
      <c r="I272" t="s">
        <v>16</v>
      </c>
      <c r="J272" t="s">
        <v>52</v>
      </c>
      <c r="K272" t="s">
        <v>35</v>
      </c>
      <c r="L272" s="6">
        <v>0</v>
      </c>
      <c r="M272" s="6">
        <v>1000</v>
      </c>
      <c r="N272" s="6">
        <v>1000</v>
      </c>
      <c r="O272" s="6">
        <v>94059.47</v>
      </c>
      <c r="P272" s="7">
        <v>0</v>
      </c>
      <c r="Q272" s="6">
        <v>0</v>
      </c>
    </row>
    <row r="273" spans="1:17">
      <c r="A273">
        <v>272</v>
      </c>
      <c r="B273" s="5">
        <v>45727</v>
      </c>
      <c r="C273" t="s">
        <v>172</v>
      </c>
      <c r="D273" t="s">
        <v>173</v>
      </c>
      <c r="E273" t="s">
        <v>174</v>
      </c>
      <c r="F273">
        <v>4</v>
      </c>
      <c r="G273" t="s">
        <v>233</v>
      </c>
      <c r="H273" t="s">
        <v>162</v>
      </c>
      <c r="I273" t="s">
        <v>16</v>
      </c>
      <c r="J273" t="s">
        <v>52</v>
      </c>
      <c r="K273" t="s">
        <v>35</v>
      </c>
      <c r="L273" s="6">
        <v>0</v>
      </c>
      <c r="M273" s="6">
        <v>4000</v>
      </c>
      <c r="N273" s="6">
        <v>4000</v>
      </c>
      <c r="O273" s="6">
        <v>98059.47</v>
      </c>
      <c r="P273" s="7">
        <v>0</v>
      </c>
      <c r="Q273" s="6">
        <v>0</v>
      </c>
    </row>
    <row r="274" spans="1:17">
      <c r="A274">
        <v>273</v>
      </c>
      <c r="B274" s="5">
        <v>45727</v>
      </c>
      <c r="C274" t="s">
        <v>172</v>
      </c>
      <c r="D274" t="s">
        <v>173</v>
      </c>
      <c r="E274" t="s">
        <v>174</v>
      </c>
      <c r="F274">
        <v>4</v>
      </c>
      <c r="G274" t="s">
        <v>294</v>
      </c>
      <c r="H274" t="s">
        <v>66</v>
      </c>
      <c r="I274" t="s">
        <v>22</v>
      </c>
      <c r="J274" t="s">
        <v>67</v>
      </c>
      <c r="K274" t="s">
        <v>34</v>
      </c>
      <c r="L274" s="6">
        <v>300</v>
      </c>
      <c r="M274" s="6">
        <v>0</v>
      </c>
      <c r="N274" s="6">
        <v>-300</v>
      </c>
      <c r="O274" s="6">
        <v>97759.47</v>
      </c>
      <c r="P274" s="7">
        <v>0</v>
      </c>
      <c r="Q274" s="6">
        <v>0</v>
      </c>
    </row>
    <row r="275" spans="1:17">
      <c r="A275">
        <v>274</v>
      </c>
      <c r="B275" s="5">
        <v>45727</v>
      </c>
      <c r="C275" t="s">
        <v>172</v>
      </c>
      <c r="D275" t="s">
        <v>173</v>
      </c>
      <c r="E275" t="s">
        <v>174</v>
      </c>
      <c r="F275">
        <v>4</v>
      </c>
      <c r="G275" t="s">
        <v>295</v>
      </c>
      <c r="H275" t="s">
        <v>66</v>
      </c>
      <c r="I275" t="s">
        <v>22</v>
      </c>
      <c r="J275" t="s">
        <v>67</v>
      </c>
      <c r="K275" t="s">
        <v>34</v>
      </c>
      <c r="L275" s="6">
        <v>648.5</v>
      </c>
      <c r="M275" s="6">
        <v>0</v>
      </c>
      <c r="N275" s="6">
        <v>-648.5</v>
      </c>
      <c r="O275" s="6">
        <v>97110.97</v>
      </c>
      <c r="P275" s="7">
        <v>0</v>
      </c>
      <c r="Q275" s="6">
        <v>0</v>
      </c>
    </row>
    <row r="276" spans="1:17">
      <c r="A276">
        <v>275</v>
      </c>
      <c r="B276" s="5">
        <v>45727</v>
      </c>
      <c r="C276" t="s">
        <v>172</v>
      </c>
      <c r="D276" t="s">
        <v>173</v>
      </c>
      <c r="E276" t="s">
        <v>174</v>
      </c>
      <c r="F276">
        <v>4</v>
      </c>
      <c r="G276" t="s">
        <v>296</v>
      </c>
      <c r="H276" t="s">
        <v>66</v>
      </c>
      <c r="I276" t="s">
        <v>22</v>
      </c>
      <c r="J276" t="s">
        <v>67</v>
      </c>
      <c r="K276" t="s">
        <v>34</v>
      </c>
      <c r="L276" s="6">
        <v>4000</v>
      </c>
      <c r="M276" s="6">
        <v>0</v>
      </c>
      <c r="N276" s="6">
        <v>-4000</v>
      </c>
      <c r="O276" s="6">
        <v>93110.97</v>
      </c>
      <c r="P276" s="7">
        <v>0</v>
      </c>
      <c r="Q276" s="6">
        <v>0</v>
      </c>
    </row>
    <row r="277" spans="1:17">
      <c r="A277">
        <v>276</v>
      </c>
      <c r="B277" s="5">
        <v>45727</v>
      </c>
      <c r="C277" t="s">
        <v>172</v>
      </c>
      <c r="D277" t="s">
        <v>173</v>
      </c>
      <c r="E277" t="s">
        <v>174</v>
      </c>
      <c r="F277">
        <v>4</v>
      </c>
      <c r="G277" t="s">
        <v>297</v>
      </c>
      <c r="H277" t="s">
        <v>66</v>
      </c>
      <c r="I277" t="s">
        <v>22</v>
      </c>
      <c r="J277" t="s">
        <v>67</v>
      </c>
      <c r="K277" t="s">
        <v>34</v>
      </c>
      <c r="L277" s="6">
        <v>15500</v>
      </c>
      <c r="M277" s="6">
        <v>0</v>
      </c>
      <c r="N277" s="6">
        <v>-15500</v>
      </c>
      <c r="O277" s="6">
        <v>77610.97</v>
      </c>
      <c r="P277" s="7">
        <v>0</v>
      </c>
      <c r="Q277" s="6">
        <v>0</v>
      </c>
    </row>
    <row r="278" spans="1:17">
      <c r="A278">
        <v>277</v>
      </c>
      <c r="B278" s="5">
        <v>45728</v>
      </c>
      <c r="C278" t="s">
        <v>172</v>
      </c>
      <c r="D278" t="s">
        <v>173</v>
      </c>
      <c r="E278" t="s">
        <v>174</v>
      </c>
      <c r="F278">
        <v>4</v>
      </c>
      <c r="G278" t="s">
        <v>212</v>
      </c>
      <c r="H278" t="s">
        <v>213</v>
      </c>
      <c r="I278" t="s">
        <v>16</v>
      </c>
      <c r="J278" t="s">
        <v>52</v>
      </c>
      <c r="K278" t="s">
        <v>35</v>
      </c>
      <c r="L278" s="6">
        <v>0</v>
      </c>
      <c r="M278" s="6">
        <v>2000</v>
      </c>
      <c r="N278" s="6">
        <v>2000</v>
      </c>
      <c r="O278" s="6">
        <v>79610.97</v>
      </c>
      <c r="P278" s="7">
        <v>0</v>
      </c>
      <c r="Q278" s="6">
        <v>0</v>
      </c>
    </row>
    <row r="279" spans="1:17">
      <c r="A279">
        <v>278</v>
      </c>
      <c r="B279" s="5">
        <v>45728</v>
      </c>
      <c r="C279" t="s">
        <v>172</v>
      </c>
      <c r="D279" t="s">
        <v>173</v>
      </c>
      <c r="E279" t="s">
        <v>174</v>
      </c>
      <c r="F279">
        <v>4</v>
      </c>
      <c r="G279" t="s">
        <v>175</v>
      </c>
      <c r="H279" t="s">
        <v>176</v>
      </c>
      <c r="I279" t="s">
        <v>16</v>
      </c>
      <c r="J279" t="s">
        <v>52</v>
      </c>
      <c r="K279" t="s">
        <v>35</v>
      </c>
      <c r="L279" s="6">
        <v>0</v>
      </c>
      <c r="M279" s="6">
        <v>8000</v>
      </c>
      <c r="N279" s="6">
        <v>8000</v>
      </c>
      <c r="O279" s="6">
        <v>87610.97</v>
      </c>
      <c r="P279" s="7">
        <v>0</v>
      </c>
      <c r="Q279" s="6">
        <v>0</v>
      </c>
    </row>
    <row r="280" spans="1:17">
      <c r="A280">
        <v>279</v>
      </c>
      <c r="B280" s="5">
        <v>45728</v>
      </c>
      <c r="C280" t="s">
        <v>172</v>
      </c>
      <c r="D280" t="s">
        <v>173</v>
      </c>
      <c r="E280" t="s">
        <v>174</v>
      </c>
      <c r="F280">
        <v>4</v>
      </c>
      <c r="G280" t="s">
        <v>279</v>
      </c>
      <c r="H280" t="s">
        <v>280</v>
      </c>
      <c r="I280" t="s">
        <v>16</v>
      </c>
      <c r="J280" t="s">
        <v>52</v>
      </c>
      <c r="K280" t="s">
        <v>35</v>
      </c>
      <c r="L280" s="6">
        <v>0</v>
      </c>
      <c r="M280" s="6">
        <v>2000</v>
      </c>
      <c r="N280" s="6">
        <v>2000</v>
      </c>
      <c r="O280" s="6">
        <v>89610.97</v>
      </c>
      <c r="P280" s="7">
        <v>0</v>
      </c>
      <c r="Q280" s="6">
        <v>0</v>
      </c>
    </row>
    <row r="281" spans="1:17">
      <c r="A281">
        <v>280</v>
      </c>
      <c r="B281" s="5">
        <v>45728</v>
      </c>
      <c r="C281" t="s">
        <v>172</v>
      </c>
      <c r="D281" t="s">
        <v>173</v>
      </c>
      <c r="E281" t="s">
        <v>174</v>
      </c>
      <c r="F281">
        <v>4</v>
      </c>
      <c r="G281" t="s">
        <v>298</v>
      </c>
      <c r="H281" t="s">
        <v>299</v>
      </c>
      <c r="I281" t="s">
        <v>16</v>
      </c>
      <c r="J281" t="s">
        <v>52</v>
      </c>
      <c r="K281" t="s">
        <v>35</v>
      </c>
      <c r="L281" s="6">
        <v>0</v>
      </c>
      <c r="M281" s="6">
        <v>2000</v>
      </c>
      <c r="N281" s="6">
        <v>2000</v>
      </c>
      <c r="O281" s="6">
        <v>91610.97</v>
      </c>
      <c r="P281" s="7">
        <v>0</v>
      </c>
      <c r="Q281" s="6">
        <v>0</v>
      </c>
    </row>
    <row r="282" spans="1:17">
      <c r="A282">
        <v>281</v>
      </c>
      <c r="B282" s="5">
        <v>45728</v>
      </c>
      <c r="C282" t="s">
        <v>172</v>
      </c>
      <c r="D282" t="s">
        <v>173</v>
      </c>
      <c r="E282" t="s">
        <v>174</v>
      </c>
      <c r="F282">
        <v>4</v>
      </c>
      <c r="G282" t="s">
        <v>300</v>
      </c>
      <c r="H282" t="s">
        <v>66</v>
      </c>
      <c r="I282" t="s">
        <v>22</v>
      </c>
      <c r="J282" t="s">
        <v>67</v>
      </c>
      <c r="K282" t="s">
        <v>34</v>
      </c>
      <c r="L282" s="6">
        <v>1000</v>
      </c>
      <c r="M282" s="6">
        <v>0</v>
      </c>
      <c r="N282" s="6">
        <v>-1000</v>
      </c>
      <c r="O282" s="6">
        <v>90610.97</v>
      </c>
      <c r="P282" s="7">
        <v>0</v>
      </c>
      <c r="Q282" s="6">
        <v>0</v>
      </c>
    </row>
    <row r="283" spans="1:17">
      <c r="A283">
        <v>282</v>
      </c>
      <c r="B283" s="5">
        <v>45728</v>
      </c>
      <c r="C283" t="s">
        <v>172</v>
      </c>
      <c r="D283" t="s">
        <v>173</v>
      </c>
      <c r="E283" t="s">
        <v>174</v>
      </c>
      <c r="F283">
        <v>4</v>
      </c>
      <c r="G283" t="s">
        <v>301</v>
      </c>
      <c r="H283" t="s">
        <v>66</v>
      </c>
      <c r="I283" t="s">
        <v>22</v>
      </c>
      <c r="J283" t="s">
        <v>67</v>
      </c>
      <c r="K283" t="s">
        <v>34</v>
      </c>
      <c r="L283" s="6">
        <v>13773.23</v>
      </c>
      <c r="M283" s="6">
        <v>0</v>
      </c>
      <c r="N283" s="6">
        <v>-13773.23</v>
      </c>
      <c r="O283" s="6">
        <v>76837.740000000005</v>
      </c>
      <c r="P283" s="7">
        <v>0</v>
      </c>
      <c r="Q283" s="6">
        <v>0</v>
      </c>
    </row>
    <row r="284" spans="1:17">
      <c r="A284">
        <v>283</v>
      </c>
      <c r="B284" s="5">
        <v>45728</v>
      </c>
      <c r="C284" t="s">
        <v>172</v>
      </c>
      <c r="D284" t="s">
        <v>173</v>
      </c>
      <c r="E284" t="s">
        <v>174</v>
      </c>
      <c r="F284">
        <v>4</v>
      </c>
      <c r="G284" t="s">
        <v>302</v>
      </c>
      <c r="H284" t="s">
        <v>66</v>
      </c>
      <c r="I284" t="s">
        <v>22</v>
      </c>
      <c r="J284" t="s">
        <v>67</v>
      </c>
      <c r="K284" t="s">
        <v>34</v>
      </c>
      <c r="L284" s="6">
        <v>2546.86</v>
      </c>
      <c r="M284" s="6">
        <v>0</v>
      </c>
      <c r="N284" s="6">
        <v>-2546.86</v>
      </c>
      <c r="O284" s="6">
        <v>74290.880000000005</v>
      </c>
      <c r="P284" s="7">
        <v>0</v>
      </c>
      <c r="Q284" s="6">
        <v>0</v>
      </c>
    </row>
    <row r="285" spans="1:17">
      <c r="A285">
        <v>284</v>
      </c>
      <c r="B285" s="5">
        <v>45728</v>
      </c>
      <c r="C285" t="s">
        <v>172</v>
      </c>
      <c r="D285" t="s">
        <v>173</v>
      </c>
      <c r="E285" t="s">
        <v>174</v>
      </c>
      <c r="F285">
        <v>4</v>
      </c>
      <c r="G285" t="s">
        <v>303</v>
      </c>
      <c r="H285" t="s">
        <v>66</v>
      </c>
      <c r="I285" t="s">
        <v>22</v>
      </c>
      <c r="J285" t="s">
        <v>67</v>
      </c>
      <c r="K285" t="s">
        <v>34</v>
      </c>
      <c r="L285" s="6">
        <v>500</v>
      </c>
      <c r="M285" s="6">
        <v>0</v>
      </c>
      <c r="N285" s="6">
        <v>-500</v>
      </c>
      <c r="O285" s="6">
        <v>73790.880000000005</v>
      </c>
      <c r="P285" s="7">
        <v>0</v>
      </c>
      <c r="Q285" s="6">
        <v>0</v>
      </c>
    </row>
    <row r="286" spans="1:17">
      <c r="A286">
        <v>285</v>
      </c>
      <c r="B286" s="5">
        <v>45728</v>
      </c>
      <c r="C286" t="s">
        <v>172</v>
      </c>
      <c r="D286" t="s">
        <v>173</v>
      </c>
      <c r="E286" t="s">
        <v>174</v>
      </c>
      <c r="F286">
        <v>4</v>
      </c>
      <c r="G286" t="s">
        <v>304</v>
      </c>
      <c r="H286" t="s">
        <v>66</v>
      </c>
      <c r="I286" t="s">
        <v>22</v>
      </c>
      <c r="J286" t="s">
        <v>67</v>
      </c>
      <c r="K286" t="s">
        <v>34</v>
      </c>
      <c r="L286" s="6">
        <v>1953.4</v>
      </c>
      <c r="M286" s="6">
        <v>0</v>
      </c>
      <c r="N286" s="6">
        <v>-1953.4</v>
      </c>
      <c r="O286" s="6">
        <v>71837.48</v>
      </c>
      <c r="P286" s="7">
        <v>0</v>
      </c>
      <c r="Q286" s="6">
        <v>0</v>
      </c>
    </row>
    <row r="287" spans="1:17">
      <c r="A287">
        <v>286</v>
      </c>
      <c r="B287" s="5">
        <v>45728</v>
      </c>
      <c r="C287" t="s">
        <v>172</v>
      </c>
      <c r="D287" t="s">
        <v>173</v>
      </c>
      <c r="E287" t="s">
        <v>174</v>
      </c>
      <c r="F287">
        <v>4</v>
      </c>
      <c r="G287" t="s">
        <v>305</v>
      </c>
      <c r="H287" t="s">
        <v>66</v>
      </c>
      <c r="I287" t="s">
        <v>22</v>
      </c>
      <c r="J287" t="s">
        <v>67</v>
      </c>
      <c r="K287" t="s">
        <v>34</v>
      </c>
      <c r="L287" s="6">
        <v>1000</v>
      </c>
      <c r="M287" s="6">
        <v>0</v>
      </c>
      <c r="N287" s="6">
        <v>-1000</v>
      </c>
      <c r="O287" s="6">
        <v>70837.48</v>
      </c>
      <c r="P287" s="7">
        <v>0</v>
      </c>
      <c r="Q287" s="6">
        <v>0</v>
      </c>
    </row>
    <row r="288" spans="1:17">
      <c r="A288">
        <v>287</v>
      </c>
      <c r="B288" s="5">
        <v>45728</v>
      </c>
      <c r="C288" t="s">
        <v>172</v>
      </c>
      <c r="D288" t="s">
        <v>173</v>
      </c>
      <c r="E288" t="s">
        <v>174</v>
      </c>
      <c r="F288">
        <v>4</v>
      </c>
      <c r="G288" t="s">
        <v>227</v>
      </c>
      <c r="H288" t="s">
        <v>228</v>
      </c>
      <c r="I288" t="s">
        <v>16</v>
      </c>
      <c r="J288" t="s">
        <v>52</v>
      </c>
      <c r="K288" t="s">
        <v>35</v>
      </c>
      <c r="L288" s="6">
        <v>0</v>
      </c>
      <c r="M288" s="6">
        <v>6000</v>
      </c>
      <c r="N288" s="6">
        <v>6000</v>
      </c>
      <c r="O288" s="6">
        <v>76837.48</v>
      </c>
      <c r="P288" s="7">
        <v>0</v>
      </c>
      <c r="Q288" s="6">
        <v>0</v>
      </c>
    </row>
    <row r="289" spans="1:17">
      <c r="A289">
        <v>288</v>
      </c>
      <c r="B289" s="5">
        <v>45728</v>
      </c>
      <c r="C289" t="s">
        <v>172</v>
      </c>
      <c r="D289" t="s">
        <v>173</v>
      </c>
      <c r="E289" t="s">
        <v>174</v>
      </c>
      <c r="F289">
        <v>4</v>
      </c>
      <c r="G289" t="s">
        <v>194</v>
      </c>
      <c r="H289" t="s">
        <v>195</v>
      </c>
      <c r="I289" t="s">
        <v>16</v>
      </c>
      <c r="J289" t="s">
        <v>52</v>
      </c>
      <c r="K289" t="s">
        <v>35</v>
      </c>
      <c r="L289" s="6">
        <v>0</v>
      </c>
      <c r="M289" s="6">
        <v>1000</v>
      </c>
      <c r="N289" s="6">
        <v>1000</v>
      </c>
      <c r="O289" s="6">
        <v>77837.48</v>
      </c>
      <c r="P289" s="7">
        <v>0</v>
      </c>
      <c r="Q289" s="6">
        <v>0</v>
      </c>
    </row>
    <row r="290" spans="1:17">
      <c r="A290">
        <v>289</v>
      </c>
      <c r="B290" s="5">
        <v>45728</v>
      </c>
      <c r="C290" t="s">
        <v>172</v>
      </c>
      <c r="D290" t="s">
        <v>173</v>
      </c>
      <c r="E290" t="s">
        <v>174</v>
      </c>
      <c r="F290">
        <v>4</v>
      </c>
      <c r="G290" t="s">
        <v>201</v>
      </c>
      <c r="H290" t="s">
        <v>100</v>
      </c>
      <c r="I290" t="s">
        <v>16</v>
      </c>
      <c r="J290" t="s">
        <v>52</v>
      </c>
      <c r="K290" t="s">
        <v>35</v>
      </c>
      <c r="L290" s="6">
        <v>0</v>
      </c>
      <c r="M290" s="6">
        <v>1500</v>
      </c>
      <c r="N290" s="6">
        <v>1500</v>
      </c>
      <c r="O290" s="6">
        <v>79337.48</v>
      </c>
      <c r="P290" s="7">
        <v>0</v>
      </c>
      <c r="Q290" s="6">
        <v>0</v>
      </c>
    </row>
    <row r="291" spans="1:17">
      <c r="A291">
        <v>290</v>
      </c>
      <c r="B291" s="5">
        <v>45728</v>
      </c>
      <c r="C291" t="s">
        <v>172</v>
      </c>
      <c r="D291" t="s">
        <v>173</v>
      </c>
      <c r="E291" t="s">
        <v>174</v>
      </c>
      <c r="F291">
        <v>4</v>
      </c>
      <c r="G291" t="s">
        <v>306</v>
      </c>
      <c r="H291" t="s">
        <v>110</v>
      </c>
      <c r="I291" t="s">
        <v>16</v>
      </c>
      <c r="J291" t="s">
        <v>52</v>
      </c>
      <c r="K291" t="s">
        <v>35</v>
      </c>
      <c r="L291" s="6">
        <v>0</v>
      </c>
      <c r="M291" s="6">
        <v>700</v>
      </c>
      <c r="N291" s="6">
        <v>700</v>
      </c>
      <c r="O291" s="6">
        <v>80037.48</v>
      </c>
      <c r="P291" s="7">
        <v>0</v>
      </c>
      <c r="Q291" s="6">
        <v>0</v>
      </c>
    </row>
    <row r="292" spans="1:17">
      <c r="A292">
        <v>291</v>
      </c>
      <c r="B292" s="5">
        <v>45728</v>
      </c>
      <c r="C292" t="s">
        <v>172</v>
      </c>
      <c r="D292" t="s">
        <v>173</v>
      </c>
      <c r="E292" t="s">
        <v>174</v>
      </c>
      <c r="F292">
        <v>4</v>
      </c>
      <c r="G292" t="s">
        <v>240</v>
      </c>
      <c r="H292" t="s">
        <v>241</v>
      </c>
      <c r="I292" t="s">
        <v>16</v>
      </c>
      <c r="J292" t="s">
        <v>52</v>
      </c>
      <c r="K292" t="s">
        <v>35</v>
      </c>
      <c r="L292" s="6">
        <v>0</v>
      </c>
      <c r="M292" s="6">
        <v>10000</v>
      </c>
      <c r="N292" s="6">
        <v>10000</v>
      </c>
      <c r="O292" s="6">
        <v>90037.48</v>
      </c>
      <c r="P292" s="7">
        <v>0</v>
      </c>
      <c r="Q292" s="6">
        <v>0</v>
      </c>
    </row>
    <row r="293" spans="1:17">
      <c r="A293">
        <v>292</v>
      </c>
      <c r="B293" s="5">
        <v>45728</v>
      </c>
      <c r="C293" t="s">
        <v>172</v>
      </c>
      <c r="D293" t="s">
        <v>173</v>
      </c>
      <c r="E293" t="s">
        <v>174</v>
      </c>
      <c r="F293">
        <v>4</v>
      </c>
      <c r="G293" t="s">
        <v>258</v>
      </c>
      <c r="H293" t="s">
        <v>259</v>
      </c>
      <c r="I293" t="s">
        <v>16</v>
      </c>
      <c r="J293" t="s">
        <v>52</v>
      </c>
      <c r="K293" t="s">
        <v>35</v>
      </c>
      <c r="L293" s="6">
        <v>0</v>
      </c>
      <c r="M293" s="6">
        <v>500</v>
      </c>
      <c r="N293" s="6">
        <v>500</v>
      </c>
      <c r="O293" s="6">
        <v>90537.48</v>
      </c>
      <c r="P293" s="7">
        <v>0</v>
      </c>
      <c r="Q293" s="6">
        <v>0</v>
      </c>
    </row>
    <row r="294" spans="1:17">
      <c r="A294">
        <v>293</v>
      </c>
      <c r="B294" s="5">
        <v>45728</v>
      </c>
      <c r="C294" t="s">
        <v>172</v>
      </c>
      <c r="D294" t="s">
        <v>173</v>
      </c>
      <c r="E294" t="s">
        <v>174</v>
      </c>
      <c r="F294">
        <v>4</v>
      </c>
      <c r="G294" t="s">
        <v>279</v>
      </c>
      <c r="H294" t="s">
        <v>280</v>
      </c>
      <c r="I294" t="s">
        <v>16</v>
      </c>
      <c r="J294" t="s">
        <v>52</v>
      </c>
      <c r="K294" t="s">
        <v>35</v>
      </c>
      <c r="L294" s="6">
        <v>0</v>
      </c>
      <c r="M294" s="6">
        <v>1000</v>
      </c>
      <c r="N294" s="6">
        <v>1000</v>
      </c>
      <c r="O294" s="6">
        <v>91537.48</v>
      </c>
      <c r="P294" s="7">
        <v>0</v>
      </c>
      <c r="Q294" s="6">
        <v>0</v>
      </c>
    </row>
    <row r="295" spans="1:17">
      <c r="A295">
        <v>294</v>
      </c>
      <c r="B295" s="5">
        <v>45728</v>
      </c>
      <c r="C295" t="s">
        <v>172</v>
      </c>
      <c r="D295" t="s">
        <v>173</v>
      </c>
      <c r="E295" t="s">
        <v>174</v>
      </c>
      <c r="F295">
        <v>4</v>
      </c>
      <c r="G295" t="s">
        <v>292</v>
      </c>
      <c r="H295" t="s">
        <v>293</v>
      </c>
      <c r="I295" t="s">
        <v>16</v>
      </c>
      <c r="J295" t="s">
        <v>52</v>
      </c>
      <c r="K295" t="s">
        <v>35</v>
      </c>
      <c r="L295" s="6">
        <v>0</v>
      </c>
      <c r="M295" s="6">
        <v>130</v>
      </c>
      <c r="N295" s="6">
        <v>130</v>
      </c>
      <c r="O295" s="6">
        <v>91667.48</v>
      </c>
      <c r="P295" s="7">
        <v>0</v>
      </c>
      <c r="Q295" s="6">
        <v>0</v>
      </c>
    </row>
    <row r="296" spans="1:17">
      <c r="A296">
        <v>295</v>
      </c>
      <c r="B296" s="5">
        <v>45728</v>
      </c>
      <c r="C296" t="s">
        <v>172</v>
      </c>
      <c r="D296" t="s">
        <v>173</v>
      </c>
      <c r="E296" t="s">
        <v>174</v>
      </c>
      <c r="F296">
        <v>4</v>
      </c>
      <c r="G296" t="s">
        <v>279</v>
      </c>
      <c r="H296" t="s">
        <v>280</v>
      </c>
      <c r="I296" t="s">
        <v>16</v>
      </c>
      <c r="J296" t="s">
        <v>52</v>
      </c>
      <c r="K296" t="s">
        <v>35</v>
      </c>
      <c r="L296" s="6">
        <v>0</v>
      </c>
      <c r="M296" s="6">
        <v>3000</v>
      </c>
      <c r="N296" s="6">
        <v>3000</v>
      </c>
      <c r="O296" s="6">
        <v>94667.48</v>
      </c>
      <c r="P296" s="7">
        <v>0</v>
      </c>
      <c r="Q296" s="6">
        <v>0</v>
      </c>
    </row>
    <row r="297" spans="1:17">
      <c r="A297">
        <v>296</v>
      </c>
      <c r="B297" s="5">
        <v>45728</v>
      </c>
      <c r="C297" t="s">
        <v>172</v>
      </c>
      <c r="D297" t="s">
        <v>173</v>
      </c>
      <c r="E297" t="s">
        <v>174</v>
      </c>
      <c r="F297">
        <v>4</v>
      </c>
      <c r="G297" t="s">
        <v>307</v>
      </c>
      <c r="H297" t="s">
        <v>66</v>
      </c>
      <c r="I297" t="s">
        <v>22</v>
      </c>
      <c r="J297" t="s">
        <v>67</v>
      </c>
      <c r="K297" t="s">
        <v>34</v>
      </c>
      <c r="L297" s="6">
        <v>491</v>
      </c>
      <c r="M297" s="6">
        <v>0</v>
      </c>
      <c r="N297" s="6">
        <v>-491</v>
      </c>
      <c r="O297" s="6">
        <v>94176.48</v>
      </c>
      <c r="P297" s="7">
        <v>0</v>
      </c>
      <c r="Q297" s="6">
        <v>0</v>
      </c>
    </row>
    <row r="298" spans="1:17">
      <c r="A298">
        <v>297</v>
      </c>
      <c r="B298" s="5">
        <v>45728</v>
      </c>
      <c r="C298" t="s">
        <v>172</v>
      </c>
      <c r="D298" t="s">
        <v>173</v>
      </c>
      <c r="E298" t="s">
        <v>174</v>
      </c>
      <c r="F298">
        <v>4</v>
      </c>
      <c r="G298" t="s">
        <v>308</v>
      </c>
      <c r="H298" t="s">
        <v>66</v>
      </c>
      <c r="I298" t="s">
        <v>22</v>
      </c>
      <c r="J298" t="s">
        <v>67</v>
      </c>
      <c r="K298" t="s">
        <v>34</v>
      </c>
      <c r="L298" s="6">
        <v>5300</v>
      </c>
      <c r="M298" s="6">
        <v>0</v>
      </c>
      <c r="N298" s="6">
        <v>-5300</v>
      </c>
      <c r="O298" s="6">
        <v>88876.479999999996</v>
      </c>
      <c r="P298" s="7">
        <v>0</v>
      </c>
      <c r="Q298" s="6">
        <v>0</v>
      </c>
    </row>
    <row r="299" spans="1:17">
      <c r="A299">
        <v>298</v>
      </c>
      <c r="B299" s="5">
        <v>45728</v>
      </c>
      <c r="C299" t="s">
        <v>172</v>
      </c>
      <c r="D299" t="s">
        <v>173</v>
      </c>
      <c r="E299" t="s">
        <v>174</v>
      </c>
      <c r="F299">
        <v>4</v>
      </c>
      <c r="G299" t="s">
        <v>309</v>
      </c>
      <c r="H299" t="s">
        <v>66</v>
      </c>
      <c r="I299" t="s">
        <v>22</v>
      </c>
      <c r="J299" t="s">
        <v>67</v>
      </c>
      <c r="K299" t="s">
        <v>34</v>
      </c>
      <c r="L299" s="6">
        <v>4600</v>
      </c>
      <c r="M299" s="6">
        <v>0</v>
      </c>
      <c r="N299" s="6">
        <v>-4600</v>
      </c>
      <c r="O299" s="6">
        <v>84276.479999999996</v>
      </c>
      <c r="P299" s="7">
        <v>0</v>
      </c>
      <c r="Q299" s="6">
        <v>0</v>
      </c>
    </row>
    <row r="300" spans="1:17">
      <c r="A300">
        <v>299</v>
      </c>
      <c r="B300" s="5">
        <v>45728</v>
      </c>
      <c r="C300" t="s">
        <v>172</v>
      </c>
      <c r="D300" t="s">
        <v>173</v>
      </c>
      <c r="E300" t="s">
        <v>174</v>
      </c>
      <c r="F300">
        <v>4</v>
      </c>
      <c r="G300" t="s">
        <v>310</v>
      </c>
      <c r="H300" t="s">
        <v>66</v>
      </c>
      <c r="I300" t="s">
        <v>22</v>
      </c>
      <c r="J300" t="s">
        <v>67</v>
      </c>
      <c r="K300" t="s">
        <v>34</v>
      </c>
      <c r="L300" s="6">
        <v>1500</v>
      </c>
      <c r="M300" s="6">
        <v>0</v>
      </c>
      <c r="N300" s="6">
        <v>-1500</v>
      </c>
      <c r="O300" s="6">
        <v>82776.479999999996</v>
      </c>
      <c r="P300" s="7">
        <v>0</v>
      </c>
      <c r="Q300" s="6">
        <v>0</v>
      </c>
    </row>
    <row r="301" spans="1:17">
      <c r="A301">
        <v>300</v>
      </c>
      <c r="B301" s="5">
        <v>45728</v>
      </c>
      <c r="C301" t="s">
        <v>172</v>
      </c>
      <c r="D301" t="s">
        <v>173</v>
      </c>
      <c r="E301" t="s">
        <v>174</v>
      </c>
      <c r="F301">
        <v>4</v>
      </c>
      <c r="G301" t="s">
        <v>311</v>
      </c>
      <c r="H301" t="s">
        <v>66</v>
      </c>
      <c r="I301" t="s">
        <v>22</v>
      </c>
      <c r="J301" t="s">
        <v>67</v>
      </c>
      <c r="K301" t="s">
        <v>34</v>
      </c>
      <c r="L301" s="6">
        <v>1780</v>
      </c>
      <c r="M301" s="6">
        <v>0</v>
      </c>
      <c r="N301" s="6">
        <v>-1780</v>
      </c>
      <c r="O301" s="6">
        <v>80996.479999999996</v>
      </c>
      <c r="P301" s="7">
        <v>0</v>
      </c>
      <c r="Q301" s="6">
        <v>0</v>
      </c>
    </row>
    <row r="302" spans="1:17">
      <c r="A302">
        <v>301</v>
      </c>
      <c r="B302" s="5">
        <v>45728</v>
      </c>
      <c r="C302" t="s">
        <v>172</v>
      </c>
      <c r="D302" t="s">
        <v>173</v>
      </c>
      <c r="E302" t="s">
        <v>174</v>
      </c>
      <c r="F302">
        <v>4</v>
      </c>
      <c r="G302" t="s">
        <v>278</v>
      </c>
      <c r="H302" t="s">
        <v>89</v>
      </c>
      <c r="I302" t="s">
        <v>16</v>
      </c>
      <c r="J302" t="s">
        <v>52</v>
      </c>
      <c r="K302" t="s">
        <v>35</v>
      </c>
      <c r="L302" s="6">
        <v>0</v>
      </c>
      <c r="M302" s="6">
        <v>500</v>
      </c>
      <c r="N302" s="6">
        <v>500</v>
      </c>
      <c r="O302" s="6">
        <v>81496.479999999996</v>
      </c>
      <c r="P302" s="7">
        <v>0</v>
      </c>
      <c r="Q302" s="6">
        <v>0</v>
      </c>
    </row>
    <row r="303" spans="1:17">
      <c r="A303">
        <v>302</v>
      </c>
      <c r="B303" s="5">
        <v>45728</v>
      </c>
      <c r="C303" t="s">
        <v>172</v>
      </c>
      <c r="D303" t="s">
        <v>173</v>
      </c>
      <c r="E303" t="s">
        <v>174</v>
      </c>
      <c r="F303">
        <v>4</v>
      </c>
      <c r="G303" t="s">
        <v>212</v>
      </c>
      <c r="H303" t="s">
        <v>213</v>
      </c>
      <c r="I303" t="s">
        <v>16</v>
      </c>
      <c r="J303" t="s">
        <v>52</v>
      </c>
      <c r="K303" t="s">
        <v>35</v>
      </c>
      <c r="L303" s="6">
        <v>0</v>
      </c>
      <c r="M303" s="6">
        <v>250</v>
      </c>
      <c r="N303" s="6">
        <v>250</v>
      </c>
      <c r="O303" s="6">
        <v>81746.48</v>
      </c>
      <c r="P303" s="7">
        <v>0</v>
      </c>
      <c r="Q303" s="6">
        <v>0</v>
      </c>
    </row>
    <row r="304" spans="1:17">
      <c r="A304">
        <v>303</v>
      </c>
      <c r="B304" s="5">
        <v>45729</v>
      </c>
      <c r="C304" t="s">
        <v>172</v>
      </c>
      <c r="D304" t="s">
        <v>173</v>
      </c>
      <c r="E304" t="s">
        <v>174</v>
      </c>
      <c r="F304">
        <v>4</v>
      </c>
      <c r="G304" t="s">
        <v>312</v>
      </c>
      <c r="H304" t="s">
        <v>313</v>
      </c>
      <c r="I304" t="s">
        <v>16</v>
      </c>
      <c r="J304" t="s">
        <v>52</v>
      </c>
      <c r="K304" t="s">
        <v>35</v>
      </c>
      <c r="L304" s="6">
        <v>0</v>
      </c>
      <c r="M304" s="6">
        <v>150</v>
      </c>
      <c r="N304" s="6">
        <v>150</v>
      </c>
      <c r="O304" s="6">
        <v>81896.479999999996</v>
      </c>
      <c r="P304" s="7">
        <v>0</v>
      </c>
      <c r="Q304" s="6">
        <v>0</v>
      </c>
    </row>
    <row r="305" spans="1:17">
      <c r="A305">
        <v>304</v>
      </c>
      <c r="B305" s="5">
        <v>45729</v>
      </c>
      <c r="C305" t="s">
        <v>172</v>
      </c>
      <c r="D305" t="s">
        <v>173</v>
      </c>
      <c r="E305" t="s">
        <v>174</v>
      </c>
      <c r="F305">
        <v>4</v>
      </c>
      <c r="G305" t="s">
        <v>312</v>
      </c>
      <c r="H305" t="s">
        <v>313</v>
      </c>
      <c r="I305" t="s">
        <v>16</v>
      </c>
      <c r="J305" t="s">
        <v>52</v>
      </c>
      <c r="K305" t="s">
        <v>35</v>
      </c>
      <c r="L305" s="6">
        <v>0</v>
      </c>
      <c r="M305" s="6">
        <v>250</v>
      </c>
      <c r="N305" s="6">
        <v>250</v>
      </c>
      <c r="O305" s="6">
        <v>82146.48</v>
      </c>
      <c r="P305" s="7">
        <v>0</v>
      </c>
      <c r="Q305" s="6">
        <v>0</v>
      </c>
    </row>
    <row r="306" spans="1:17">
      <c r="A306">
        <v>305</v>
      </c>
      <c r="B306" s="5">
        <v>45729</v>
      </c>
      <c r="C306" t="s">
        <v>172</v>
      </c>
      <c r="D306" t="s">
        <v>173</v>
      </c>
      <c r="E306" t="s">
        <v>174</v>
      </c>
      <c r="F306">
        <v>4</v>
      </c>
      <c r="G306" t="s">
        <v>312</v>
      </c>
      <c r="H306" t="s">
        <v>313</v>
      </c>
      <c r="I306" t="s">
        <v>16</v>
      </c>
      <c r="J306" t="s">
        <v>52</v>
      </c>
      <c r="K306" t="s">
        <v>35</v>
      </c>
      <c r="L306" s="6">
        <v>0</v>
      </c>
      <c r="M306" s="6">
        <v>700</v>
      </c>
      <c r="N306" s="6">
        <v>700</v>
      </c>
      <c r="O306" s="6">
        <v>82846.48</v>
      </c>
      <c r="P306" s="7">
        <v>0</v>
      </c>
      <c r="Q306" s="6">
        <v>0</v>
      </c>
    </row>
    <row r="307" spans="1:17">
      <c r="A307">
        <v>306</v>
      </c>
      <c r="B307" s="5">
        <v>45729</v>
      </c>
      <c r="C307" t="s">
        <v>172</v>
      </c>
      <c r="D307" t="s">
        <v>173</v>
      </c>
      <c r="E307" t="s">
        <v>174</v>
      </c>
      <c r="F307">
        <v>4</v>
      </c>
      <c r="G307" t="s">
        <v>314</v>
      </c>
      <c r="H307" t="s">
        <v>315</v>
      </c>
      <c r="I307" t="s">
        <v>16</v>
      </c>
      <c r="J307" t="s">
        <v>52</v>
      </c>
      <c r="K307" t="s">
        <v>35</v>
      </c>
      <c r="L307" s="6">
        <v>0</v>
      </c>
      <c r="M307" s="6">
        <v>150</v>
      </c>
      <c r="N307" s="6">
        <v>150</v>
      </c>
      <c r="O307" s="6">
        <v>82996.479999999996</v>
      </c>
      <c r="P307" s="7">
        <v>0</v>
      </c>
      <c r="Q307" s="6">
        <v>0</v>
      </c>
    </row>
    <row r="308" spans="1:17">
      <c r="A308">
        <v>307</v>
      </c>
      <c r="B308" s="5">
        <v>45729</v>
      </c>
      <c r="C308" t="s">
        <v>172</v>
      </c>
      <c r="D308" t="s">
        <v>173</v>
      </c>
      <c r="E308" t="s">
        <v>174</v>
      </c>
      <c r="F308">
        <v>4</v>
      </c>
      <c r="G308" t="s">
        <v>278</v>
      </c>
      <c r="H308" t="s">
        <v>89</v>
      </c>
      <c r="I308" t="s">
        <v>16</v>
      </c>
      <c r="J308" t="s">
        <v>52</v>
      </c>
      <c r="K308" t="s">
        <v>35</v>
      </c>
      <c r="L308" s="6">
        <v>0</v>
      </c>
      <c r="M308" s="6">
        <v>140</v>
      </c>
      <c r="N308" s="6">
        <v>140</v>
      </c>
      <c r="O308" s="6">
        <v>83136.479999999996</v>
      </c>
      <c r="P308" s="7">
        <v>0</v>
      </c>
      <c r="Q308" s="6">
        <v>0</v>
      </c>
    </row>
    <row r="309" spans="1:17">
      <c r="A309">
        <v>308</v>
      </c>
      <c r="B309" s="5">
        <v>45729</v>
      </c>
      <c r="C309" t="s">
        <v>172</v>
      </c>
      <c r="D309" t="s">
        <v>173</v>
      </c>
      <c r="E309" t="s">
        <v>174</v>
      </c>
      <c r="F309">
        <v>4</v>
      </c>
      <c r="G309" t="s">
        <v>316</v>
      </c>
      <c r="H309" t="s">
        <v>317</v>
      </c>
      <c r="I309" t="s">
        <v>16</v>
      </c>
      <c r="J309" t="s">
        <v>52</v>
      </c>
      <c r="K309" t="s">
        <v>35</v>
      </c>
      <c r="L309" s="6">
        <v>0</v>
      </c>
      <c r="M309" s="6">
        <v>1000</v>
      </c>
      <c r="N309" s="6">
        <v>1000</v>
      </c>
      <c r="O309" s="6">
        <v>84136.48</v>
      </c>
      <c r="P309" s="7">
        <v>0</v>
      </c>
      <c r="Q309" s="6">
        <v>0</v>
      </c>
    </row>
    <row r="310" spans="1:17">
      <c r="A310">
        <v>309</v>
      </c>
      <c r="B310" s="5">
        <v>45729</v>
      </c>
      <c r="C310" t="s">
        <v>172</v>
      </c>
      <c r="D310" t="s">
        <v>173</v>
      </c>
      <c r="E310" t="s">
        <v>174</v>
      </c>
      <c r="F310">
        <v>4</v>
      </c>
      <c r="G310" t="s">
        <v>194</v>
      </c>
      <c r="H310" t="s">
        <v>195</v>
      </c>
      <c r="I310" t="s">
        <v>16</v>
      </c>
      <c r="J310" t="s">
        <v>52</v>
      </c>
      <c r="K310" t="s">
        <v>35</v>
      </c>
      <c r="L310" s="6">
        <v>0</v>
      </c>
      <c r="M310" s="6">
        <v>485</v>
      </c>
      <c r="N310" s="6">
        <v>485</v>
      </c>
      <c r="O310" s="6">
        <v>84621.48</v>
      </c>
      <c r="P310" s="7">
        <v>0</v>
      </c>
      <c r="Q310" s="6">
        <v>0</v>
      </c>
    </row>
    <row r="311" spans="1:17">
      <c r="A311">
        <v>310</v>
      </c>
      <c r="B311" s="5">
        <v>45729</v>
      </c>
      <c r="C311" t="s">
        <v>172</v>
      </c>
      <c r="D311" t="s">
        <v>173</v>
      </c>
      <c r="E311" t="s">
        <v>174</v>
      </c>
      <c r="F311">
        <v>4</v>
      </c>
      <c r="G311" t="s">
        <v>175</v>
      </c>
      <c r="H311" t="s">
        <v>176</v>
      </c>
      <c r="I311" t="s">
        <v>16</v>
      </c>
      <c r="J311" t="s">
        <v>52</v>
      </c>
      <c r="K311" t="s">
        <v>35</v>
      </c>
      <c r="L311" s="6">
        <v>0</v>
      </c>
      <c r="M311" s="6">
        <v>3000</v>
      </c>
      <c r="N311" s="6">
        <v>3000</v>
      </c>
      <c r="O311" s="6">
        <v>87621.48</v>
      </c>
      <c r="P311" s="7">
        <v>0</v>
      </c>
      <c r="Q311" s="6">
        <v>0</v>
      </c>
    </row>
    <row r="312" spans="1:17">
      <c r="A312">
        <v>311</v>
      </c>
      <c r="B312" s="5">
        <v>45729</v>
      </c>
      <c r="C312" t="s">
        <v>172</v>
      </c>
      <c r="D312" t="s">
        <v>173</v>
      </c>
      <c r="E312" t="s">
        <v>174</v>
      </c>
      <c r="F312">
        <v>4</v>
      </c>
      <c r="G312" t="s">
        <v>318</v>
      </c>
      <c r="I312" t="s">
        <v>17</v>
      </c>
      <c r="J312" t="s">
        <v>64</v>
      </c>
      <c r="K312" t="s">
        <v>34</v>
      </c>
      <c r="L312" s="6">
        <v>37000</v>
      </c>
      <c r="M312" s="6">
        <v>0</v>
      </c>
      <c r="N312" s="6">
        <v>-37000</v>
      </c>
      <c r="O312" s="6">
        <v>50621.48</v>
      </c>
      <c r="P312" s="7">
        <v>0</v>
      </c>
      <c r="Q312" s="6">
        <v>0</v>
      </c>
    </row>
    <row r="313" spans="1:17">
      <c r="A313">
        <v>312</v>
      </c>
      <c r="B313" s="5">
        <v>45729</v>
      </c>
      <c r="C313" t="s">
        <v>172</v>
      </c>
      <c r="D313" t="s">
        <v>173</v>
      </c>
      <c r="E313" t="s">
        <v>174</v>
      </c>
      <c r="F313">
        <v>4</v>
      </c>
      <c r="G313" t="s">
        <v>319</v>
      </c>
      <c r="H313" t="s">
        <v>121</v>
      </c>
      <c r="I313" t="s">
        <v>16</v>
      </c>
      <c r="J313" t="s">
        <v>52</v>
      </c>
      <c r="K313" t="s">
        <v>35</v>
      </c>
      <c r="L313" s="6">
        <v>0</v>
      </c>
      <c r="M313" s="6">
        <v>250</v>
      </c>
      <c r="N313" s="6">
        <v>250</v>
      </c>
      <c r="O313" s="6">
        <v>50871.48</v>
      </c>
      <c r="P313" s="7">
        <v>0</v>
      </c>
      <c r="Q313" s="6">
        <v>0</v>
      </c>
    </row>
    <row r="314" spans="1:17">
      <c r="A314">
        <v>313</v>
      </c>
      <c r="B314" s="5">
        <v>45729</v>
      </c>
      <c r="C314" t="s">
        <v>172</v>
      </c>
      <c r="D314" t="s">
        <v>173</v>
      </c>
      <c r="E314" t="s">
        <v>174</v>
      </c>
      <c r="F314">
        <v>4</v>
      </c>
      <c r="G314" t="s">
        <v>240</v>
      </c>
      <c r="H314" t="s">
        <v>241</v>
      </c>
      <c r="I314" t="s">
        <v>16</v>
      </c>
      <c r="J314" t="s">
        <v>52</v>
      </c>
      <c r="K314" t="s">
        <v>35</v>
      </c>
      <c r="L314" s="6">
        <v>0</v>
      </c>
      <c r="M314" s="6">
        <v>3000</v>
      </c>
      <c r="N314" s="6">
        <v>3000</v>
      </c>
      <c r="O314" s="6">
        <v>53871.48</v>
      </c>
      <c r="P314" s="7">
        <v>0</v>
      </c>
      <c r="Q314" s="6">
        <v>0</v>
      </c>
    </row>
    <row r="315" spans="1:17">
      <c r="A315">
        <v>314</v>
      </c>
      <c r="B315" s="5">
        <v>45729</v>
      </c>
      <c r="C315" t="s">
        <v>172</v>
      </c>
      <c r="D315" t="s">
        <v>173</v>
      </c>
      <c r="E315" t="s">
        <v>174</v>
      </c>
      <c r="F315">
        <v>4</v>
      </c>
      <c r="G315" t="s">
        <v>320</v>
      </c>
      <c r="H315" t="s">
        <v>66</v>
      </c>
      <c r="I315" t="s">
        <v>22</v>
      </c>
      <c r="J315" t="s">
        <v>67</v>
      </c>
      <c r="K315" t="s">
        <v>34</v>
      </c>
      <c r="L315" s="6">
        <v>1900</v>
      </c>
      <c r="M315" s="6">
        <v>0</v>
      </c>
      <c r="N315" s="6">
        <v>-1900</v>
      </c>
      <c r="O315" s="6">
        <v>51971.48</v>
      </c>
      <c r="P315" s="7">
        <v>0</v>
      </c>
      <c r="Q315" s="6">
        <v>0</v>
      </c>
    </row>
    <row r="316" spans="1:17">
      <c r="A316">
        <v>315</v>
      </c>
      <c r="B316" s="5">
        <v>45729</v>
      </c>
      <c r="C316" t="s">
        <v>172</v>
      </c>
      <c r="D316" t="s">
        <v>173</v>
      </c>
      <c r="E316" t="s">
        <v>174</v>
      </c>
      <c r="F316">
        <v>4</v>
      </c>
      <c r="G316" t="s">
        <v>321</v>
      </c>
      <c r="H316" t="s">
        <v>66</v>
      </c>
      <c r="I316" t="s">
        <v>22</v>
      </c>
      <c r="J316" t="s">
        <v>67</v>
      </c>
      <c r="K316" t="s">
        <v>34</v>
      </c>
      <c r="L316" s="6">
        <v>2000</v>
      </c>
      <c r="M316" s="6">
        <v>0</v>
      </c>
      <c r="N316" s="6">
        <v>-2000</v>
      </c>
      <c r="O316" s="6">
        <v>49971.48</v>
      </c>
      <c r="P316" s="7">
        <v>0</v>
      </c>
      <c r="Q316" s="6">
        <v>0</v>
      </c>
    </row>
    <row r="317" spans="1:17">
      <c r="A317">
        <v>316</v>
      </c>
      <c r="B317" s="5">
        <v>45729</v>
      </c>
      <c r="C317" t="s">
        <v>172</v>
      </c>
      <c r="D317" t="s">
        <v>173</v>
      </c>
      <c r="E317" t="s">
        <v>174</v>
      </c>
      <c r="F317">
        <v>4</v>
      </c>
      <c r="G317" t="s">
        <v>322</v>
      </c>
      <c r="H317" t="s">
        <v>66</v>
      </c>
      <c r="I317" t="s">
        <v>22</v>
      </c>
      <c r="J317" t="s">
        <v>67</v>
      </c>
      <c r="K317" t="s">
        <v>34</v>
      </c>
      <c r="L317" s="6">
        <v>5000</v>
      </c>
      <c r="M317" s="6">
        <v>0</v>
      </c>
      <c r="N317" s="6">
        <v>-5000</v>
      </c>
      <c r="O317" s="6">
        <v>44971.48</v>
      </c>
      <c r="P317" s="7">
        <v>0</v>
      </c>
      <c r="Q317" s="6">
        <v>0</v>
      </c>
    </row>
    <row r="318" spans="1:17">
      <c r="A318">
        <v>317</v>
      </c>
      <c r="B318" s="5">
        <v>45729</v>
      </c>
      <c r="C318" t="s">
        <v>172</v>
      </c>
      <c r="D318" t="s">
        <v>173</v>
      </c>
      <c r="E318" t="s">
        <v>174</v>
      </c>
      <c r="F318">
        <v>4</v>
      </c>
      <c r="G318" t="s">
        <v>323</v>
      </c>
      <c r="H318" t="s">
        <v>66</v>
      </c>
      <c r="I318" t="s">
        <v>22</v>
      </c>
      <c r="J318" t="s">
        <v>67</v>
      </c>
      <c r="K318" t="s">
        <v>34</v>
      </c>
      <c r="L318" s="6">
        <v>260</v>
      </c>
      <c r="M318" s="6">
        <v>0</v>
      </c>
      <c r="N318" s="6">
        <v>-260</v>
      </c>
      <c r="O318" s="6">
        <v>44711.48</v>
      </c>
      <c r="P318" s="7">
        <v>0</v>
      </c>
      <c r="Q318" s="6">
        <v>0</v>
      </c>
    </row>
    <row r="319" spans="1:17">
      <c r="A319">
        <v>318</v>
      </c>
      <c r="B319" s="5">
        <v>45729</v>
      </c>
      <c r="C319" t="s">
        <v>172</v>
      </c>
      <c r="D319" t="s">
        <v>173</v>
      </c>
      <c r="E319" t="s">
        <v>174</v>
      </c>
      <c r="F319">
        <v>4</v>
      </c>
      <c r="G319" t="s">
        <v>324</v>
      </c>
      <c r="H319" t="s">
        <v>66</v>
      </c>
      <c r="I319" t="s">
        <v>22</v>
      </c>
      <c r="J319" t="s">
        <v>67</v>
      </c>
      <c r="K319" t="s">
        <v>34</v>
      </c>
      <c r="L319" s="6">
        <v>7000</v>
      </c>
      <c r="M319" s="6">
        <v>0</v>
      </c>
      <c r="N319" s="6">
        <v>-7000</v>
      </c>
      <c r="O319" s="6">
        <v>37711.480000000003</v>
      </c>
      <c r="P319" s="7">
        <v>0</v>
      </c>
      <c r="Q319" s="6">
        <v>0</v>
      </c>
    </row>
    <row r="320" spans="1:17">
      <c r="A320">
        <v>319</v>
      </c>
      <c r="B320" s="5">
        <v>45729</v>
      </c>
      <c r="C320" t="s">
        <v>172</v>
      </c>
      <c r="D320" t="s">
        <v>173</v>
      </c>
      <c r="E320" t="s">
        <v>174</v>
      </c>
      <c r="F320">
        <v>4</v>
      </c>
      <c r="G320" t="s">
        <v>249</v>
      </c>
      <c r="H320" t="s">
        <v>250</v>
      </c>
      <c r="I320" t="s">
        <v>16</v>
      </c>
      <c r="J320" t="s">
        <v>52</v>
      </c>
      <c r="K320" t="s">
        <v>35</v>
      </c>
      <c r="L320" s="6">
        <v>0</v>
      </c>
      <c r="M320" s="6">
        <v>3000</v>
      </c>
      <c r="N320" s="6">
        <v>3000</v>
      </c>
      <c r="O320" s="6">
        <v>40711.480000000003</v>
      </c>
      <c r="P320" s="7">
        <v>0</v>
      </c>
      <c r="Q320" s="6">
        <v>0</v>
      </c>
    </row>
    <row r="321" spans="1:17">
      <c r="A321">
        <v>320</v>
      </c>
      <c r="B321" s="5">
        <v>45729</v>
      </c>
      <c r="C321" t="s">
        <v>172</v>
      </c>
      <c r="D321" t="s">
        <v>173</v>
      </c>
      <c r="E321" t="s">
        <v>174</v>
      </c>
      <c r="F321">
        <v>5</v>
      </c>
      <c r="G321" t="s">
        <v>325</v>
      </c>
      <c r="H321" t="s">
        <v>326</v>
      </c>
      <c r="I321" t="s">
        <v>16</v>
      </c>
      <c r="J321" t="s">
        <v>52</v>
      </c>
      <c r="K321" t="s">
        <v>35</v>
      </c>
      <c r="L321" s="6">
        <v>0</v>
      </c>
      <c r="M321" s="6">
        <v>100</v>
      </c>
      <c r="N321" s="6">
        <v>100</v>
      </c>
      <c r="O321" s="6">
        <v>40811.480000000003</v>
      </c>
      <c r="P321" s="7">
        <v>0</v>
      </c>
      <c r="Q321" s="6">
        <v>0</v>
      </c>
    </row>
    <row r="322" spans="1:17">
      <c r="A322">
        <v>321</v>
      </c>
      <c r="B322" s="5">
        <v>45729</v>
      </c>
      <c r="C322" t="s">
        <v>172</v>
      </c>
      <c r="D322" t="s">
        <v>173</v>
      </c>
      <c r="E322" t="s">
        <v>174</v>
      </c>
      <c r="F322">
        <v>5</v>
      </c>
      <c r="G322" t="s">
        <v>258</v>
      </c>
      <c r="H322" t="s">
        <v>259</v>
      </c>
      <c r="I322" t="s">
        <v>16</v>
      </c>
      <c r="J322" t="s">
        <v>52</v>
      </c>
      <c r="K322" t="s">
        <v>35</v>
      </c>
      <c r="L322" s="6">
        <v>0</v>
      </c>
      <c r="M322" s="6">
        <v>200</v>
      </c>
      <c r="N322" s="6">
        <v>200</v>
      </c>
      <c r="O322" s="6">
        <v>41011.480000000003</v>
      </c>
      <c r="P322" s="7">
        <v>0</v>
      </c>
      <c r="Q322" s="6">
        <v>0</v>
      </c>
    </row>
    <row r="323" spans="1:17">
      <c r="A323">
        <v>322</v>
      </c>
      <c r="B323" s="5">
        <v>45729</v>
      </c>
      <c r="C323" t="s">
        <v>172</v>
      </c>
      <c r="D323" t="s">
        <v>173</v>
      </c>
      <c r="E323" t="s">
        <v>174</v>
      </c>
      <c r="F323">
        <v>5</v>
      </c>
      <c r="G323" t="s">
        <v>258</v>
      </c>
      <c r="H323" t="s">
        <v>259</v>
      </c>
      <c r="I323" t="s">
        <v>16</v>
      </c>
      <c r="J323" t="s">
        <v>52</v>
      </c>
      <c r="K323" t="s">
        <v>35</v>
      </c>
      <c r="L323" s="6">
        <v>0</v>
      </c>
      <c r="M323" s="6">
        <v>200</v>
      </c>
      <c r="N323" s="6">
        <v>200</v>
      </c>
      <c r="O323" s="6">
        <v>41211.480000000003</v>
      </c>
      <c r="P323" s="7">
        <v>0</v>
      </c>
      <c r="Q323" s="6">
        <v>0</v>
      </c>
    </row>
    <row r="324" spans="1:17">
      <c r="A324">
        <v>323</v>
      </c>
      <c r="B324" s="5">
        <v>45729</v>
      </c>
      <c r="C324" t="s">
        <v>172</v>
      </c>
      <c r="D324" t="s">
        <v>173</v>
      </c>
      <c r="E324" t="s">
        <v>174</v>
      </c>
      <c r="F324">
        <v>5</v>
      </c>
      <c r="G324" t="s">
        <v>327</v>
      </c>
      <c r="H324" t="s">
        <v>328</v>
      </c>
      <c r="I324" t="s">
        <v>16</v>
      </c>
      <c r="J324" t="s">
        <v>52</v>
      </c>
      <c r="K324" t="s">
        <v>35</v>
      </c>
      <c r="L324" s="6">
        <v>0</v>
      </c>
      <c r="M324" s="6">
        <v>300</v>
      </c>
      <c r="N324" s="6">
        <v>300</v>
      </c>
      <c r="O324" s="6">
        <v>41511.480000000003</v>
      </c>
      <c r="P324" s="7">
        <v>0</v>
      </c>
      <c r="Q324" s="6">
        <v>0</v>
      </c>
    </row>
    <row r="325" spans="1:17">
      <c r="A325">
        <v>324</v>
      </c>
      <c r="B325" s="5">
        <v>45729</v>
      </c>
      <c r="C325" t="s">
        <v>172</v>
      </c>
      <c r="D325" t="s">
        <v>173</v>
      </c>
      <c r="E325" t="s">
        <v>174</v>
      </c>
      <c r="F325">
        <v>5</v>
      </c>
      <c r="G325" t="s">
        <v>319</v>
      </c>
      <c r="H325" t="s">
        <v>121</v>
      </c>
      <c r="I325" t="s">
        <v>16</v>
      </c>
      <c r="J325" t="s">
        <v>52</v>
      </c>
      <c r="K325" t="s">
        <v>35</v>
      </c>
      <c r="L325" s="6">
        <v>0</v>
      </c>
      <c r="M325" s="6">
        <v>250</v>
      </c>
      <c r="N325" s="6">
        <v>250</v>
      </c>
      <c r="O325" s="6">
        <v>41761.480000000003</v>
      </c>
      <c r="P325" s="7">
        <v>0</v>
      </c>
      <c r="Q325" s="6">
        <v>0</v>
      </c>
    </row>
    <row r="326" spans="1:17">
      <c r="A326">
        <v>325</v>
      </c>
      <c r="B326" s="5">
        <v>45730</v>
      </c>
      <c r="C326" t="s">
        <v>172</v>
      </c>
      <c r="D326" t="s">
        <v>173</v>
      </c>
      <c r="E326" t="s">
        <v>174</v>
      </c>
      <c r="F326">
        <v>5</v>
      </c>
      <c r="G326" t="s">
        <v>329</v>
      </c>
      <c r="H326" t="s">
        <v>330</v>
      </c>
      <c r="I326" t="s">
        <v>16</v>
      </c>
      <c r="J326" t="s">
        <v>52</v>
      </c>
      <c r="K326" t="s">
        <v>35</v>
      </c>
      <c r="L326" s="6">
        <v>0</v>
      </c>
      <c r="M326" s="6">
        <v>1000</v>
      </c>
      <c r="N326" s="6">
        <v>1000</v>
      </c>
      <c r="O326" s="6">
        <v>42761.48</v>
      </c>
      <c r="P326" s="7">
        <v>0</v>
      </c>
      <c r="Q326" s="6">
        <v>0</v>
      </c>
    </row>
    <row r="327" spans="1:17">
      <c r="A327">
        <v>326</v>
      </c>
      <c r="B327" s="5">
        <v>45730</v>
      </c>
      <c r="C327" t="s">
        <v>172</v>
      </c>
      <c r="D327" t="s">
        <v>173</v>
      </c>
      <c r="E327" t="s">
        <v>174</v>
      </c>
      <c r="F327">
        <v>5</v>
      </c>
      <c r="G327" t="s">
        <v>319</v>
      </c>
      <c r="H327" t="s">
        <v>121</v>
      </c>
      <c r="I327" t="s">
        <v>16</v>
      </c>
      <c r="J327" t="s">
        <v>52</v>
      </c>
      <c r="K327" t="s">
        <v>35</v>
      </c>
      <c r="L327" s="6">
        <v>0</v>
      </c>
      <c r="M327" s="6">
        <v>250</v>
      </c>
      <c r="N327" s="6">
        <v>250</v>
      </c>
      <c r="O327" s="6">
        <v>43011.48</v>
      </c>
      <c r="P327" s="7">
        <v>0</v>
      </c>
      <c r="Q327" s="6">
        <v>0</v>
      </c>
    </row>
    <row r="328" spans="1:17">
      <c r="A328">
        <v>327</v>
      </c>
      <c r="B328" s="5">
        <v>45730</v>
      </c>
      <c r="C328" t="s">
        <v>172</v>
      </c>
      <c r="D328" t="s">
        <v>173</v>
      </c>
      <c r="E328" t="s">
        <v>174</v>
      </c>
      <c r="F328">
        <v>5</v>
      </c>
      <c r="G328" t="s">
        <v>331</v>
      </c>
      <c r="H328" t="s">
        <v>332</v>
      </c>
      <c r="I328" t="s">
        <v>16</v>
      </c>
      <c r="J328" t="s">
        <v>52</v>
      </c>
      <c r="K328" t="s">
        <v>35</v>
      </c>
      <c r="L328" s="6">
        <v>0</v>
      </c>
      <c r="M328" s="6">
        <v>1000</v>
      </c>
      <c r="N328" s="6">
        <v>1000</v>
      </c>
      <c r="O328" s="6">
        <v>44011.48</v>
      </c>
      <c r="P328" s="7">
        <v>0</v>
      </c>
      <c r="Q328" s="6">
        <v>0</v>
      </c>
    </row>
    <row r="329" spans="1:17">
      <c r="A329">
        <v>328</v>
      </c>
      <c r="B329" s="5">
        <v>45730</v>
      </c>
      <c r="C329" t="s">
        <v>172</v>
      </c>
      <c r="D329" t="s">
        <v>173</v>
      </c>
      <c r="E329" t="s">
        <v>174</v>
      </c>
      <c r="F329">
        <v>5</v>
      </c>
      <c r="G329" t="s">
        <v>331</v>
      </c>
      <c r="H329" t="s">
        <v>332</v>
      </c>
      <c r="I329" t="s">
        <v>16</v>
      </c>
      <c r="J329" t="s">
        <v>52</v>
      </c>
      <c r="K329" t="s">
        <v>35</v>
      </c>
      <c r="L329" s="6">
        <v>0</v>
      </c>
      <c r="M329" s="6">
        <v>2000</v>
      </c>
      <c r="N329" s="6">
        <v>2000</v>
      </c>
      <c r="O329" s="6">
        <v>46011.48</v>
      </c>
      <c r="P329" s="7">
        <v>0</v>
      </c>
      <c r="Q329" s="6">
        <v>0</v>
      </c>
    </row>
    <row r="330" spans="1:17">
      <c r="A330">
        <v>329</v>
      </c>
      <c r="B330" s="5">
        <v>45730</v>
      </c>
      <c r="C330" t="s">
        <v>172</v>
      </c>
      <c r="D330" t="s">
        <v>173</v>
      </c>
      <c r="E330" t="s">
        <v>174</v>
      </c>
      <c r="F330">
        <v>5</v>
      </c>
      <c r="G330" t="s">
        <v>333</v>
      </c>
      <c r="H330" t="s">
        <v>66</v>
      </c>
      <c r="I330" t="s">
        <v>22</v>
      </c>
      <c r="J330" t="s">
        <v>67</v>
      </c>
      <c r="K330" t="s">
        <v>34</v>
      </c>
      <c r="L330" s="6">
        <v>4000</v>
      </c>
      <c r="M330" s="6">
        <v>0</v>
      </c>
      <c r="N330" s="6">
        <v>-4000</v>
      </c>
      <c r="O330" s="6">
        <v>42011.48</v>
      </c>
      <c r="P330" s="7">
        <v>0</v>
      </c>
      <c r="Q330" s="6">
        <v>0</v>
      </c>
    </row>
    <row r="331" spans="1:17">
      <c r="A331">
        <v>330</v>
      </c>
      <c r="B331" s="5">
        <v>45730</v>
      </c>
      <c r="C331" t="s">
        <v>172</v>
      </c>
      <c r="D331" t="s">
        <v>173</v>
      </c>
      <c r="E331" t="s">
        <v>174</v>
      </c>
      <c r="F331">
        <v>5</v>
      </c>
      <c r="G331" t="s">
        <v>319</v>
      </c>
      <c r="H331" t="s">
        <v>121</v>
      </c>
      <c r="I331" t="s">
        <v>16</v>
      </c>
      <c r="J331" t="s">
        <v>52</v>
      </c>
      <c r="K331" t="s">
        <v>35</v>
      </c>
      <c r="L331" s="6">
        <v>0</v>
      </c>
      <c r="M331" s="6">
        <v>250</v>
      </c>
      <c r="N331" s="6">
        <v>250</v>
      </c>
      <c r="O331" s="6">
        <v>42261.48</v>
      </c>
      <c r="P331" s="7">
        <v>0</v>
      </c>
      <c r="Q331" s="6">
        <v>0</v>
      </c>
    </row>
    <row r="332" spans="1:17">
      <c r="A332">
        <v>331</v>
      </c>
      <c r="B332" s="5">
        <v>45730</v>
      </c>
      <c r="C332" t="s">
        <v>172</v>
      </c>
      <c r="D332" t="s">
        <v>173</v>
      </c>
      <c r="E332" t="s">
        <v>174</v>
      </c>
      <c r="F332">
        <v>5</v>
      </c>
      <c r="G332" t="s">
        <v>193</v>
      </c>
      <c r="H332" t="s">
        <v>70</v>
      </c>
      <c r="I332" t="s">
        <v>16</v>
      </c>
      <c r="J332" t="s">
        <v>52</v>
      </c>
      <c r="K332" t="s">
        <v>35</v>
      </c>
      <c r="L332" s="6">
        <v>0</v>
      </c>
      <c r="M332" s="6">
        <v>3000</v>
      </c>
      <c r="N332" s="6">
        <v>3000</v>
      </c>
      <c r="O332" s="6">
        <v>45261.48</v>
      </c>
      <c r="P332" s="7">
        <v>0</v>
      </c>
      <c r="Q332" s="6">
        <v>0</v>
      </c>
    </row>
    <row r="333" spans="1:17">
      <c r="A333">
        <v>332</v>
      </c>
      <c r="B333" s="5">
        <v>45730</v>
      </c>
      <c r="C333" t="s">
        <v>172</v>
      </c>
      <c r="D333" t="s">
        <v>173</v>
      </c>
      <c r="E333" t="s">
        <v>174</v>
      </c>
      <c r="F333">
        <v>5</v>
      </c>
      <c r="G333" t="s">
        <v>258</v>
      </c>
      <c r="H333" t="s">
        <v>259</v>
      </c>
      <c r="I333" t="s">
        <v>16</v>
      </c>
      <c r="J333" t="s">
        <v>52</v>
      </c>
      <c r="K333" t="s">
        <v>35</v>
      </c>
      <c r="L333" s="6">
        <v>0</v>
      </c>
      <c r="M333" s="6">
        <v>1000</v>
      </c>
      <c r="N333" s="6">
        <v>1000</v>
      </c>
      <c r="O333" s="6">
        <v>46261.48</v>
      </c>
      <c r="P333" s="7">
        <v>0</v>
      </c>
      <c r="Q333" s="6">
        <v>0</v>
      </c>
    </row>
    <row r="334" spans="1:17">
      <c r="A334">
        <v>333</v>
      </c>
      <c r="B334" s="5">
        <v>45730</v>
      </c>
      <c r="C334" t="s">
        <v>172</v>
      </c>
      <c r="D334" t="s">
        <v>173</v>
      </c>
      <c r="E334" t="s">
        <v>174</v>
      </c>
      <c r="F334">
        <v>5</v>
      </c>
      <c r="G334" t="s">
        <v>319</v>
      </c>
      <c r="H334" t="s">
        <v>121</v>
      </c>
      <c r="I334" t="s">
        <v>16</v>
      </c>
      <c r="J334" t="s">
        <v>52</v>
      </c>
      <c r="K334" t="s">
        <v>35</v>
      </c>
      <c r="L334" s="6">
        <v>0</v>
      </c>
      <c r="M334" s="6">
        <v>250</v>
      </c>
      <c r="N334" s="6">
        <v>250</v>
      </c>
      <c r="O334" s="6">
        <v>46511.48</v>
      </c>
      <c r="P334" s="7">
        <v>0</v>
      </c>
      <c r="Q334" s="6">
        <v>0</v>
      </c>
    </row>
    <row r="335" spans="1:17">
      <c r="A335">
        <v>334</v>
      </c>
      <c r="B335" s="5">
        <v>45730</v>
      </c>
      <c r="C335" t="s">
        <v>172</v>
      </c>
      <c r="D335" t="s">
        <v>173</v>
      </c>
      <c r="E335" t="s">
        <v>174</v>
      </c>
      <c r="F335">
        <v>5</v>
      </c>
      <c r="G335" t="s">
        <v>319</v>
      </c>
      <c r="H335" t="s">
        <v>121</v>
      </c>
      <c r="I335" t="s">
        <v>16</v>
      </c>
      <c r="J335" t="s">
        <v>52</v>
      </c>
      <c r="K335" t="s">
        <v>35</v>
      </c>
      <c r="L335" s="6">
        <v>0</v>
      </c>
      <c r="M335" s="6">
        <v>250</v>
      </c>
      <c r="N335" s="6">
        <v>250</v>
      </c>
      <c r="O335" s="6">
        <v>46761.48</v>
      </c>
      <c r="P335" s="7">
        <v>0</v>
      </c>
      <c r="Q335" s="6">
        <v>0</v>
      </c>
    </row>
    <row r="336" spans="1:17">
      <c r="A336">
        <v>335</v>
      </c>
      <c r="B336" s="5">
        <v>45730</v>
      </c>
      <c r="C336" t="s">
        <v>172</v>
      </c>
      <c r="D336" t="s">
        <v>173</v>
      </c>
      <c r="E336" t="s">
        <v>174</v>
      </c>
      <c r="F336">
        <v>5</v>
      </c>
      <c r="G336" t="s">
        <v>334</v>
      </c>
      <c r="H336" t="s">
        <v>66</v>
      </c>
      <c r="I336" t="s">
        <v>22</v>
      </c>
      <c r="J336" t="s">
        <v>67</v>
      </c>
      <c r="K336" t="s">
        <v>34</v>
      </c>
      <c r="L336" s="6">
        <v>5000</v>
      </c>
      <c r="M336" s="6">
        <v>0</v>
      </c>
      <c r="N336" s="6">
        <v>-5000</v>
      </c>
      <c r="O336" s="6">
        <v>41761.480000000003</v>
      </c>
      <c r="P336" s="7">
        <v>0</v>
      </c>
      <c r="Q336" s="6">
        <v>0</v>
      </c>
    </row>
    <row r="337" spans="1:17">
      <c r="A337">
        <v>336</v>
      </c>
      <c r="B337" s="5">
        <v>45730</v>
      </c>
      <c r="C337" t="s">
        <v>172</v>
      </c>
      <c r="D337" t="s">
        <v>173</v>
      </c>
      <c r="E337" t="s">
        <v>174</v>
      </c>
      <c r="F337">
        <v>5</v>
      </c>
      <c r="G337" t="s">
        <v>335</v>
      </c>
      <c r="H337" t="s">
        <v>66</v>
      </c>
      <c r="I337" t="s">
        <v>22</v>
      </c>
      <c r="J337" t="s">
        <v>67</v>
      </c>
      <c r="K337" t="s">
        <v>34</v>
      </c>
      <c r="L337" s="6">
        <v>739</v>
      </c>
      <c r="M337" s="6">
        <v>0</v>
      </c>
      <c r="N337" s="6">
        <v>-739</v>
      </c>
      <c r="O337" s="6">
        <v>41022.480000000003</v>
      </c>
      <c r="P337" s="7">
        <v>0</v>
      </c>
      <c r="Q337" s="6">
        <v>0</v>
      </c>
    </row>
    <row r="338" spans="1:17">
      <c r="A338">
        <v>337</v>
      </c>
      <c r="B338" s="5">
        <v>45730</v>
      </c>
      <c r="C338" t="s">
        <v>172</v>
      </c>
      <c r="D338" t="s">
        <v>173</v>
      </c>
      <c r="E338" t="s">
        <v>174</v>
      </c>
      <c r="F338">
        <v>5</v>
      </c>
      <c r="G338" t="s">
        <v>227</v>
      </c>
      <c r="H338" t="s">
        <v>228</v>
      </c>
      <c r="I338" t="s">
        <v>16</v>
      </c>
      <c r="J338" t="s">
        <v>52</v>
      </c>
      <c r="K338" t="s">
        <v>35</v>
      </c>
      <c r="L338" s="6">
        <v>0</v>
      </c>
      <c r="M338" s="6">
        <v>500</v>
      </c>
      <c r="N338" s="6">
        <v>500</v>
      </c>
      <c r="O338" s="6">
        <v>41522.480000000003</v>
      </c>
      <c r="P338" s="7">
        <v>0</v>
      </c>
      <c r="Q338" s="6">
        <v>0</v>
      </c>
    </row>
    <row r="339" spans="1:17">
      <c r="A339">
        <v>338</v>
      </c>
      <c r="B339" s="5">
        <v>45730</v>
      </c>
      <c r="C339" t="s">
        <v>172</v>
      </c>
      <c r="D339" t="s">
        <v>173</v>
      </c>
      <c r="E339" t="s">
        <v>174</v>
      </c>
      <c r="F339">
        <v>5</v>
      </c>
      <c r="G339" t="s">
        <v>227</v>
      </c>
      <c r="H339" t="s">
        <v>228</v>
      </c>
      <c r="I339" t="s">
        <v>16</v>
      </c>
      <c r="J339" t="s">
        <v>52</v>
      </c>
      <c r="K339" t="s">
        <v>35</v>
      </c>
      <c r="L339" s="6">
        <v>0</v>
      </c>
      <c r="M339" s="6">
        <v>500</v>
      </c>
      <c r="N339" s="6">
        <v>500</v>
      </c>
      <c r="O339" s="6">
        <v>42022.48</v>
      </c>
      <c r="P339" s="7">
        <v>0</v>
      </c>
      <c r="Q339" s="6">
        <v>0</v>
      </c>
    </row>
    <row r="340" spans="1:17">
      <c r="A340">
        <v>339</v>
      </c>
      <c r="B340" s="5">
        <v>45730</v>
      </c>
      <c r="C340" t="s">
        <v>172</v>
      </c>
      <c r="D340" t="s">
        <v>173</v>
      </c>
      <c r="E340" t="s">
        <v>174</v>
      </c>
      <c r="F340">
        <v>5</v>
      </c>
      <c r="G340" t="s">
        <v>227</v>
      </c>
      <c r="H340" t="s">
        <v>228</v>
      </c>
      <c r="I340" t="s">
        <v>16</v>
      </c>
      <c r="J340" t="s">
        <v>52</v>
      </c>
      <c r="K340" t="s">
        <v>35</v>
      </c>
      <c r="L340" s="6">
        <v>0</v>
      </c>
      <c r="M340" s="6">
        <v>500</v>
      </c>
      <c r="N340" s="6">
        <v>500</v>
      </c>
      <c r="O340" s="6">
        <v>42522.48</v>
      </c>
      <c r="P340" s="7">
        <v>0</v>
      </c>
      <c r="Q340" s="6">
        <v>0</v>
      </c>
    </row>
    <row r="341" spans="1:17">
      <c r="A341">
        <v>340</v>
      </c>
      <c r="B341" s="5">
        <v>45730</v>
      </c>
      <c r="C341" t="s">
        <v>172</v>
      </c>
      <c r="D341" t="s">
        <v>173</v>
      </c>
      <c r="E341" t="s">
        <v>174</v>
      </c>
      <c r="F341">
        <v>5</v>
      </c>
      <c r="G341" t="s">
        <v>312</v>
      </c>
      <c r="H341" t="s">
        <v>313</v>
      </c>
      <c r="I341" t="s">
        <v>16</v>
      </c>
      <c r="J341" t="s">
        <v>52</v>
      </c>
      <c r="K341" t="s">
        <v>35</v>
      </c>
      <c r="L341" s="6">
        <v>0</v>
      </c>
      <c r="M341" s="6">
        <v>600</v>
      </c>
      <c r="N341" s="6">
        <v>600</v>
      </c>
      <c r="O341" s="6">
        <v>43122.48</v>
      </c>
      <c r="P341" s="7">
        <v>0</v>
      </c>
      <c r="Q341" s="6">
        <v>0</v>
      </c>
    </row>
    <row r="342" spans="1:17">
      <c r="A342">
        <v>341</v>
      </c>
      <c r="B342" s="5">
        <v>45730</v>
      </c>
      <c r="C342" t="s">
        <v>172</v>
      </c>
      <c r="D342" t="s">
        <v>173</v>
      </c>
      <c r="E342" t="s">
        <v>174</v>
      </c>
      <c r="F342">
        <v>5</v>
      </c>
      <c r="G342" t="s">
        <v>336</v>
      </c>
      <c r="H342" t="s">
        <v>66</v>
      </c>
      <c r="I342" t="s">
        <v>22</v>
      </c>
      <c r="J342" t="s">
        <v>67</v>
      </c>
      <c r="K342" t="s">
        <v>34</v>
      </c>
      <c r="L342" s="6">
        <v>127.9</v>
      </c>
      <c r="M342" s="6">
        <v>0</v>
      </c>
      <c r="N342" s="6">
        <v>-127.9</v>
      </c>
      <c r="O342" s="6">
        <v>42994.58</v>
      </c>
      <c r="P342" s="7">
        <v>0</v>
      </c>
      <c r="Q342" s="6">
        <v>0</v>
      </c>
    </row>
    <row r="343" spans="1:17">
      <c r="A343">
        <v>342</v>
      </c>
      <c r="B343" s="5">
        <v>45730</v>
      </c>
      <c r="C343" t="s">
        <v>172</v>
      </c>
      <c r="D343" t="s">
        <v>173</v>
      </c>
      <c r="E343" t="s">
        <v>174</v>
      </c>
      <c r="F343">
        <v>5</v>
      </c>
      <c r="G343" t="s">
        <v>337</v>
      </c>
      <c r="H343" t="s">
        <v>66</v>
      </c>
      <c r="I343" t="s">
        <v>22</v>
      </c>
      <c r="J343" t="s">
        <v>67</v>
      </c>
      <c r="K343" t="s">
        <v>34</v>
      </c>
      <c r="L343" s="6">
        <v>773.72</v>
      </c>
      <c r="M343" s="6">
        <v>0</v>
      </c>
      <c r="N343" s="6">
        <v>-773.72</v>
      </c>
      <c r="O343" s="6">
        <v>42220.86</v>
      </c>
      <c r="P343" s="7">
        <v>0</v>
      </c>
      <c r="Q343" s="6">
        <v>0</v>
      </c>
    </row>
    <row r="344" spans="1:17">
      <c r="A344">
        <v>343</v>
      </c>
      <c r="B344" s="5">
        <v>45730</v>
      </c>
      <c r="C344" t="s">
        <v>172</v>
      </c>
      <c r="D344" t="s">
        <v>173</v>
      </c>
      <c r="E344" t="s">
        <v>174</v>
      </c>
      <c r="F344">
        <v>5</v>
      </c>
      <c r="G344" t="s">
        <v>338</v>
      </c>
      <c r="H344" t="s">
        <v>66</v>
      </c>
      <c r="I344" t="s">
        <v>22</v>
      </c>
      <c r="J344" t="s">
        <v>67</v>
      </c>
      <c r="K344" t="s">
        <v>34</v>
      </c>
      <c r="L344" s="6">
        <v>1576</v>
      </c>
      <c r="M344" s="6">
        <v>0</v>
      </c>
      <c r="N344" s="6">
        <v>-1576</v>
      </c>
      <c r="O344" s="6">
        <v>40644.86</v>
      </c>
      <c r="P344" s="7">
        <v>0</v>
      </c>
      <c r="Q344" s="6">
        <v>0</v>
      </c>
    </row>
    <row r="345" spans="1:17">
      <c r="A345">
        <v>344</v>
      </c>
      <c r="B345" s="5">
        <v>45730</v>
      </c>
      <c r="C345" t="s">
        <v>172</v>
      </c>
      <c r="D345" t="s">
        <v>173</v>
      </c>
      <c r="E345" t="s">
        <v>174</v>
      </c>
      <c r="F345">
        <v>5</v>
      </c>
      <c r="G345" t="s">
        <v>339</v>
      </c>
      <c r="H345" t="s">
        <v>66</v>
      </c>
      <c r="I345" t="s">
        <v>22</v>
      </c>
      <c r="J345" t="s">
        <v>67</v>
      </c>
      <c r="K345" t="s">
        <v>34</v>
      </c>
      <c r="L345" s="6">
        <v>2180.48</v>
      </c>
      <c r="M345" s="6">
        <v>0</v>
      </c>
      <c r="N345" s="6">
        <v>-2180.48</v>
      </c>
      <c r="O345" s="6">
        <v>38464.379999999997</v>
      </c>
      <c r="P345" s="7">
        <v>0</v>
      </c>
      <c r="Q345" s="6">
        <v>0</v>
      </c>
    </row>
    <row r="346" spans="1:17">
      <c r="A346">
        <v>345</v>
      </c>
      <c r="B346" s="5">
        <v>45730</v>
      </c>
      <c r="C346" t="s">
        <v>172</v>
      </c>
      <c r="D346" t="s">
        <v>173</v>
      </c>
      <c r="E346" t="s">
        <v>174</v>
      </c>
      <c r="F346">
        <v>5</v>
      </c>
      <c r="G346" t="s">
        <v>340</v>
      </c>
      <c r="H346" t="s">
        <v>66</v>
      </c>
      <c r="I346" t="s">
        <v>22</v>
      </c>
      <c r="J346" t="s">
        <v>67</v>
      </c>
      <c r="K346" t="s">
        <v>34</v>
      </c>
      <c r="L346" s="6">
        <v>2500</v>
      </c>
      <c r="M346" s="6">
        <v>0</v>
      </c>
      <c r="N346" s="6">
        <v>-2500</v>
      </c>
      <c r="O346" s="6">
        <v>35964.379999999997</v>
      </c>
      <c r="P346" s="7">
        <v>0</v>
      </c>
      <c r="Q346" s="6">
        <v>0</v>
      </c>
    </row>
    <row r="347" spans="1:17">
      <c r="A347">
        <v>346</v>
      </c>
      <c r="B347" s="5">
        <v>45730</v>
      </c>
      <c r="C347" t="s">
        <v>172</v>
      </c>
      <c r="D347" t="s">
        <v>173</v>
      </c>
      <c r="E347" t="s">
        <v>174</v>
      </c>
      <c r="F347">
        <v>5</v>
      </c>
      <c r="G347" t="s">
        <v>341</v>
      </c>
      <c r="H347" t="s">
        <v>66</v>
      </c>
      <c r="I347" t="s">
        <v>22</v>
      </c>
      <c r="J347" t="s">
        <v>67</v>
      </c>
      <c r="K347" t="s">
        <v>34</v>
      </c>
      <c r="L347" s="6">
        <v>5963</v>
      </c>
      <c r="M347" s="6">
        <v>0</v>
      </c>
      <c r="N347" s="6">
        <v>-5963</v>
      </c>
      <c r="O347" s="6">
        <v>30001.38</v>
      </c>
      <c r="P347" s="7">
        <v>0</v>
      </c>
      <c r="Q347" s="6">
        <v>0</v>
      </c>
    </row>
    <row r="348" spans="1:17">
      <c r="A348">
        <v>347</v>
      </c>
      <c r="B348" s="5">
        <v>45730</v>
      </c>
      <c r="C348" t="s">
        <v>172</v>
      </c>
      <c r="D348" t="s">
        <v>173</v>
      </c>
      <c r="E348" t="s">
        <v>174</v>
      </c>
      <c r="F348">
        <v>5</v>
      </c>
      <c r="G348" t="s">
        <v>342</v>
      </c>
      <c r="H348" t="s">
        <v>66</v>
      </c>
      <c r="I348" t="s">
        <v>22</v>
      </c>
      <c r="J348" t="s">
        <v>67</v>
      </c>
      <c r="K348" t="s">
        <v>34</v>
      </c>
      <c r="L348" s="6">
        <v>7400</v>
      </c>
      <c r="M348" s="6">
        <v>0</v>
      </c>
      <c r="N348" s="6">
        <v>-7400</v>
      </c>
      <c r="O348" s="6">
        <v>22601.38</v>
      </c>
      <c r="P348" s="7">
        <v>0</v>
      </c>
      <c r="Q348" s="6">
        <v>0</v>
      </c>
    </row>
    <row r="349" spans="1:17">
      <c r="A349">
        <v>348</v>
      </c>
      <c r="B349" s="5">
        <v>45730</v>
      </c>
      <c r="C349" t="s">
        <v>172</v>
      </c>
      <c r="D349" t="s">
        <v>173</v>
      </c>
      <c r="E349" t="s">
        <v>174</v>
      </c>
      <c r="F349">
        <v>5</v>
      </c>
      <c r="G349" t="s">
        <v>343</v>
      </c>
      <c r="H349" t="s">
        <v>344</v>
      </c>
      <c r="I349" t="s">
        <v>18</v>
      </c>
      <c r="J349" t="s">
        <v>345</v>
      </c>
      <c r="K349" t="s">
        <v>34</v>
      </c>
      <c r="L349" s="6">
        <v>2733</v>
      </c>
      <c r="M349" s="6">
        <v>0</v>
      </c>
      <c r="N349" s="6">
        <v>-2733</v>
      </c>
      <c r="O349" s="6">
        <v>19868.38</v>
      </c>
      <c r="P349" s="7">
        <v>0</v>
      </c>
      <c r="Q349" s="6">
        <v>0</v>
      </c>
    </row>
    <row r="350" spans="1:17">
      <c r="A350">
        <v>349</v>
      </c>
      <c r="B350" s="5">
        <v>45730</v>
      </c>
      <c r="C350" t="s">
        <v>172</v>
      </c>
      <c r="D350" t="s">
        <v>173</v>
      </c>
      <c r="E350" t="s">
        <v>174</v>
      </c>
      <c r="F350">
        <v>5</v>
      </c>
      <c r="G350" t="s">
        <v>346</v>
      </c>
      <c r="I350" t="s">
        <v>14</v>
      </c>
      <c r="J350" t="s">
        <v>46</v>
      </c>
      <c r="K350" t="s">
        <v>34</v>
      </c>
      <c r="L350" s="6">
        <v>30</v>
      </c>
      <c r="M350" s="6">
        <v>0</v>
      </c>
      <c r="N350" s="6">
        <v>-30</v>
      </c>
      <c r="O350" s="6">
        <v>19838.38</v>
      </c>
      <c r="P350" s="7">
        <v>0.15</v>
      </c>
      <c r="Q350" s="6">
        <v>3.91</v>
      </c>
    </row>
    <row r="351" spans="1:17">
      <c r="A351">
        <v>350</v>
      </c>
      <c r="B351" s="5">
        <v>45731</v>
      </c>
      <c r="C351" t="s">
        <v>172</v>
      </c>
      <c r="D351" t="s">
        <v>173</v>
      </c>
      <c r="E351" t="s">
        <v>174</v>
      </c>
      <c r="F351">
        <v>5</v>
      </c>
      <c r="G351" t="s">
        <v>347</v>
      </c>
      <c r="H351" t="s">
        <v>66</v>
      </c>
      <c r="I351" t="s">
        <v>22</v>
      </c>
      <c r="J351" t="s">
        <v>67</v>
      </c>
      <c r="K351" t="s">
        <v>34</v>
      </c>
      <c r="L351" s="6">
        <v>7102.99</v>
      </c>
      <c r="M351" s="6">
        <v>0</v>
      </c>
      <c r="N351" s="6">
        <v>-7102.99</v>
      </c>
      <c r="O351" s="6">
        <v>12735.39</v>
      </c>
      <c r="P351" s="7">
        <v>0</v>
      </c>
      <c r="Q351" s="6">
        <v>0</v>
      </c>
    </row>
    <row r="352" spans="1:17">
      <c r="A352">
        <v>351</v>
      </c>
      <c r="B352" s="5">
        <v>45733</v>
      </c>
      <c r="C352" t="s">
        <v>172</v>
      </c>
      <c r="D352" t="s">
        <v>173</v>
      </c>
      <c r="E352" t="s">
        <v>174</v>
      </c>
      <c r="F352">
        <v>5</v>
      </c>
      <c r="G352" t="s">
        <v>348</v>
      </c>
      <c r="H352" t="s">
        <v>349</v>
      </c>
      <c r="I352" t="s">
        <v>16</v>
      </c>
      <c r="J352" t="s">
        <v>52</v>
      </c>
      <c r="K352" t="s">
        <v>35</v>
      </c>
      <c r="L352" s="6">
        <v>0</v>
      </c>
      <c r="M352" s="6">
        <v>200</v>
      </c>
      <c r="N352" s="6">
        <v>200</v>
      </c>
      <c r="O352" s="6">
        <v>12935.39</v>
      </c>
      <c r="P352" s="7">
        <v>0</v>
      </c>
      <c r="Q352" s="6">
        <v>0</v>
      </c>
    </row>
    <row r="353" spans="1:17">
      <c r="A353">
        <v>352</v>
      </c>
      <c r="B353" s="5">
        <v>45733</v>
      </c>
      <c r="C353" t="s">
        <v>172</v>
      </c>
      <c r="D353" t="s">
        <v>173</v>
      </c>
      <c r="E353" t="s">
        <v>174</v>
      </c>
      <c r="F353">
        <v>5</v>
      </c>
      <c r="G353" t="s">
        <v>350</v>
      </c>
      <c r="H353" t="s">
        <v>132</v>
      </c>
      <c r="I353" t="s">
        <v>16</v>
      </c>
      <c r="J353" t="s">
        <v>52</v>
      </c>
      <c r="K353" t="s">
        <v>35</v>
      </c>
      <c r="L353" s="6">
        <v>0</v>
      </c>
      <c r="M353" s="6">
        <v>5000</v>
      </c>
      <c r="N353" s="6">
        <v>5000</v>
      </c>
      <c r="O353" s="6">
        <v>17935.39</v>
      </c>
      <c r="P353" s="7">
        <v>0</v>
      </c>
      <c r="Q353" s="6">
        <v>0</v>
      </c>
    </row>
    <row r="354" spans="1:17">
      <c r="A354">
        <v>353</v>
      </c>
      <c r="B354" s="5">
        <v>45733</v>
      </c>
      <c r="C354" t="s">
        <v>172</v>
      </c>
      <c r="D354" t="s">
        <v>173</v>
      </c>
      <c r="E354" t="s">
        <v>174</v>
      </c>
      <c r="F354">
        <v>5</v>
      </c>
      <c r="G354" t="s">
        <v>351</v>
      </c>
      <c r="H354" t="s">
        <v>352</v>
      </c>
      <c r="I354" t="s">
        <v>16</v>
      </c>
      <c r="J354" t="s">
        <v>52</v>
      </c>
      <c r="K354" t="s">
        <v>35</v>
      </c>
      <c r="L354" s="6">
        <v>0</v>
      </c>
      <c r="M354" s="6">
        <v>100</v>
      </c>
      <c r="N354" s="6">
        <v>100</v>
      </c>
      <c r="O354" s="6">
        <v>18035.39</v>
      </c>
      <c r="P354" s="7">
        <v>0</v>
      </c>
      <c r="Q354" s="6">
        <v>0</v>
      </c>
    </row>
    <row r="355" spans="1:17">
      <c r="A355">
        <v>354</v>
      </c>
      <c r="B355" s="5">
        <v>45733</v>
      </c>
      <c r="C355" t="s">
        <v>172</v>
      </c>
      <c r="D355" t="s">
        <v>173</v>
      </c>
      <c r="E355" t="s">
        <v>174</v>
      </c>
      <c r="F355">
        <v>5</v>
      </c>
      <c r="G355" t="s">
        <v>351</v>
      </c>
      <c r="H355" t="s">
        <v>352</v>
      </c>
      <c r="I355" t="s">
        <v>16</v>
      </c>
      <c r="J355" t="s">
        <v>52</v>
      </c>
      <c r="K355" t="s">
        <v>35</v>
      </c>
      <c r="L355" s="6">
        <v>0</v>
      </c>
      <c r="M355" s="6">
        <v>150</v>
      </c>
      <c r="N355" s="6">
        <v>150</v>
      </c>
      <c r="O355" s="6">
        <v>18185.39</v>
      </c>
      <c r="P355" s="7">
        <v>0</v>
      </c>
      <c r="Q355" s="6">
        <v>0</v>
      </c>
    </row>
    <row r="356" spans="1:17">
      <c r="A356">
        <v>355</v>
      </c>
      <c r="B356" s="5">
        <v>45733</v>
      </c>
      <c r="C356" t="s">
        <v>172</v>
      </c>
      <c r="D356" t="s">
        <v>173</v>
      </c>
      <c r="E356" t="s">
        <v>174</v>
      </c>
      <c r="F356">
        <v>5</v>
      </c>
      <c r="G356" t="s">
        <v>353</v>
      </c>
      <c r="H356" t="s">
        <v>354</v>
      </c>
      <c r="I356" t="s">
        <v>16</v>
      </c>
      <c r="J356" t="s">
        <v>52</v>
      </c>
      <c r="K356" t="s">
        <v>35</v>
      </c>
      <c r="L356" s="6">
        <v>0</v>
      </c>
      <c r="M356" s="6">
        <v>55</v>
      </c>
      <c r="N356" s="6">
        <v>55</v>
      </c>
      <c r="O356" s="6">
        <v>18240.39</v>
      </c>
      <c r="P356" s="7">
        <v>0</v>
      </c>
      <c r="Q356" s="6">
        <v>0</v>
      </c>
    </row>
    <row r="357" spans="1:17">
      <c r="A357">
        <v>356</v>
      </c>
      <c r="B357" s="5">
        <v>45733</v>
      </c>
      <c r="C357" t="s">
        <v>172</v>
      </c>
      <c r="D357" t="s">
        <v>173</v>
      </c>
      <c r="E357" t="s">
        <v>174</v>
      </c>
      <c r="F357">
        <v>5</v>
      </c>
      <c r="G357" t="s">
        <v>190</v>
      </c>
      <c r="H357" t="s">
        <v>112</v>
      </c>
      <c r="I357" t="s">
        <v>16</v>
      </c>
      <c r="J357" t="s">
        <v>52</v>
      </c>
      <c r="K357" t="s">
        <v>35</v>
      </c>
      <c r="L357" s="6">
        <v>0</v>
      </c>
      <c r="M357" s="6">
        <v>20000</v>
      </c>
      <c r="N357" s="6">
        <v>20000</v>
      </c>
      <c r="O357" s="6">
        <v>38240.39</v>
      </c>
      <c r="P357" s="7">
        <v>0</v>
      </c>
      <c r="Q357" s="6">
        <v>0</v>
      </c>
    </row>
    <row r="358" spans="1:17">
      <c r="A358">
        <v>357</v>
      </c>
      <c r="B358" s="5">
        <v>45733</v>
      </c>
      <c r="C358" t="s">
        <v>172</v>
      </c>
      <c r="D358" t="s">
        <v>173</v>
      </c>
      <c r="E358" t="s">
        <v>174</v>
      </c>
      <c r="F358">
        <v>5</v>
      </c>
      <c r="G358" t="s">
        <v>355</v>
      </c>
      <c r="H358" t="s">
        <v>66</v>
      </c>
      <c r="I358" t="s">
        <v>22</v>
      </c>
      <c r="J358" t="s">
        <v>67</v>
      </c>
      <c r="K358" t="s">
        <v>34</v>
      </c>
      <c r="L358" s="6">
        <v>357</v>
      </c>
      <c r="M358" s="6">
        <v>0</v>
      </c>
      <c r="N358" s="6">
        <v>-357</v>
      </c>
      <c r="O358" s="6">
        <v>37883.39</v>
      </c>
      <c r="P358" s="7">
        <v>0</v>
      </c>
      <c r="Q358" s="6">
        <v>0</v>
      </c>
    </row>
    <row r="359" spans="1:17">
      <c r="A359">
        <v>358</v>
      </c>
      <c r="B359" s="5">
        <v>45733</v>
      </c>
      <c r="C359" t="s">
        <v>172</v>
      </c>
      <c r="D359" t="s">
        <v>173</v>
      </c>
      <c r="E359" t="s">
        <v>174</v>
      </c>
      <c r="F359">
        <v>5</v>
      </c>
      <c r="G359" t="s">
        <v>356</v>
      </c>
      <c r="H359" t="s">
        <v>66</v>
      </c>
      <c r="I359" t="s">
        <v>22</v>
      </c>
      <c r="J359" t="s">
        <v>67</v>
      </c>
      <c r="K359" t="s">
        <v>34</v>
      </c>
      <c r="L359" s="6">
        <v>2110</v>
      </c>
      <c r="M359" s="6">
        <v>0</v>
      </c>
      <c r="N359" s="6">
        <v>-2110</v>
      </c>
      <c r="O359" s="6">
        <v>35773.39</v>
      </c>
      <c r="P359" s="7">
        <v>0</v>
      </c>
      <c r="Q359" s="6">
        <v>0</v>
      </c>
    </row>
    <row r="360" spans="1:17">
      <c r="A360">
        <v>359</v>
      </c>
      <c r="B360" s="5">
        <v>45733</v>
      </c>
      <c r="C360" t="s">
        <v>172</v>
      </c>
      <c r="D360" t="s">
        <v>173</v>
      </c>
      <c r="E360" t="s">
        <v>174</v>
      </c>
      <c r="F360">
        <v>5</v>
      </c>
      <c r="G360" t="s">
        <v>357</v>
      </c>
      <c r="H360" t="s">
        <v>66</v>
      </c>
      <c r="I360" t="s">
        <v>22</v>
      </c>
      <c r="J360" t="s">
        <v>67</v>
      </c>
      <c r="K360" t="s">
        <v>34</v>
      </c>
      <c r="L360" s="6">
        <v>1124</v>
      </c>
      <c r="M360" s="6">
        <v>0</v>
      </c>
      <c r="N360" s="6">
        <v>-1124</v>
      </c>
      <c r="O360" s="6">
        <v>34649.39</v>
      </c>
      <c r="P360" s="7">
        <v>0</v>
      </c>
      <c r="Q360" s="6">
        <v>0</v>
      </c>
    </row>
    <row r="361" spans="1:17">
      <c r="A361">
        <v>360</v>
      </c>
      <c r="B361" s="5">
        <v>45733</v>
      </c>
      <c r="C361" t="s">
        <v>172</v>
      </c>
      <c r="D361" t="s">
        <v>173</v>
      </c>
      <c r="E361" t="s">
        <v>174</v>
      </c>
      <c r="F361">
        <v>5</v>
      </c>
      <c r="G361" t="s">
        <v>358</v>
      </c>
      <c r="H361" t="s">
        <v>66</v>
      </c>
      <c r="I361" t="s">
        <v>22</v>
      </c>
      <c r="J361" t="s">
        <v>67</v>
      </c>
      <c r="K361" t="s">
        <v>34</v>
      </c>
      <c r="L361" s="6">
        <v>1000</v>
      </c>
      <c r="M361" s="6">
        <v>0</v>
      </c>
      <c r="N361" s="6">
        <v>-1000</v>
      </c>
      <c r="O361" s="6">
        <v>33649.39</v>
      </c>
      <c r="P361" s="7">
        <v>0</v>
      </c>
      <c r="Q361" s="6">
        <v>0</v>
      </c>
    </row>
    <row r="362" spans="1:17">
      <c r="A362">
        <v>361</v>
      </c>
      <c r="B362" s="5">
        <v>45733</v>
      </c>
      <c r="C362" t="s">
        <v>172</v>
      </c>
      <c r="D362" t="s">
        <v>173</v>
      </c>
      <c r="E362" t="s">
        <v>174</v>
      </c>
      <c r="F362">
        <v>5</v>
      </c>
      <c r="G362" t="s">
        <v>201</v>
      </c>
      <c r="H362" t="s">
        <v>100</v>
      </c>
      <c r="I362" t="s">
        <v>16</v>
      </c>
      <c r="J362" t="s">
        <v>52</v>
      </c>
      <c r="K362" t="s">
        <v>35</v>
      </c>
      <c r="L362" s="6">
        <v>0</v>
      </c>
      <c r="M362" s="6">
        <v>1300</v>
      </c>
      <c r="N362" s="6">
        <v>1300</v>
      </c>
      <c r="O362" s="6">
        <v>34949.39</v>
      </c>
      <c r="P362" s="7">
        <v>0</v>
      </c>
      <c r="Q362" s="6">
        <v>0</v>
      </c>
    </row>
    <row r="363" spans="1:17">
      <c r="A363">
        <v>362</v>
      </c>
      <c r="B363" s="5">
        <v>45733</v>
      </c>
      <c r="C363" t="s">
        <v>172</v>
      </c>
      <c r="D363" t="s">
        <v>173</v>
      </c>
      <c r="E363" t="s">
        <v>174</v>
      </c>
      <c r="F363">
        <v>5</v>
      </c>
      <c r="G363" t="s">
        <v>251</v>
      </c>
      <c r="H363" t="s">
        <v>252</v>
      </c>
      <c r="I363" t="s">
        <v>16</v>
      </c>
      <c r="J363" t="s">
        <v>52</v>
      </c>
      <c r="K363" t="s">
        <v>35</v>
      </c>
      <c r="L363" s="6">
        <v>0</v>
      </c>
      <c r="M363" s="6">
        <v>150</v>
      </c>
      <c r="N363" s="6">
        <v>150</v>
      </c>
      <c r="O363" s="6">
        <v>35099.39</v>
      </c>
      <c r="P363" s="7">
        <v>0</v>
      </c>
      <c r="Q363" s="6">
        <v>0</v>
      </c>
    </row>
    <row r="364" spans="1:17">
      <c r="A364">
        <v>363</v>
      </c>
      <c r="B364" s="5">
        <v>45733</v>
      </c>
      <c r="C364" t="s">
        <v>172</v>
      </c>
      <c r="D364" t="s">
        <v>173</v>
      </c>
      <c r="E364" t="s">
        <v>174</v>
      </c>
      <c r="F364">
        <v>5</v>
      </c>
      <c r="G364" t="s">
        <v>353</v>
      </c>
      <c r="H364" t="s">
        <v>354</v>
      </c>
      <c r="I364" t="s">
        <v>16</v>
      </c>
      <c r="J364" t="s">
        <v>52</v>
      </c>
      <c r="K364" t="s">
        <v>35</v>
      </c>
      <c r="L364" s="6">
        <v>0</v>
      </c>
      <c r="M364" s="6">
        <v>50</v>
      </c>
      <c r="N364" s="6">
        <v>50</v>
      </c>
      <c r="O364" s="6">
        <v>35149.39</v>
      </c>
      <c r="P364" s="7">
        <v>0</v>
      </c>
      <c r="Q364" s="6">
        <v>0</v>
      </c>
    </row>
    <row r="365" spans="1:17">
      <c r="A365">
        <v>364</v>
      </c>
      <c r="B365" s="5">
        <v>45733</v>
      </c>
      <c r="C365" t="s">
        <v>172</v>
      </c>
      <c r="D365" t="s">
        <v>173</v>
      </c>
      <c r="E365" t="s">
        <v>174</v>
      </c>
      <c r="F365">
        <v>5</v>
      </c>
      <c r="G365" t="s">
        <v>319</v>
      </c>
      <c r="H365" t="s">
        <v>121</v>
      </c>
      <c r="I365" t="s">
        <v>16</v>
      </c>
      <c r="J365" t="s">
        <v>52</v>
      </c>
      <c r="K365" t="s">
        <v>35</v>
      </c>
      <c r="L365" s="6">
        <v>0</v>
      </c>
      <c r="M365" s="6">
        <v>250</v>
      </c>
      <c r="N365" s="6">
        <v>250</v>
      </c>
      <c r="O365" s="6">
        <v>35399.39</v>
      </c>
      <c r="P365" s="7">
        <v>0</v>
      </c>
      <c r="Q365" s="6">
        <v>0</v>
      </c>
    </row>
    <row r="366" spans="1:17">
      <c r="A366">
        <v>365</v>
      </c>
      <c r="B366" s="5">
        <v>45733</v>
      </c>
      <c r="C366" t="s">
        <v>172</v>
      </c>
      <c r="D366" t="s">
        <v>173</v>
      </c>
      <c r="E366" t="s">
        <v>174</v>
      </c>
      <c r="F366">
        <v>5</v>
      </c>
      <c r="G366" t="s">
        <v>359</v>
      </c>
      <c r="H366" t="s">
        <v>360</v>
      </c>
      <c r="I366" t="s">
        <v>16</v>
      </c>
      <c r="J366" t="s">
        <v>52</v>
      </c>
      <c r="K366" t="s">
        <v>35</v>
      </c>
      <c r="L366" s="6">
        <v>0</v>
      </c>
      <c r="M366" s="6">
        <v>300</v>
      </c>
      <c r="N366" s="6">
        <v>300</v>
      </c>
      <c r="O366" s="6">
        <v>35699.39</v>
      </c>
      <c r="P366" s="7">
        <v>0</v>
      </c>
      <c r="Q366" s="6">
        <v>0</v>
      </c>
    </row>
    <row r="367" spans="1:17">
      <c r="A367">
        <v>366</v>
      </c>
      <c r="B367" s="5">
        <v>45733</v>
      </c>
      <c r="C367" t="s">
        <v>172</v>
      </c>
      <c r="D367" t="s">
        <v>173</v>
      </c>
      <c r="E367" t="s">
        <v>174</v>
      </c>
      <c r="F367">
        <v>5</v>
      </c>
      <c r="G367" t="s">
        <v>278</v>
      </c>
      <c r="H367" t="s">
        <v>89</v>
      </c>
      <c r="I367" t="s">
        <v>16</v>
      </c>
      <c r="J367" t="s">
        <v>52</v>
      </c>
      <c r="K367" t="s">
        <v>35</v>
      </c>
      <c r="L367" s="6">
        <v>0</v>
      </c>
      <c r="M367" s="6">
        <v>219</v>
      </c>
      <c r="N367" s="6">
        <v>219</v>
      </c>
      <c r="O367" s="6">
        <v>35918.39</v>
      </c>
      <c r="P367" s="7">
        <v>0</v>
      </c>
      <c r="Q367" s="6">
        <v>0</v>
      </c>
    </row>
    <row r="368" spans="1:17">
      <c r="A368">
        <v>367</v>
      </c>
      <c r="B368" s="5">
        <v>45733</v>
      </c>
      <c r="C368" t="s">
        <v>172</v>
      </c>
      <c r="D368" t="s">
        <v>173</v>
      </c>
      <c r="E368" t="s">
        <v>174</v>
      </c>
      <c r="F368">
        <v>5</v>
      </c>
      <c r="G368" t="s">
        <v>361</v>
      </c>
      <c r="H368" t="s">
        <v>66</v>
      </c>
      <c r="I368" t="s">
        <v>22</v>
      </c>
      <c r="J368" t="s">
        <v>67</v>
      </c>
      <c r="K368" t="s">
        <v>34</v>
      </c>
      <c r="L368" s="6">
        <v>259</v>
      </c>
      <c r="M368" s="6">
        <v>0</v>
      </c>
      <c r="N368" s="6">
        <v>-259</v>
      </c>
      <c r="O368" s="6">
        <v>35659.39</v>
      </c>
      <c r="P368" s="7">
        <v>0</v>
      </c>
      <c r="Q368" s="6">
        <v>0</v>
      </c>
    </row>
    <row r="369" spans="1:17">
      <c r="A369">
        <v>368</v>
      </c>
      <c r="B369" s="5">
        <v>45733</v>
      </c>
      <c r="C369" t="s">
        <v>172</v>
      </c>
      <c r="D369" t="s">
        <v>173</v>
      </c>
      <c r="E369" t="s">
        <v>174</v>
      </c>
      <c r="F369">
        <v>5</v>
      </c>
      <c r="G369" t="s">
        <v>362</v>
      </c>
      <c r="H369" t="s">
        <v>66</v>
      </c>
      <c r="I369" t="s">
        <v>22</v>
      </c>
      <c r="J369" t="s">
        <v>67</v>
      </c>
      <c r="K369" t="s">
        <v>34</v>
      </c>
      <c r="L369" s="6">
        <v>2000</v>
      </c>
      <c r="M369" s="6">
        <v>0</v>
      </c>
      <c r="N369" s="6">
        <v>-2000</v>
      </c>
      <c r="O369" s="6">
        <v>33659.39</v>
      </c>
      <c r="P369" s="7">
        <v>0</v>
      </c>
      <c r="Q369" s="6">
        <v>0</v>
      </c>
    </row>
    <row r="370" spans="1:17">
      <c r="A370">
        <v>369</v>
      </c>
      <c r="B370" s="5">
        <v>45733</v>
      </c>
      <c r="C370" t="s">
        <v>172</v>
      </c>
      <c r="D370" t="s">
        <v>173</v>
      </c>
      <c r="E370" t="s">
        <v>174</v>
      </c>
      <c r="F370">
        <v>5</v>
      </c>
      <c r="G370" t="s">
        <v>363</v>
      </c>
      <c r="H370" t="s">
        <v>66</v>
      </c>
      <c r="I370" t="s">
        <v>22</v>
      </c>
      <c r="J370" t="s">
        <v>67</v>
      </c>
      <c r="K370" t="s">
        <v>34</v>
      </c>
      <c r="L370" s="6">
        <v>1200</v>
      </c>
      <c r="M370" s="6">
        <v>0</v>
      </c>
      <c r="N370" s="6">
        <v>-1200</v>
      </c>
      <c r="O370" s="6">
        <v>32459.39</v>
      </c>
      <c r="P370" s="7">
        <v>0</v>
      </c>
      <c r="Q370" s="6">
        <v>0</v>
      </c>
    </row>
    <row r="371" spans="1:17">
      <c r="A371">
        <v>370</v>
      </c>
      <c r="B371" s="5">
        <v>45733</v>
      </c>
      <c r="C371" t="s">
        <v>172</v>
      </c>
      <c r="D371" t="s">
        <v>173</v>
      </c>
      <c r="E371" t="s">
        <v>174</v>
      </c>
      <c r="F371">
        <v>6</v>
      </c>
      <c r="G371" t="s">
        <v>364</v>
      </c>
      <c r="H371" t="s">
        <v>66</v>
      </c>
      <c r="I371" t="s">
        <v>22</v>
      </c>
      <c r="J371" t="s">
        <v>67</v>
      </c>
      <c r="K371" t="s">
        <v>34</v>
      </c>
      <c r="L371" s="6">
        <v>9371</v>
      </c>
      <c r="M371" s="6">
        <v>0</v>
      </c>
      <c r="N371" s="6">
        <v>-9371</v>
      </c>
      <c r="O371" s="6">
        <v>23088.39</v>
      </c>
      <c r="P371" s="7">
        <v>0</v>
      </c>
      <c r="Q371" s="6">
        <v>0</v>
      </c>
    </row>
    <row r="372" spans="1:17">
      <c r="A372">
        <v>371</v>
      </c>
      <c r="B372" s="5">
        <v>45733</v>
      </c>
      <c r="C372" t="s">
        <v>172</v>
      </c>
      <c r="D372" t="s">
        <v>173</v>
      </c>
      <c r="E372" t="s">
        <v>174</v>
      </c>
      <c r="F372">
        <v>6</v>
      </c>
      <c r="G372" t="s">
        <v>353</v>
      </c>
      <c r="H372" t="s">
        <v>354</v>
      </c>
      <c r="I372" t="s">
        <v>16</v>
      </c>
      <c r="J372" t="s">
        <v>52</v>
      </c>
      <c r="K372" t="s">
        <v>35</v>
      </c>
      <c r="L372" s="6">
        <v>0</v>
      </c>
      <c r="M372" s="6">
        <v>80</v>
      </c>
      <c r="N372" s="6">
        <v>80</v>
      </c>
      <c r="O372" s="6">
        <v>23168.39</v>
      </c>
      <c r="P372" s="7">
        <v>0</v>
      </c>
      <c r="Q372" s="6">
        <v>0</v>
      </c>
    </row>
    <row r="373" spans="1:17">
      <c r="A373">
        <v>372</v>
      </c>
      <c r="B373" s="5">
        <v>45733</v>
      </c>
      <c r="C373" t="s">
        <v>172</v>
      </c>
      <c r="D373" t="s">
        <v>173</v>
      </c>
      <c r="E373" t="s">
        <v>174</v>
      </c>
      <c r="F373">
        <v>6</v>
      </c>
      <c r="G373" t="s">
        <v>353</v>
      </c>
      <c r="H373" t="s">
        <v>354</v>
      </c>
      <c r="I373" t="s">
        <v>16</v>
      </c>
      <c r="J373" t="s">
        <v>52</v>
      </c>
      <c r="K373" t="s">
        <v>35</v>
      </c>
      <c r="L373" s="6">
        <v>0</v>
      </c>
      <c r="M373" s="6">
        <v>20</v>
      </c>
      <c r="N373" s="6">
        <v>20</v>
      </c>
      <c r="O373" s="6">
        <v>23188.39</v>
      </c>
      <c r="P373" s="7">
        <v>0</v>
      </c>
      <c r="Q373" s="6">
        <v>0</v>
      </c>
    </row>
    <row r="374" spans="1:17">
      <c r="A374">
        <v>373</v>
      </c>
      <c r="B374" s="5">
        <v>45733</v>
      </c>
      <c r="C374" t="s">
        <v>172</v>
      </c>
      <c r="D374" t="s">
        <v>173</v>
      </c>
      <c r="E374" t="s">
        <v>174</v>
      </c>
      <c r="F374">
        <v>6</v>
      </c>
      <c r="G374" t="s">
        <v>278</v>
      </c>
      <c r="H374" t="s">
        <v>89</v>
      </c>
      <c r="I374" t="s">
        <v>16</v>
      </c>
      <c r="J374" t="s">
        <v>52</v>
      </c>
      <c r="K374" t="s">
        <v>35</v>
      </c>
      <c r="L374" s="6">
        <v>0</v>
      </c>
      <c r="M374" s="6">
        <v>59</v>
      </c>
      <c r="N374" s="6">
        <v>59</v>
      </c>
      <c r="O374" s="6">
        <v>23247.39</v>
      </c>
      <c r="P374" s="7">
        <v>0</v>
      </c>
      <c r="Q374" s="6">
        <v>0</v>
      </c>
    </row>
    <row r="375" spans="1:17">
      <c r="A375">
        <v>374</v>
      </c>
      <c r="B375" s="5">
        <v>45733</v>
      </c>
      <c r="C375" t="s">
        <v>172</v>
      </c>
      <c r="D375" t="s">
        <v>173</v>
      </c>
      <c r="E375" t="s">
        <v>174</v>
      </c>
      <c r="F375">
        <v>6</v>
      </c>
      <c r="G375" t="s">
        <v>319</v>
      </c>
      <c r="H375" t="s">
        <v>121</v>
      </c>
      <c r="I375" t="s">
        <v>16</v>
      </c>
      <c r="J375" t="s">
        <v>52</v>
      </c>
      <c r="K375" t="s">
        <v>35</v>
      </c>
      <c r="L375" s="6">
        <v>0</v>
      </c>
      <c r="M375" s="6">
        <v>250</v>
      </c>
      <c r="N375" s="6">
        <v>250</v>
      </c>
      <c r="O375" s="6">
        <v>23497.39</v>
      </c>
      <c r="P375" s="7">
        <v>0</v>
      </c>
      <c r="Q375" s="6">
        <v>0</v>
      </c>
    </row>
    <row r="376" spans="1:17">
      <c r="A376">
        <v>375</v>
      </c>
      <c r="B376" s="5">
        <v>45733</v>
      </c>
      <c r="C376" t="s">
        <v>172</v>
      </c>
      <c r="D376" t="s">
        <v>173</v>
      </c>
      <c r="E376" t="s">
        <v>174</v>
      </c>
      <c r="F376">
        <v>6</v>
      </c>
      <c r="G376" t="s">
        <v>278</v>
      </c>
      <c r="H376" t="s">
        <v>89</v>
      </c>
      <c r="I376" t="s">
        <v>16</v>
      </c>
      <c r="J376" t="s">
        <v>52</v>
      </c>
      <c r="K376" t="s">
        <v>35</v>
      </c>
      <c r="L376" s="6">
        <v>0</v>
      </c>
      <c r="M376" s="6">
        <v>300</v>
      </c>
      <c r="N376" s="6">
        <v>300</v>
      </c>
      <c r="O376" s="6">
        <v>23797.39</v>
      </c>
      <c r="P376" s="7">
        <v>0</v>
      </c>
      <c r="Q376" s="6">
        <v>0</v>
      </c>
    </row>
    <row r="377" spans="1:17">
      <c r="A377">
        <v>376</v>
      </c>
      <c r="B377" s="5">
        <v>45733</v>
      </c>
      <c r="C377" t="s">
        <v>172</v>
      </c>
      <c r="D377" t="s">
        <v>173</v>
      </c>
      <c r="E377" t="s">
        <v>174</v>
      </c>
      <c r="F377">
        <v>6</v>
      </c>
      <c r="G377" t="s">
        <v>258</v>
      </c>
      <c r="H377" t="s">
        <v>259</v>
      </c>
      <c r="I377" t="s">
        <v>16</v>
      </c>
      <c r="J377" t="s">
        <v>52</v>
      </c>
      <c r="K377" t="s">
        <v>35</v>
      </c>
      <c r="L377" s="6">
        <v>0</v>
      </c>
      <c r="M377" s="6">
        <v>400</v>
      </c>
      <c r="N377" s="6">
        <v>400</v>
      </c>
      <c r="O377" s="6">
        <v>24197.39</v>
      </c>
      <c r="P377" s="7">
        <v>0</v>
      </c>
      <c r="Q377" s="6">
        <v>0</v>
      </c>
    </row>
    <row r="378" spans="1:17">
      <c r="A378">
        <v>377</v>
      </c>
      <c r="B378" s="5">
        <v>45733</v>
      </c>
      <c r="C378" t="s">
        <v>172</v>
      </c>
      <c r="D378" t="s">
        <v>173</v>
      </c>
      <c r="E378" t="s">
        <v>174</v>
      </c>
      <c r="F378">
        <v>6</v>
      </c>
      <c r="G378" t="s">
        <v>365</v>
      </c>
      <c r="H378" t="s">
        <v>66</v>
      </c>
      <c r="I378" t="s">
        <v>22</v>
      </c>
      <c r="J378" t="s">
        <v>67</v>
      </c>
      <c r="K378" t="s">
        <v>34</v>
      </c>
      <c r="L378" s="6">
        <v>1000</v>
      </c>
      <c r="M378" s="6">
        <v>0</v>
      </c>
      <c r="N378" s="6">
        <v>-1000</v>
      </c>
      <c r="O378" s="6">
        <v>23197.39</v>
      </c>
      <c r="P378" s="7">
        <v>0</v>
      </c>
      <c r="Q378" s="6">
        <v>0</v>
      </c>
    </row>
    <row r="379" spans="1:17">
      <c r="A379">
        <v>378</v>
      </c>
      <c r="B379" s="5">
        <v>45733</v>
      </c>
      <c r="C379" t="s">
        <v>172</v>
      </c>
      <c r="D379" t="s">
        <v>173</v>
      </c>
      <c r="E379" t="s">
        <v>174</v>
      </c>
      <c r="F379">
        <v>6</v>
      </c>
      <c r="G379" t="s">
        <v>366</v>
      </c>
      <c r="H379" t="s">
        <v>66</v>
      </c>
      <c r="I379" t="s">
        <v>22</v>
      </c>
      <c r="J379" t="s">
        <v>67</v>
      </c>
      <c r="K379" t="s">
        <v>34</v>
      </c>
      <c r="L379" s="6">
        <v>302</v>
      </c>
      <c r="M379" s="6">
        <v>0</v>
      </c>
      <c r="N379" s="6">
        <v>-302</v>
      </c>
      <c r="O379" s="6">
        <v>22895.39</v>
      </c>
      <c r="P379" s="7">
        <v>0</v>
      </c>
      <c r="Q379" s="6">
        <v>0</v>
      </c>
    </row>
    <row r="380" spans="1:17">
      <c r="A380">
        <v>379</v>
      </c>
      <c r="B380" s="5">
        <v>45733</v>
      </c>
      <c r="C380" t="s">
        <v>172</v>
      </c>
      <c r="D380" t="s">
        <v>173</v>
      </c>
      <c r="E380" t="s">
        <v>174</v>
      </c>
      <c r="F380">
        <v>6</v>
      </c>
      <c r="G380" t="s">
        <v>367</v>
      </c>
      <c r="H380" t="s">
        <v>368</v>
      </c>
      <c r="I380" t="s">
        <v>18</v>
      </c>
      <c r="J380" t="s">
        <v>345</v>
      </c>
      <c r="K380" t="s">
        <v>34</v>
      </c>
      <c r="L380" s="6">
        <v>139</v>
      </c>
      <c r="M380" s="6">
        <v>0</v>
      </c>
      <c r="N380" s="6">
        <v>-139</v>
      </c>
      <c r="O380" s="6">
        <v>22756.39</v>
      </c>
      <c r="P380" s="7">
        <v>0</v>
      </c>
      <c r="Q380" s="6">
        <v>0</v>
      </c>
    </row>
    <row r="381" spans="1:17">
      <c r="A381">
        <v>380</v>
      </c>
      <c r="B381" s="5">
        <v>45733</v>
      </c>
      <c r="C381" t="s">
        <v>172</v>
      </c>
      <c r="D381" t="s">
        <v>173</v>
      </c>
      <c r="E381" t="s">
        <v>174</v>
      </c>
      <c r="F381">
        <v>6</v>
      </c>
      <c r="G381" t="s">
        <v>346</v>
      </c>
      <c r="I381" t="s">
        <v>14</v>
      </c>
      <c r="J381" t="s">
        <v>46</v>
      </c>
      <c r="K381" t="s">
        <v>34</v>
      </c>
      <c r="L381" s="6">
        <v>20</v>
      </c>
      <c r="M381" s="6">
        <v>0</v>
      </c>
      <c r="N381" s="6">
        <v>-20</v>
      </c>
      <c r="O381" s="6">
        <v>22736.39</v>
      </c>
      <c r="P381" s="7">
        <v>0.15</v>
      </c>
      <c r="Q381" s="6">
        <v>2.61</v>
      </c>
    </row>
    <row r="382" spans="1:17">
      <c r="A382">
        <v>381</v>
      </c>
      <c r="B382" s="5">
        <v>45733</v>
      </c>
      <c r="C382" t="s">
        <v>172</v>
      </c>
      <c r="D382" t="s">
        <v>173</v>
      </c>
      <c r="E382" t="s">
        <v>174</v>
      </c>
      <c r="F382">
        <v>6</v>
      </c>
      <c r="G382" t="s">
        <v>292</v>
      </c>
      <c r="H382" t="s">
        <v>293</v>
      </c>
      <c r="I382" t="s">
        <v>16</v>
      </c>
      <c r="J382" t="s">
        <v>52</v>
      </c>
      <c r="K382" t="s">
        <v>35</v>
      </c>
      <c r="L382" s="6">
        <v>0</v>
      </c>
      <c r="M382" s="6">
        <v>250</v>
      </c>
      <c r="N382" s="6">
        <v>250</v>
      </c>
      <c r="O382" s="6">
        <v>22986.39</v>
      </c>
      <c r="P382" s="7">
        <v>0</v>
      </c>
      <c r="Q382" s="6">
        <v>0</v>
      </c>
    </row>
    <row r="383" spans="1:17">
      <c r="A383">
        <v>382</v>
      </c>
      <c r="B383" s="5">
        <v>45733</v>
      </c>
      <c r="C383" t="s">
        <v>172</v>
      </c>
      <c r="D383" t="s">
        <v>173</v>
      </c>
      <c r="E383" t="s">
        <v>174</v>
      </c>
      <c r="F383">
        <v>6</v>
      </c>
      <c r="G383" t="s">
        <v>369</v>
      </c>
      <c r="H383" t="s">
        <v>370</v>
      </c>
      <c r="I383" t="s">
        <v>16</v>
      </c>
      <c r="J383" t="s">
        <v>52</v>
      </c>
      <c r="K383" t="s">
        <v>35</v>
      </c>
      <c r="L383" s="6">
        <v>0</v>
      </c>
      <c r="M383" s="6">
        <v>400</v>
      </c>
      <c r="N383" s="6">
        <v>400</v>
      </c>
      <c r="O383" s="6">
        <v>23386.39</v>
      </c>
      <c r="P383" s="7">
        <v>0</v>
      </c>
      <c r="Q383" s="6">
        <v>0</v>
      </c>
    </row>
    <row r="384" spans="1:17">
      <c r="A384">
        <v>383</v>
      </c>
      <c r="B384" s="5">
        <v>45733</v>
      </c>
      <c r="C384" t="s">
        <v>172</v>
      </c>
      <c r="D384" t="s">
        <v>173</v>
      </c>
      <c r="E384" t="s">
        <v>174</v>
      </c>
      <c r="F384">
        <v>6</v>
      </c>
      <c r="G384" t="s">
        <v>371</v>
      </c>
      <c r="H384" t="s">
        <v>66</v>
      </c>
      <c r="I384" t="s">
        <v>22</v>
      </c>
      <c r="J384" t="s">
        <v>67</v>
      </c>
      <c r="K384" t="s">
        <v>34</v>
      </c>
      <c r="L384" s="6">
        <v>1526.93</v>
      </c>
      <c r="M384" s="6">
        <v>0</v>
      </c>
      <c r="N384" s="6">
        <v>-1526.93</v>
      </c>
      <c r="O384" s="6">
        <v>21859.46</v>
      </c>
      <c r="P384" s="7">
        <v>0</v>
      </c>
      <c r="Q384" s="6">
        <v>0</v>
      </c>
    </row>
    <row r="385" spans="1:17">
      <c r="A385">
        <v>384</v>
      </c>
      <c r="B385" s="5">
        <v>45734</v>
      </c>
      <c r="C385" t="s">
        <v>172</v>
      </c>
      <c r="D385" t="s">
        <v>173</v>
      </c>
      <c r="E385" t="s">
        <v>174</v>
      </c>
      <c r="F385">
        <v>6</v>
      </c>
      <c r="G385" t="s">
        <v>312</v>
      </c>
      <c r="H385" t="s">
        <v>313</v>
      </c>
      <c r="I385" t="s">
        <v>16</v>
      </c>
      <c r="J385" t="s">
        <v>52</v>
      </c>
      <c r="K385" t="s">
        <v>35</v>
      </c>
      <c r="L385" s="6">
        <v>0</v>
      </c>
      <c r="M385" s="6">
        <v>500</v>
      </c>
      <c r="N385" s="6">
        <v>500</v>
      </c>
      <c r="O385" s="6">
        <v>22359.46</v>
      </c>
      <c r="P385" s="7">
        <v>0</v>
      </c>
      <c r="Q385" s="6">
        <v>0</v>
      </c>
    </row>
    <row r="386" spans="1:17">
      <c r="A386">
        <v>385</v>
      </c>
      <c r="B386" s="5">
        <v>45734</v>
      </c>
      <c r="C386" t="s">
        <v>172</v>
      </c>
      <c r="D386" t="s">
        <v>173</v>
      </c>
      <c r="E386" t="s">
        <v>174</v>
      </c>
      <c r="F386">
        <v>6</v>
      </c>
      <c r="G386" t="s">
        <v>372</v>
      </c>
      <c r="H386" t="s">
        <v>373</v>
      </c>
      <c r="I386" t="s">
        <v>16</v>
      </c>
      <c r="J386" t="s">
        <v>52</v>
      </c>
      <c r="K386" t="s">
        <v>35</v>
      </c>
      <c r="L386" s="6">
        <v>0</v>
      </c>
      <c r="M386" s="6">
        <v>50</v>
      </c>
      <c r="N386" s="6">
        <v>50</v>
      </c>
      <c r="O386" s="6">
        <v>22409.46</v>
      </c>
      <c r="P386" s="7">
        <v>0</v>
      </c>
      <c r="Q386" s="6">
        <v>0</v>
      </c>
    </row>
    <row r="387" spans="1:17">
      <c r="A387">
        <v>386</v>
      </c>
      <c r="B387" s="5">
        <v>45734</v>
      </c>
      <c r="C387" t="s">
        <v>172</v>
      </c>
      <c r="D387" t="s">
        <v>173</v>
      </c>
      <c r="E387" t="s">
        <v>174</v>
      </c>
      <c r="F387">
        <v>6</v>
      </c>
      <c r="G387" t="s">
        <v>359</v>
      </c>
      <c r="H387" t="s">
        <v>360</v>
      </c>
      <c r="I387" t="s">
        <v>16</v>
      </c>
      <c r="J387" t="s">
        <v>52</v>
      </c>
      <c r="K387" t="s">
        <v>35</v>
      </c>
      <c r="L387" s="6">
        <v>0</v>
      </c>
      <c r="M387" s="6">
        <v>700</v>
      </c>
      <c r="N387" s="6">
        <v>700</v>
      </c>
      <c r="O387" s="6">
        <v>23109.46</v>
      </c>
      <c r="P387" s="7">
        <v>0</v>
      </c>
      <c r="Q387" s="6">
        <v>0</v>
      </c>
    </row>
    <row r="388" spans="1:17">
      <c r="A388">
        <v>387</v>
      </c>
      <c r="B388" s="5">
        <v>45734</v>
      </c>
      <c r="C388" t="s">
        <v>172</v>
      </c>
      <c r="D388" t="s">
        <v>173</v>
      </c>
      <c r="E388" t="s">
        <v>174</v>
      </c>
      <c r="F388">
        <v>6</v>
      </c>
      <c r="G388" t="s">
        <v>312</v>
      </c>
      <c r="H388" t="s">
        <v>313</v>
      </c>
      <c r="I388" t="s">
        <v>16</v>
      </c>
      <c r="J388" t="s">
        <v>52</v>
      </c>
      <c r="K388" t="s">
        <v>35</v>
      </c>
      <c r="L388" s="6">
        <v>0</v>
      </c>
      <c r="M388" s="6">
        <v>300</v>
      </c>
      <c r="N388" s="6">
        <v>300</v>
      </c>
      <c r="O388" s="6">
        <v>23409.46</v>
      </c>
      <c r="P388" s="7">
        <v>0</v>
      </c>
      <c r="Q388" s="6">
        <v>0</v>
      </c>
    </row>
    <row r="389" spans="1:17">
      <c r="A389">
        <v>388</v>
      </c>
      <c r="B389" s="5">
        <v>45734</v>
      </c>
      <c r="C389" t="s">
        <v>172</v>
      </c>
      <c r="D389" t="s">
        <v>173</v>
      </c>
      <c r="E389" t="s">
        <v>174</v>
      </c>
      <c r="F389">
        <v>6</v>
      </c>
      <c r="G389" t="s">
        <v>374</v>
      </c>
      <c r="H389" t="s">
        <v>375</v>
      </c>
      <c r="I389" t="s">
        <v>16</v>
      </c>
      <c r="J389" t="s">
        <v>52</v>
      </c>
      <c r="K389" t="s">
        <v>35</v>
      </c>
      <c r="L389" s="6">
        <v>0</v>
      </c>
      <c r="M389" s="6">
        <v>850</v>
      </c>
      <c r="N389" s="6">
        <v>850</v>
      </c>
      <c r="O389" s="6">
        <v>24259.46</v>
      </c>
      <c r="P389" s="7">
        <v>0</v>
      </c>
      <c r="Q389" s="6">
        <v>0</v>
      </c>
    </row>
    <row r="390" spans="1:17">
      <c r="A390">
        <v>389</v>
      </c>
      <c r="B390" s="5">
        <v>45734</v>
      </c>
      <c r="C390" t="s">
        <v>172</v>
      </c>
      <c r="D390" t="s">
        <v>173</v>
      </c>
      <c r="E390" t="s">
        <v>174</v>
      </c>
      <c r="F390">
        <v>6</v>
      </c>
      <c r="G390" t="s">
        <v>227</v>
      </c>
      <c r="H390" t="s">
        <v>228</v>
      </c>
      <c r="I390" t="s">
        <v>16</v>
      </c>
      <c r="J390" t="s">
        <v>52</v>
      </c>
      <c r="K390" t="s">
        <v>35</v>
      </c>
      <c r="L390" s="6">
        <v>0</v>
      </c>
      <c r="M390" s="6">
        <v>1000</v>
      </c>
      <c r="N390" s="6">
        <v>1000</v>
      </c>
      <c r="O390" s="6">
        <v>25259.46</v>
      </c>
      <c r="P390" s="7">
        <v>0</v>
      </c>
      <c r="Q390" s="6">
        <v>0</v>
      </c>
    </row>
    <row r="391" spans="1:17">
      <c r="A391">
        <v>390</v>
      </c>
      <c r="B391" s="5">
        <v>45734</v>
      </c>
      <c r="C391" t="s">
        <v>172</v>
      </c>
      <c r="D391" t="s">
        <v>173</v>
      </c>
      <c r="E391" t="s">
        <v>174</v>
      </c>
      <c r="F391">
        <v>6</v>
      </c>
      <c r="G391" t="s">
        <v>376</v>
      </c>
      <c r="H391" t="s">
        <v>377</v>
      </c>
      <c r="I391" t="s">
        <v>16</v>
      </c>
      <c r="J391" t="s">
        <v>52</v>
      </c>
      <c r="K391" t="s">
        <v>35</v>
      </c>
      <c r="L391" s="6">
        <v>0</v>
      </c>
      <c r="M391" s="6">
        <v>100</v>
      </c>
      <c r="N391" s="6">
        <v>100</v>
      </c>
      <c r="O391" s="6">
        <v>25359.46</v>
      </c>
      <c r="P391" s="7">
        <v>0</v>
      </c>
      <c r="Q391" s="6">
        <v>0</v>
      </c>
    </row>
    <row r="392" spans="1:17">
      <c r="A392">
        <v>391</v>
      </c>
      <c r="B392" s="5">
        <v>45734</v>
      </c>
      <c r="C392" t="s">
        <v>172</v>
      </c>
      <c r="D392" t="s">
        <v>173</v>
      </c>
      <c r="E392" t="s">
        <v>174</v>
      </c>
      <c r="F392">
        <v>6</v>
      </c>
      <c r="G392" t="s">
        <v>374</v>
      </c>
      <c r="H392" t="s">
        <v>375</v>
      </c>
      <c r="I392" t="s">
        <v>16</v>
      </c>
      <c r="J392" t="s">
        <v>52</v>
      </c>
      <c r="K392" t="s">
        <v>35</v>
      </c>
      <c r="L392" s="6">
        <v>0</v>
      </c>
      <c r="M392" s="6">
        <v>1500</v>
      </c>
      <c r="N392" s="6">
        <v>1500</v>
      </c>
      <c r="O392" s="6">
        <v>26859.46</v>
      </c>
      <c r="P392" s="7">
        <v>0</v>
      </c>
      <c r="Q392" s="6">
        <v>0</v>
      </c>
    </row>
    <row r="393" spans="1:17">
      <c r="A393">
        <v>392</v>
      </c>
      <c r="B393" s="5">
        <v>45734</v>
      </c>
      <c r="C393" t="s">
        <v>172</v>
      </c>
      <c r="D393" t="s">
        <v>173</v>
      </c>
      <c r="E393" t="s">
        <v>174</v>
      </c>
      <c r="F393">
        <v>6</v>
      </c>
      <c r="G393" t="s">
        <v>378</v>
      </c>
      <c r="H393" t="s">
        <v>66</v>
      </c>
      <c r="I393" t="s">
        <v>22</v>
      </c>
      <c r="J393" t="s">
        <v>67</v>
      </c>
      <c r="K393" t="s">
        <v>34</v>
      </c>
      <c r="L393" s="6">
        <v>1950</v>
      </c>
      <c r="M393" s="6">
        <v>0</v>
      </c>
      <c r="N393" s="6">
        <v>-1950</v>
      </c>
      <c r="O393" s="6">
        <v>24909.46</v>
      </c>
      <c r="P393" s="7">
        <v>0</v>
      </c>
      <c r="Q393" s="6">
        <v>0</v>
      </c>
    </row>
    <row r="394" spans="1:17">
      <c r="A394">
        <v>393</v>
      </c>
      <c r="B394" s="5">
        <v>45734</v>
      </c>
      <c r="C394" t="s">
        <v>172</v>
      </c>
      <c r="D394" t="s">
        <v>173</v>
      </c>
      <c r="E394" t="s">
        <v>174</v>
      </c>
      <c r="F394">
        <v>6</v>
      </c>
      <c r="G394" t="s">
        <v>379</v>
      </c>
      <c r="H394" t="s">
        <v>75</v>
      </c>
      <c r="I394" t="s">
        <v>16</v>
      </c>
      <c r="J394" t="s">
        <v>52</v>
      </c>
      <c r="K394" t="s">
        <v>35</v>
      </c>
      <c r="L394" s="6">
        <v>0</v>
      </c>
      <c r="M394" s="6">
        <v>8900</v>
      </c>
      <c r="N394" s="6">
        <v>8900</v>
      </c>
      <c r="O394" s="6">
        <v>33809.46</v>
      </c>
      <c r="P394" s="7">
        <v>0</v>
      </c>
      <c r="Q394" s="6">
        <v>0</v>
      </c>
    </row>
    <row r="395" spans="1:17">
      <c r="A395">
        <v>394</v>
      </c>
      <c r="B395" s="5">
        <v>45734</v>
      </c>
      <c r="C395" t="s">
        <v>172</v>
      </c>
      <c r="D395" t="s">
        <v>173</v>
      </c>
      <c r="E395" t="s">
        <v>174</v>
      </c>
      <c r="F395">
        <v>6</v>
      </c>
      <c r="G395" t="s">
        <v>233</v>
      </c>
      <c r="H395" t="s">
        <v>162</v>
      </c>
      <c r="I395" t="s">
        <v>16</v>
      </c>
      <c r="J395" t="s">
        <v>52</v>
      </c>
      <c r="K395" t="s">
        <v>35</v>
      </c>
      <c r="L395" s="6">
        <v>0</v>
      </c>
      <c r="M395" s="6">
        <v>1000</v>
      </c>
      <c r="N395" s="6">
        <v>1000</v>
      </c>
      <c r="O395" s="6">
        <v>34809.46</v>
      </c>
      <c r="P395" s="7">
        <v>0</v>
      </c>
      <c r="Q395" s="6">
        <v>0</v>
      </c>
    </row>
    <row r="396" spans="1:17">
      <c r="A396">
        <v>395</v>
      </c>
      <c r="B396" s="5">
        <v>45734</v>
      </c>
      <c r="C396" t="s">
        <v>172</v>
      </c>
      <c r="D396" t="s">
        <v>173</v>
      </c>
      <c r="E396" t="s">
        <v>174</v>
      </c>
      <c r="F396">
        <v>6</v>
      </c>
      <c r="G396" t="s">
        <v>312</v>
      </c>
      <c r="H396" t="s">
        <v>313</v>
      </c>
      <c r="I396" t="s">
        <v>16</v>
      </c>
      <c r="J396" t="s">
        <v>52</v>
      </c>
      <c r="K396" t="s">
        <v>35</v>
      </c>
      <c r="L396" s="6">
        <v>0</v>
      </c>
      <c r="M396" s="6">
        <v>500</v>
      </c>
      <c r="N396" s="6">
        <v>500</v>
      </c>
      <c r="O396" s="6">
        <v>35309.46</v>
      </c>
      <c r="P396" s="7">
        <v>0</v>
      </c>
      <c r="Q396" s="6">
        <v>0</v>
      </c>
    </row>
    <row r="397" spans="1:17">
      <c r="A397">
        <v>396</v>
      </c>
      <c r="B397" s="5">
        <v>45734</v>
      </c>
      <c r="C397" t="s">
        <v>172</v>
      </c>
      <c r="D397" t="s">
        <v>173</v>
      </c>
      <c r="E397" t="s">
        <v>174</v>
      </c>
      <c r="F397">
        <v>6</v>
      </c>
      <c r="G397" t="s">
        <v>194</v>
      </c>
      <c r="H397" t="s">
        <v>195</v>
      </c>
      <c r="I397" t="s">
        <v>16</v>
      </c>
      <c r="J397" t="s">
        <v>52</v>
      </c>
      <c r="K397" t="s">
        <v>35</v>
      </c>
      <c r="L397" s="6">
        <v>0</v>
      </c>
      <c r="M397" s="6">
        <v>190</v>
      </c>
      <c r="N397" s="6">
        <v>190</v>
      </c>
      <c r="O397" s="6">
        <v>35499.46</v>
      </c>
      <c r="P397" s="7">
        <v>0</v>
      </c>
      <c r="Q397" s="6">
        <v>0</v>
      </c>
    </row>
    <row r="398" spans="1:17">
      <c r="A398">
        <v>397</v>
      </c>
      <c r="B398" s="5">
        <v>45734</v>
      </c>
      <c r="C398" t="s">
        <v>172</v>
      </c>
      <c r="D398" t="s">
        <v>173</v>
      </c>
      <c r="E398" t="s">
        <v>174</v>
      </c>
      <c r="F398">
        <v>6</v>
      </c>
      <c r="G398" t="s">
        <v>380</v>
      </c>
      <c r="H398" t="s">
        <v>66</v>
      </c>
      <c r="I398" t="s">
        <v>22</v>
      </c>
      <c r="J398" t="s">
        <v>67</v>
      </c>
      <c r="K398" t="s">
        <v>34</v>
      </c>
      <c r="L398" s="6">
        <v>350</v>
      </c>
      <c r="M398" s="6">
        <v>0</v>
      </c>
      <c r="N398" s="6">
        <v>-350</v>
      </c>
      <c r="O398" s="6">
        <v>35149.46</v>
      </c>
      <c r="P398" s="7">
        <v>0</v>
      </c>
      <c r="Q398" s="6">
        <v>0</v>
      </c>
    </row>
    <row r="399" spans="1:17">
      <c r="A399">
        <v>398</v>
      </c>
      <c r="B399" s="5">
        <v>45734</v>
      </c>
      <c r="C399" t="s">
        <v>172</v>
      </c>
      <c r="D399" t="s">
        <v>173</v>
      </c>
      <c r="E399" t="s">
        <v>174</v>
      </c>
      <c r="F399">
        <v>6</v>
      </c>
      <c r="G399" t="s">
        <v>381</v>
      </c>
      <c r="H399" t="s">
        <v>66</v>
      </c>
      <c r="I399" t="s">
        <v>22</v>
      </c>
      <c r="J399" t="s">
        <v>67</v>
      </c>
      <c r="K399" t="s">
        <v>34</v>
      </c>
      <c r="L399" s="6">
        <v>200</v>
      </c>
      <c r="M399" s="6">
        <v>0</v>
      </c>
      <c r="N399" s="6">
        <v>-200</v>
      </c>
      <c r="O399" s="6">
        <v>34949.46</v>
      </c>
      <c r="P399" s="7">
        <v>0</v>
      </c>
      <c r="Q399" s="6">
        <v>0</v>
      </c>
    </row>
    <row r="400" spans="1:17">
      <c r="A400">
        <v>399</v>
      </c>
      <c r="B400" s="5">
        <v>45734</v>
      </c>
      <c r="C400" t="s">
        <v>172</v>
      </c>
      <c r="D400" t="s">
        <v>173</v>
      </c>
      <c r="E400" t="s">
        <v>174</v>
      </c>
      <c r="F400">
        <v>6</v>
      </c>
      <c r="G400" t="s">
        <v>382</v>
      </c>
      <c r="H400" t="s">
        <v>66</v>
      </c>
      <c r="I400" t="s">
        <v>22</v>
      </c>
      <c r="J400" t="s">
        <v>67</v>
      </c>
      <c r="K400" t="s">
        <v>34</v>
      </c>
      <c r="L400" s="6">
        <v>1750</v>
      </c>
      <c r="M400" s="6">
        <v>0</v>
      </c>
      <c r="N400" s="6">
        <v>-1750</v>
      </c>
      <c r="O400" s="6">
        <v>33199.46</v>
      </c>
      <c r="P400" s="7">
        <v>0</v>
      </c>
      <c r="Q400" s="6">
        <v>0</v>
      </c>
    </row>
    <row r="401" spans="1:17">
      <c r="A401">
        <v>400</v>
      </c>
      <c r="B401" s="5">
        <v>45734</v>
      </c>
      <c r="C401" t="s">
        <v>172</v>
      </c>
      <c r="D401" t="s">
        <v>173</v>
      </c>
      <c r="E401" t="s">
        <v>174</v>
      </c>
      <c r="F401">
        <v>6</v>
      </c>
      <c r="G401" t="s">
        <v>383</v>
      </c>
      <c r="H401" t="s">
        <v>66</v>
      </c>
      <c r="I401" t="s">
        <v>22</v>
      </c>
      <c r="J401" t="s">
        <v>67</v>
      </c>
      <c r="K401" t="s">
        <v>34</v>
      </c>
      <c r="L401" s="6">
        <v>331.64</v>
      </c>
      <c r="M401" s="6">
        <v>0</v>
      </c>
      <c r="N401" s="6">
        <v>-331.64</v>
      </c>
      <c r="O401" s="6">
        <v>32867.82</v>
      </c>
      <c r="P401" s="7">
        <v>0</v>
      </c>
      <c r="Q401" s="6">
        <v>0</v>
      </c>
    </row>
    <row r="402" spans="1:17">
      <c r="A402">
        <v>401</v>
      </c>
      <c r="B402" s="5">
        <v>45734</v>
      </c>
      <c r="C402" t="s">
        <v>172</v>
      </c>
      <c r="D402" t="s">
        <v>173</v>
      </c>
      <c r="E402" t="s">
        <v>174</v>
      </c>
      <c r="F402">
        <v>6</v>
      </c>
      <c r="G402" t="s">
        <v>384</v>
      </c>
      <c r="H402" t="s">
        <v>66</v>
      </c>
      <c r="I402" t="s">
        <v>22</v>
      </c>
      <c r="J402" t="s">
        <v>67</v>
      </c>
      <c r="K402" t="s">
        <v>34</v>
      </c>
      <c r="L402" s="6">
        <v>763</v>
      </c>
      <c r="M402" s="6">
        <v>0</v>
      </c>
      <c r="N402" s="6">
        <v>-763</v>
      </c>
      <c r="O402" s="6">
        <v>32104.82</v>
      </c>
      <c r="P402" s="7">
        <v>0</v>
      </c>
      <c r="Q402" s="6">
        <v>0</v>
      </c>
    </row>
    <row r="403" spans="1:17">
      <c r="A403">
        <v>402</v>
      </c>
      <c r="B403" s="5">
        <v>45734</v>
      </c>
      <c r="C403" t="s">
        <v>172</v>
      </c>
      <c r="D403" t="s">
        <v>173</v>
      </c>
      <c r="E403" t="s">
        <v>174</v>
      </c>
      <c r="F403">
        <v>6</v>
      </c>
      <c r="G403" t="s">
        <v>374</v>
      </c>
      <c r="H403" t="s">
        <v>375</v>
      </c>
      <c r="I403" t="s">
        <v>16</v>
      </c>
      <c r="J403" t="s">
        <v>52</v>
      </c>
      <c r="K403" t="s">
        <v>35</v>
      </c>
      <c r="L403" s="6">
        <v>0</v>
      </c>
      <c r="M403" s="6">
        <v>500</v>
      </c>
      <c r="N403" s="6">
        <v>500</v>
      </c>
      <c r="O403" s="6">
        <v>32604.82</v>
      </c>
      <c r="P403" s="7">
        <v>0</v>
      </c>
      <c r="Q403" s="6">
        <v>0</v>
      </c>
    </row>
    <row r="404" spans="1:17">
      <c r="A404">
        <v>403</v>
      </c>
      <c r="B404" s="5">
        <v>45734</v>
      </c>
      <c r="C404" t="s">
        <v>172</v>
      </c>
      <c r="D404" t="s">
        <v>173</v>
      </c>
      <c r="E404" t="s">
        <v>174</v>
      </c>
      <c r="F404">
        <v>6</v>
      </c>
      <c r="G404" t="s">
        <v>201</v>
      </c>
      <c r="H404" t="s">
        <v>100</v>
      </c>
      <c r="I404" t="s">
        <v>16</v>
      </c>
      <c r="J404" t="s">
        <v>52</v>
      </c>
      <c r="K404" t="s">
        <v>35</v>
      </c>
      <c r="L404" s="6">
        <v>0</v>
      </c>
      <c r="M404" s="6">
        <v>1000</v>
      </c>
      <c r="N404" s="6">
        <v>1000</v>
      </c>
      <c r="O404" s="6">
        <v>33604.82</v>
      </c>
      <c r="P404" s="7">
        <v>0</v>
      </c>
      <c r="Q404" s="6">
        <v>0</v>
      </c>
    </row>
    <row r="405" spans="1:17">
      <c r="A405">
        <v>404</v>
      </c>
      <c r="B405" s="5">
        <v>45734</v>
      </c>
      <c r="C405" t="s">
        <v>172</v>
      </c>
      <c r="D405" t="s">
        <v>173</v>
      </c>
      <c r="E405" t="s">
        <v>174</v>
      </c>
      <c r="F405">
        <v>6</v>
      </c>
      <c r="G405" t="s">
        <v>278</v>
      </c>
      <c r="H405" t="s">
        <v>89</v>
      </c>
      <c r="I405" t="s">
        <v>16</v>
      </c>
      <c r="J405" t="s">
        <v>52</v>
      </c>
      <c r="K405" t="s">
        <v>35</v>
      </c>
      <c r="L405" s="6">
        <v>0</v>
      </c>
      <c r="M405" s="6">
        <v>300</v>
      </c>
      <c r="N405" s="6">
        <v>300</v>
      </c>
      <c r="O405" s="6">
        <v>33904.82</v>
      </c>
      <c r="P405" s="7">
        <v>0</v>
      </c>
      <c r="Q405" s="6">
        <v>0</v>
      </c>
    </row>
    <row r="406" spans="1:17">
      <c r="A406">
        <v>405</v>
      </c>
      <c r="B406" s="5">
        <v>45734</v>
      </c>
      <c r="C406" t="s">
        <v>172</v>
      </c>
      <c r="D406" t="s">
        <v>173</v>
      </c>
      <c r="E406" t="s">
        <v>174</v>
      </c>
      <c r="F406">
        <v>6</v>
      </c>
      <c r="G406" t="s">
        <v>379</v>
      </c>
      <c r="H406" t="s">
        <v>75</v>
      </c>
      <c r="I406" t="s">
        <v>16</v>
      </c>
      <c r="J406" t="s">
        <v>52</v>
      </c>
      <c r="K406" t="s">
        <v>35</v>
      </c>
      <c r="L406" s="6">
        <v>0</v>
      </c>
      <c r="M406" s="6">
        <v>5000</v>
      </c>
      <c r="N406" s="6">
        <v>5000</v>
      </c>
      <c r="O406" s="6">
        <v>38904.82</v>
      </c>
      <c r="P406" s="7">
        <v>0</v>
      </c>
      <c r="Q406" s="6">
        <v>0</v>
      </c>
    </row>
    <row r="407" spans="1:17">
      <c r="A407">
        <v>406</v>
      </c>
      <c r="B407" s="5">
        <v>45734</v>
      </c>
      <c r="C407" t="s">
        <v>172</v>
      </c>
      <c r="D407" t="s">
        <v>173</v>
      </c>
      <c r="E407" t="s">
        <v>174</v>
      </c>
      <c r="F407">
        <v>6</v>
      </c>
      <c r="G407" t="s">
        <v>379</v>
      </c>
      <c r="H407" t="s">
        <v>75</v>
      </c>
      <c r="I407" t="s">
        <v>16</v>
      </c>
      <c r="J407" t="s">
        <v>52</v>
      </c>
      <c r="K407" t="s">
        <v>35</v>
      </c>
      <c r="L407" s="6">
        <v>0</v>
      </c>
      <c r="M407" s="6">
        <v>10000</v>
      </c>
      <c r="N407" s="6">
        <v>10000</v>
      </c>
      <c r="O407" s="6">
        <v>48904.82</v>
      </c>
      <c r="P407" s="7">
        <v>0</v>
      </c>
      <c r="Q407" s="6">
        <v>0</v>
      </c>
    </row>
    <row r="408" spans="1:17">
      <c r="A408">
        <v>407</v>
      </c>
      <c r="B408" s="5">
        <v>45734</v>
      </c>
      <c r="C408" t="s">
        <v>172</v>
      </c>
      <c r="D408" t="s">
        <v>173</v>
      </c>
      <c r="E408" t="s">
        <v>174</v>
      </c>
      <c r="F408">
        <v>6</v>
      </c>
      <c r="G408" t="s">
        <v>312</v>
      </c>
      <c r="H408" t="s">
        <v>313</v>
      </c>
      <c r="I408" t="s">
        <v>16</v>
      </c>
      <c r="J408" t="s">
        <v>52</v>
      </c>
      <c r="K408" t="s">
        <v>35</v>
      </c>
      <c r="L408" s="6">
        <v>0</v>
      </c>
      <c r="M408" s="6">
        <v>520</v>
      </c>
      <c r="N408" s="6">
        <v>520</v>
      </c>
      <c r="O408" s="6">
        <v>49424.82</v>
      </c>
      <c r="P408" s="7">
        <v>0</v>
      </c>
      <c r="Q408" s="6">
        <v>0</v>
      </c>
    </row>
    <row r="409" spans="1:17">
      <c r="A409">
        <v>408</v>
      </c>
      <c r="B409" s="5">
        <v>45735</v>
      </c>
      <c r="C409" t="s">
        <v>172</v>
      </c>
      <c r="D409" t="s">
        <v>173</v>
      </c>
      <c r="E409" t="s">
        <v>174</v>
      </c>
      <c r="F409">
        <v>6</v>
      </c>
      <c r="G409" t="s">
        <v>227</v>
      </c>
      <c r="H409" t="s">
        <v>228</v>
      </c>
      <c r="I409" t="s">
        <v>16</v>
      </c>
      <c r="J409" t="s">
        <v>52</v>
      </c>
      <c r="K409" t="s">
        <v>35</v>
      </c>
      <c r="L409" s="6">
        <v>0</v>
      </c>
      <c r="M409" s="6">
        <v>1000</v>
      </c>
      <c r="N409" s="6">
        <v>1000</v>
      </c>
      <c r="O409" s="6">
        <v>50424.82</v>
      </c>
      <c r="P409" s="7">
        <v>0</v>
      </c>
      <c r="Q409" s="6">
        <v>0</v>
      </c>
    </row>
    <row r="410" spans="1:17">
      <c r="A410">
        <v>409</v>
      </c>
      <c r="B410" s="5">
        <v>45735</v>
      </c>
      <c r="C410" t="s">
        <v>172</v>
      </c>
      <c r="D410" t="s">
        <v>173</v>
      </c>
      <c r="E410" t="s">
        <v>174</v>
      </c>
      <c r="F410">
        <v>6</v>
      </c>
      <c r="G410" t="s">
        <v>199</v>
      </c>
      <c r="H410" t="s">
        <v>200</v>
      </c>
      <c r="I410" t="s">
        <v>16</v>
      </c>
      <c r="J410" t="s">
        <v>52</v>
      </c>
      <c r="K410" t="s">
        <v>35</v>
      </c>
      <c r="L410" s="6">
        <v>0</v>
      </c>
      <c r="M410" s="6">
        <v>2000</v>
      </c>
      <c r="N410" s="6">
        <v>2000</v>
      </c>
      <c r="O410" s="6">
        <v>52424.82</v>
      </c>
      <c r="P410" s="7">
        <v>0</v>
      </c>
      <c r="Q410" s="6">
        <v>0</v>
      </c>
    </row>
    <row r="411" spans="1:17">
      <c r="A411">
        <v>410</v>
      </c>
      <c r="B411" s="5">
        <v>45735</v>
      </c>
      <c r="C411" t="s">
        <v>172</v>
      </c>
      <c r="D411" t="s">
        <v>173</v>
      </c>
      <c r="E411" t="s">
        <v>174</v>
      </c>
      <c r="F411">
        <v>6</v>
      </c>
      <c r="G411" t="s">
        <v>312</v>
      </c>
      <c r="H411" t="s">
        <v>313</v>
      </c>
      <c r="I411" t="s">
        <v>16</v>
      </c>
      <c r="J411" t="s">
        <v>52</v>
      </c>
      <c r="K411" t="s">
        <v>35</v>
      </c>
      <c r="L411" s="6">
        <v>0</v>
      </c>
      <c r="M411" s="6">
        <v>2000</v>
      </c>
      <c r="N411" s="6">
        <v>2000</v>
      </c>
      <c r="O411" s="6">
        <v>54424.82</v>
      </c>
      <c r="P411" s="7">
        <v>0</v>
      </c>
      <c r="Q411" s="6">
        <v>0</v>
      </c>
    </row>
    <row r="412" spans="1:17">
      <c r="A412">
        <v>411</v>
      </c>
      <c r="B412" s="5">
        <v>45735</v>
      </c>
      <c r="C412" t="s">
        <v>172</v>
      </c>
      <c r="D412" t="s">
        <v>173</v>
      </c>
      <c r="E412" t="s">
        <v>174</v>
      </c>
      <c r="F412">
        <v>6</v>
      </c>
      <c r="G412" t="s">
        <v>251</v>
      </c>
      <c r="H412" t="s">
        <v>252</v>
      </c>
      <c r="I412" t="s">
        <v>16</v>
      </c>
      <c r="J412" t="s">
        <v>52</v>
      </c>
      <c r="K412" t="s">
        <v>35</v>
      </c>
      <c r="L412" s="6">
        <v>0</v>
      </c>
      <c r="M412" s="6">
        <v>200</v>
      </c>
      <c r="N412" s="6">
        <v>200</v>
      </c>
      <c r="O412" s="6">
        <v>54624.82</v>
      </c>
      <c r="P412" s="7">
        <v>0</v>
      </c>
      <c r="Q412" s="6">
        <v>0</v>
      </c>
    </row>
    <row r="413" spans="1:17">
      <c r="A413">
        <v>412</v>
      </c>
      <c r="B413" s="5">
        <v>45735</v>
      </c>
      <c r="C413" t="s">
        <v>172</v>
      </c>
      <c r="D413" t="s">
        <v>173</v>
      </c>
      <c r="E413" t="s">
        <v>174</v>
      </c>
      <c r="F413">
        <v>6</v>
      </c>
      <c r="G413" t="s">
        <v>385</v>
      </c>
      <c r="H413" t="s">
        <v>386</v>
      </c>
      <c r="I413" t="s">
        <v>16</v>
      </c>
      <c r="J413" t="s">
        <v>52</v>
      </c>
      <c r="K413" t="s">
        <v>35</v>
      </c>
      <c r="L413" s="6">
        <v>0</v>
      </c>
      <c r="M413" s="6">
        <v>200</v>
      </c>
      <c r="N413" s="6">
        <v>200</v>
      </c>
      <c r="O413" s="6">
        <v>54824.82</v>
      </c>
      <c r="P413" s="7">
        <v>0</v>
      </c>
      <c r="Q413" s="6">
        <v>0</v>
      </c>
    </row>
    <row r="414" spans="1:17">
      <c r="A414">
        <v>413</v>
      </c>
      <c r="B414" s="5">
        <v>45735</v>
      </c>
      <c r="C414" t="s">
        <v>172</v>
      </c>
      <c r="D414" t="s">
        <v>173</v>
      </c>
      <c r="E414" t="s">
        <v>174</v>
      </c>
      <c r="F414">
        <v>6</v>
      </c>
      <c r="G414" t="s">
        <v>385</v>
      </c>
      <c r="H414" t="s">
        <v>386</v>
      </c>
      <c r="I414" t="s">
        <v>16</v>
      </c>
      <c r="J414" t="s">
        <v>52</v>
      </c>
      <c r="K414" t="s">
        <v>35</v>
      </c>
      <c r="L414" s="6">
        <v>0</v>
      </c>
      <c r="M414" s="6">
        <v>50</v>
      </c>
      <c r="N414" s="6">
        <v>50</v>
      </c>
      <c r="O414" s="6">
        <v>54874.82</v>
      </c>
      <c r="P414" s="7">
        <v>0</v>
      </c>
      <c r="Q414" s="6">
        <v>0</v>
      </c>
    </row>
    <row r="415" spans="1:17">
      <c r="A415">
        <v>414</v>
      </c>
      <c r="B415" s="5">
        <v>45735</v>
      </c>
      <c r="C415" t="s">
        <v>172</v>
      </c>
      <c r="D415" t="s">
        <v>173</v>
      </c>
      <c r="E415" t="s">
        <v>174</v>
      </c>
      <c r="F415">
        <v>6</v>
      </c>
      <c r="G415" t="s">
        <v>227</v>
      </c>
      <c r="H415" t="s">
        <v>228</v>
      </c>
      <c r="I415" t="s">
        <v>16</v>
      </c>
      <c r="J415" t="s">
        <v>52</v>
      </c>
      <c r="K415" t="s">
        <v>35</v>
      </c>
      <c r="L415" s="6">
        <v>0</v>
      </c>
      <c r="M415" s="6">
        <v>1000</v>
      </c>
      <c r="N415" s="6">
        <v>1000</v>
      </c>
      <c r="O415" s="6">
        <v>55874.82</v>
      </c>
      <c r="P415" s="7">
        <v>0</v>
      </c>
      <c r="Q415" s="6">
        <v>0</v>
      </c>
    </row>
    <row r="416" spans="1:17">
      <c r="A416">
        <v>415</v>
      </c>
      <c r="B416" s="5">
        <v>45735</v>
      </c>
      <c r="C416" t="s">
        <v>172</v>
      </c>
      <c r="D416" t="s">
        <v>173</v>
      </c>
      <c r="E416" t="s">
        <v>174</v>
      </c>
      <c r="F416">
        <v>6</v>
      </c>
      <c r="G416" t="s">
        <v>227</v>
      </c>
      <c r="H416" t="s">
        <v>228</v>
      </c>
      <c r="I416" t="s">
        <v>16</v>
      </c>
      <c r="J416" t="s">
        <v>52</v>
      </c>
      <c r="K416" t="s">
        <v>35</v>
      </c>
      <c r="L416" s="6">
        <v>0</v>
      </c>
      <c r="M416" s="6">
        <v>1000</v>
      </c>
      <c r="N416" s="6">
        <v>1000</v>
      </c>
      <c r="O416" s="6">
        <v>56874.82</v>
      </c>
      <c r="P416" s="7">
        <v>0</v>
      </c>
      <c r="Q416" s="6">
        <v>0</v>
      </c>
    </row>
    <row r="417" spans="1:17">
      <c r="A417">
        <v>416</v>
      </c>
      <c r="B417" s="5">
        <v>45735</v>
      </c>
      <c r="C417" t="s">
        <v>172</v>
      </c>
      <c r="D417" t="s">
        <v>173</v>
      </c>
      <c r="E417" t="s">
        <v>174</v>
      </c>
      <c r="F417">
        <v>6</v>
      </c>
      <c r="G417" t="s">
        <v>227</v>
      </c>
      <c r="H417" t="s">
        <v>228</v>
      </c>
      <c r="I417" t="s">
        <v>16</v>
      </c>
      <c r="J417" t="s">
        <v>52</v>
      </c>
      <c r="K417" t="s">
        <v>35</v>
      </c>
      <c r="L417" s="6">
        <v>0</v>
      </c>
      <c r="M417" s="6">
        <v>750</v>
      </c>
      <c r="N417" s="6">
        <v>750</v>
      </c>
      <c r="O417" s="6">
        <v>57624.82</v>
      </c>
      <c r="P417" s="7">
        <v>0</v>
      </c>
      <c r="Q417" s="6">
        <v>0</v>
      </c>
    </row>
    <row r="418" spans="1:17">
      <c r="A418">
        <v>417</v>
      </c>
      <c r="B418" s="5">
        <v>45735</v>
      </c>
      <c r="C418" t="s">
        <v>172</v>
      </c>
      <c r="D418" t="s">
        <v>173</v>
      </c>
      <c r="E418" t="s">
        <v>174</v>
      </c>
      <c r="F418">
        <v>6</v>
      </c>
      <c r="G418" t="s">
        <v>227</v>
      </c>
      <c r="H418" t="s">
        <v>228</v>
      </c>
      <c r="I418" t="s">
        <v>16</v>
      </c>
      <c r="J418" t="s">
        <v>52</v>
      </c>
      <c r="K418" t="s">
        <v>35</v>
      </c>
      <c r="L418" s="6">
        <v>0</v>
      </c>
      <c r="M418" s="6">
        <v>1000</v>
      </c>
      <c r="N418" s="6">
        <v>1000</v>
      </c>
      <c r="O418" s="6">
        <v>58624.82</v>
      </c>
      <c r="P418" s="7">
        <v>0</v>
      </c>
      <c r="Q418" s="6">
        <v>0</v>
      </c>
    </row>
    <row r="419" spans="1:17">
      <c r="A419">
        <v>418</v>
      </c>
      <c r="B419" s="5">
        <v>45735</v>
      </c>
      <c r="C419" t="s">
        <v>172</v>
      </c>
      <c r="D419" t="s">
        <v>173</v>
      </c>
      <c r="E419" t="s">
        <v>174</v>
      </c>
      <c r="F419">
        <v>6</v>
      </c>
      <c r="G419" t="s">
        <v>201</v>
      </c>
      <c r="H419" t="s">
        <v>100</v>
      </c>
      <c r="I419" t="s">
        <v>16</v>
      </c>
      <c r="J419" t="s">
        <v>52</v>
      </c>
      <c r="K419" t="s">
        <v>35</v>
      </c>
      <c r="L419" s="6">
        <v>0</v>
      </c>
      <c r="M419" s="6">
        <v>1000</v>
      </c>
      <c r="N419" s="6">
        <v>1000</v>
      </c>
      <c r="O419" s="6">
        <v>59624.82</v>
      </c>
      <c r="P419" s="7">
        <v>0</v>
      </c>
      <c r="Q419" s="6">
        <v>0</v>
      </c>
    </row>
    <row r="420" spans="1:17">
      <c r="A420">
        <v>419</v>
      </c>
      <c r="B420" s="5">
        <v>45735</v>
      </c>
      <c r="C420" t="s">
        <v>172</v>
      </c>
      <c r="D420" t="s">
        <v>173</v>
      </c>
      <c r="E420" t="s">
        <v>174</v>
      </c>
      <c r="F420">
        <v>6</v>
      </c>
      <c r="G420" t="s">
        <v>193</v>
      </c>
      <c r="H420" t="s">
        <v>70</v>
      </c>
      <c r="I420" t="s">
        <v>16</v>
      </c>
      <c r="J420" t="s">
        <v>52</v>
      </c>
      <c r="K420" t="s">
        <v>35</v>
      </c>
      <c r="L420" s="6">
        <v>0</v>
      </c>
      <c r="M420" s="6">
        <v>2500</v>
      </c>
      <c r="N420" s="6">
        <v>2500</v>
      </c>
      <c r="O420" s="6">
        <v>62124.82</v>
      </c>
      <c r="P420" s="7">
        <v>0</v>
      </c>
      <c r="Q420" s="6">
        <v>0</v>
      </c>
    </row>
    <row r="421" spans="1:17">
      <c r="A421">
        <v>420</v>
      </c>
      <c r="B421" s="5">
        <v>45735</v>
      </c>
      <c r="C421" t="s">
        <v>172</v>
      </c>
      <c r="D421" t="s">
        <v>173</v>
      </c>
      <c r="E421" t="s">
        <v>174</v>
      </c>
      <c r="F421">
        <v>6</v>
      </c>
      <c r="G421" t="s">
        <v>201</v>
      </c>
      <c r="H421" t="s">
        <v>100</v>
      </c>
      <c r="I421" t="s">
        <v>16</v>
      </c>
      <c r="J421" t="s">
        <v>52</v>
      </c>
      <c r="K421" t="s">
        <v>35</v>
      </c>
      <c r="L421" s="6">
        <v>0</v>
      </c>
      <c r="M421" s="6">
        <v>2000</v>
      </c>
      <c r="N421" s="6">
        <v>2000</v>
      </c>
      <c r="O421" s="6">
        <v>64124.82</v>
      </c>
      <c r="P421" s="7">
        <v>0</v>
      </c>
      <c r="Q421" s="6">
        <v>0</v>
      </c>
    </row>
    <row r="422" spans="1:17">
      <c r="A422">
        <v>421</v>
      </c>
      <c r="B422" s="5">
        <v>45735</v>
      </c>
      <c r="C422" t="s">
        <v>172</v>
      </c>
      <c r="D422" t="s">
        <v>173</v>
      </c>
      <c r="E422" t="s">
        <v>174</v>
      </c>
      <c r="F422">
        <v>6</v>
      </c>
      <c r="G422" t="s">
        <v>387</v>
      </c>
      <c r="I422" t="s">
        <v>17</v>
      </c>
      <c r="J422" t="s">
        <v>64</v>
      </c>
      <c r="K422" t="s">
        <v>34</v>
      </c>
      <c r="L422" s="6">
        <v>10000</v>
      </c>
      <c r="M422" s="6">
        <v>0</v>
      </c>
      <c r="N422" s="6">
        <v>-10000</v>
      </c>
      <c r="O422" s="6">
        <v>54124.82</v>
      </c>
      <c r="P422" s="7">
        <v>0</v>
      </c>
      <c r="Q422" s="6">
        <v>0</v>
      </c>
    </row>
    <row r="423" spans="1:17">
      <c r="A423">
        <v>422</v>
      </c>
      <c r="B423" s="5">
        <v>45735</v>
      </c>
      <c r="C423" t="s">
        <v>172</v>
      </c>
      <c r="D423" t="s">
        <v>173</v>
      </c>
      <c r="E423" t="s">
        <v>174</v>
      </c>
      <c r="F423">
        <v>6</v>
      </c>
      <c r="G423" t="s">
        <v>388</v>
      </c>
      <c r="H423" t="s">
        <v>66</v>
      </c>
      <c r="I423" t="s">
        <v>22</v>
      </c>
      <c r="J423" t="s">
        <v>67</v>
      </c>
      <c r="K423" t="s">
        <v>34</v>
      </c>
      <c r="L423" s="6">
        <v>174.16</v>
      </c>
      <c r="M423" s="6">
        <v>0</v>
      </c>
      <c r="N423" s="6">
        <v>-174.16</v>
      </c>
      <c r="O423" s="6">
        <v>53950.66</v>
      </c>
      <c r="P423" s="7">
        <v>0</v>
      </c>
      <c r="Q423" s="6">
        <v>0</v>
      </c>
    </row>
    <row r="424" spans="1:17">
      <c r="A424">
        <v>423</v>
      </c>
      <c r="B424" s="5">
        <v>45735</v>
      </c>
      <c r="C424" t="s">
        <v>172</v>
      </c>
      <c r="D424" t="s">
        <v>173</v>
      </c>
      <c r="E424" t="s">
        <v>174</v>
      </c>
      <c r="F424">
        <v>6</v>
      </c>
      <c r="G424" t="s">
        <v>389</v>
      </c>
      <c r="H424" t="s">
        <v>66</v>
      </c>
      <c r="I424" t="s">
        <v>22</v>
      </c>
      <c r="J424" t="s">
        <v>67</v>
      </c>
      <c r="K424" t="s">
        <v>34</v>
      </c>
      <c r="L424" s="6">
        <v>203.56</v>
      </c>
      <c r="M424" s="6">
        <v>0</v>
      </c>
      <c r="N424" s="6">
        <v>-203.56</v>
      </c>
      <c r="O424" s="6">
        <v>53747.1</v>
      </c>
      <c r="P424" s="7">
        <v>0</v>
      </c>
      <c r="Q424" s="6">
        <v>0</v>
      </c>
    </row>
    <row r="425" spans="1:17">
      <c r="A425">
        <v>424</v>
      </c>
      <c r="B425" s="5">
        <v>45735</v>
      </c>
      <c r="C425" t="s">
        <v>172</v>
      </c>
      <c r="D425" t="s">
        <v>173</v>
      </c>
      <c r="E425" t="s">
        <v>174</v>
      </c>
      <c r="F425">
        <v>6</v>
      </c>
      <c r="G425" t="s">
        <v>390</v>
      </c>
      <c r="H425" t="s">
        <v>66</v>
      </c>
      <c r="I425" t="s">
        <v>22</v>
      </c>
      <c r="J425" t="s">
        <v>67</v>
      </c>
      <c r="K425" t="s">
        <v>34</v>
      </c>
      <c r="L425" s="6">
        <v>2000</v>
      </c>
      <c r="M425" s="6">
        <v>0</v>
      </c>
      <c r="N425" s="6">
        <v>-2000</v>
      </c>
      <c r="O425" s="6">
        <v>51747.1</v>
      </c>
      <c r="P425" s="7">
        <v>0</v>
      </c>
      <c r="Q425" s="6">
        <v>0</v>
      </c>
    </row>
    <row r="426" spans="1:17">
      <c r="A426">
        <v>425</v>
      </c>
      <c r="B426" s="5">
        <v>45735</v>
      </c>
      <c r="C426" t="s">
        <v>172</v>
      </c>
      <c r="D426" t="s">
        <v>173</v>
      </c>
      <c r="E426" t="s">
        <v>174</v>
      </c>
      <c r="F426">
        <v>6</v>
      </c>
      <c r="G426" t="s">
        <v>391</v>
      </c>
      <c r="H426" t="s">
        <v>66</v>
      </c>
      <c r="I426" t="s">
        <v>22</v>
      </c>
      <c r="J426" t="s">
        <v>67</v>
      </c>
      <c r="K426" t="s">
        <v>34</v>
      </c>
      <c r="L426" s="6">
        <v>4000</v>
      </c>
      <c r="M426" s="6">
        <v>0</v>
      </c>
      <c r="N426" s="6">
        <v>-4000</v>
      </c>
      <c r="O426" s="6">
        <v>47747.1</v>
      </c>
      <c r="P426" s="7">
        <v>0</v>
      </c>
      <c r="Q426" s="6">
        <v>0</v>
      </c>
    </row>
    <row r="427" spans="1:17">
      <c r="A427">
        <v>426</v>
      </c>
      <c r="B427" s="5">
        <v>45735</v>
      </c>
      <c r="C427" t="s">
        <v>172</v>
      </c>
      <c r="D427" t="s">
        <v>173</v>
      </c>
      <c r="E427" t="s">
        <v>174</v>
      </c>
      <c r="F427">
        <v>6</v>
      </c>
      <c r="G427" t="s">
        <v>392</v>
      </c>
      <c r="H427" t="s">
        <v>66</v>
      </c>
      <c r="I427" t="s">
        <v>22</v>
      </c>
      <c r="J427" t="s">
        <v>67</v>
      </c>
      <c r="K427" t="s">
        <v>34</v>
      </c>
      <c r="L427" s="6">
        <v>5919</v>
      </c>
      <c r="M427" s="6">
        <v>0</v>
      </c>
      <c r="N427" s="6">
        <v>-5919</v>
      </c>
      <c r="O427" s="6">
        <v>41828.1</v>
      </c>
      <c r="P427" s="7">
        <v>0</v>
      </c>
      <c r="Q427" s="6">
        <v>0</v>
      </c>
    </row>
    <row r="428" spans="1:17">
      <c r="A428">
        <v>427</v>
      </c>
      <c r="B428" s="5">
        <v>45735</v>
      </c>
      <c r="C428" t="s">
        <v>172</v>
      </c>
      <c r="D428" t="s">
        <v>173</v>
      </c>
      <c r="E428" t="s">
        <v>174</v>
      </c>
      <c r="F428">
        <v>6</v>
      </c>
      <c r="G428" t="s">
        <v>393</v>
      </c>
      <c r="H428" t="s">
        <v>66</v>
      </c>
      <c r="I428" t="s">
        <v>22</v>
      </c>
      <c r="J428" t="s">
        <v>67</v>
      </c>
      <c r="K428" t="s">
        <v>34</v>
      </c>
      <c r="L428" s="6">
        <v>3000</v>
      </c>
      <c r="M428" s="6">
        <v>0</v>
      </c>
      <c r="N428" s="6">
        <v>-3000</v>
      </c>
      <c r="O428" s="6">
        <v>38828.1</v>
      </c>
      <c r="P428" s="7">
        <v>0</v>
      </c>
      <c r="Q428" s="6">
        <v>0</v>
      </c>
    </row>
    <row r="429" spans="1:17">
      <c r="A429">
        <v>428</v>
      </c>
      <c r="B429" s="5">
        <v>45735</v>
      </c>
      <c r="C429" t="s">
        <v>172</v>
      </c>
      <c r="D429" t="s">
        <v>173</v>
      </c>
      <c r="E429" t="s">
        <v>174</v>
      </c>
      <c r="F429">
        <v>6</v>
      </c>
      <c r="G429" t="s">
        <v>394</v>
      </c>
      <c r="H429" t="s">
        <v>66</v>
      </c>
      <c r="I429" t="s">
        <v>22</v>
      </c>
      <c r="J429" t="s">
        <v>67</v>
      </c>
      <c r="K429" t="s">
        <v>34</v>
      </c>
      <c r="L429" s="6">
        <v>1262</v>
      </c>
      <c r="M429" s="6">
        <v>0</v>
      </c>
      <c r="N429" s="6">
        <v>-1262</v>
      </c>
      <c r="O429" s="6">
        <v>37566.1</v>
      </c>
      <c r="P429" s="7">
        <v>0</v>
      </c>
      <c r="Q429" s="6">
        <v>0</v>
      </c>
    </row>
    <row r="430" spans="1:17">
      <c r="A430">
        <v>429</v>
      </c>
      <c r="B430" s="5">
        <v>45735</v>
      </c>
      <c r="C430" t="s">
        <v>172</v>
      </c>
      <c r="D430" t="s">
        <v>173</v>
      </c>
      <c r="E430" t="s">
        <v>174</v>
      </c>
      <c r="F430">
        <v>6</v>
      </c>
      <c r="G430" t="s">
        <v>325</v>
      </c>
      <c r="H430" t="s">
        <v>326</v>
      </c>
      <c r="I430" t="s">
        <v>16</v>
      </c>
      <c r="J430" t="s">
        <v>52</v>
      </c>
      <c r="K430" t="s">
        <v>35</v>
      </c>
      <c r="L430" s="6">
        <v>0</v>
      </c>
      <c r="M430" s="6">
        <v>1000</v>
      </c>
      <c r="N430" s="6">
        <v>1000</v>
      </c>
      <c r="O430" s="6">
        <v>38566.1</v>
      </c>
      <c r="P430" s="7">
        <v>0</v>
      </c>
      <c r="Q430" s="6">
        <v>0</v>
      </c>
    </row>
    <row r="431" spans="1:17">
      <c r="A431">
        <v>430</v>
      </c>
      <c r="B431" s="5">
        <v>45735</v>
      </c>
      <c r="C431" t="s">
        <v>172</v>
      </c>
      <c r="D431" t="s">
        <v>173</v>
      </c>
      <c r="E431" t="s">
        <v>174</v>
      </c>
      <c r="F431">
        <v>7</v>
      </c>
      <c r="G431" t="s">
        <v>253</v>
      </c>
      <c r="H431" t="s">
        <v>72</v>
      </c>
      <c r="I431" t="s">
        <v>16</v>
      </c>
      <c r="J431" t="s">
        <v>52</v>
      </c>
      <c r="K431" t="s">
        <v>35</v>
      </c>
      <c r="L431" s="6">
        <v>0</v>
      </c>
      <c r="M431" s="6">
        <v>3000</v>
      </c>
      <c r="N431" s="6">
        <v>3000</v>
      </c>
      <c r="O431" s="6">
        <v>41566.1</v>
      </c>
      <c r="P431" s="7">
        <v>0</v>
      </c>
      <c r="Q431" s="6">
        <v>0</v>
      </c>
    </row>
    <row r="432" spans="1:17">
      <c r="A432">
        <v>431</v>
      </c>
      <c r="B432" s="5">
        <v>45735</v>
      </c>
      <c r="C432" t="s">
        <v>172</v>
      </c>
      <c r="D432" t="s">
        <v>173</v>
      </c>
      <c r="E432" t="s">
        <v>174</v>
      </c>
      <c r="F432">
        <v>7</v>
      </c>
      <c r="G432" t="s">
        <v>278</v>
      </c>
      <c r="H432" t="s">
        <v>89</v>
      </c>
      <c r="I432" t="s">
        <v>16</v>
      </c>
      <c r="J432" t="s">
        <v>52</v>
      </c>
      <c r="K432" t="s">
        <v>35</v>
      </c>
      <c r="L432" s="6">
        <v>0</v>
      </c>
      <c r="M432" s="6">
        <v>100</v>
      </c>
      <c r="N432" s="6">
        <v>100</v>
      </c>
      <c r="O432" s="6">
        <v>41666.1</v>
      </c>
      <c r="P432" s="7">
        <v>0</v>
      </c>
      <c r="Q432" s="6">
        <v>0</v>
      </c>
    </row>
    <row r="433" spans="1:17">
      <c r="A433">
        <v>432</v>
      </c>
      <c r="B433" s="5">
        <v>45735</v>
      </c>
      <c r="C433" t="s">
        <v>172</v>
      </c>
      <c r="D433" t="s">
        <v>173</v>
      </c>
      <c r="E433" t="s">
        <v>174</v>
      </c>
      <c r="F433">
        <v>7</v>
      </c>
      <c r="G433" t="s">
        <v>240</v>
      </c>
      <c r="H433" t="s">
        <v>241</v>
      </c>
      <c r="I433" t="s">
        <v>16</v>
      </c>
      <c r="J433" t="s">
        <v>52</v>
      </c>
      <c r="K433" t="s">
        <v>35</v>
      </c>
      <c r="L433" s="6">
        <v>0</v>
      </c>
      <c r="M433" s="6">
        <v>500</v>
      </c>
      <c r="N433" s="6">
        <v>500</v>
      </c>
      <c r="O433" s="6">
        <v>42166.1</v>
      </c>
      <c r="P433" s="7">
        <v>0</v>
      </c>
      <c r="Q433" s="6">
        <v>0</v>
      </c>
    </row>
    <row r="434" spans="1:17">
      <c r="A434">
        <v>433</v>
      </c>
      <c r="B434" s="5">
        <v>45735</v>
      </c>
      <c r="C434" t="s">
        <v>172</v>
      </c>
      <c r="D434" t="s">
        <v>173</v>
      </c>
      <c r="E434" t="s">
        <v>174</v>
      </c>
      <c r="F434">
        <v>7</v>
      </c>
      <c r="G434" t="s">
        <v>175</v>
      </c>
      <c r="H434" t="s">
        <v>176</v>
      </c>
      <c r="I434" t="s">
        <v>16</v>
      </c>
      <c r="J434" t="s">
        <v>52</v>
      </c>
      <c r="K434" t="s">
        <v>35</v>
      </c>
      <c r="L434" s="6">
        <v>0</v>
      </c>
      <c r="M434" s="6">
        <v>1000</v>
      </c>
      <c r="N434" s="6">
        <v>1000</v>
      </c>
      <c r="O434" s="6">
        <v>43166.1</v>
      </c>
      <c r="P434" s="7">
        <v>0</v>
      </c>
      <c r="Q434" s="6">
        <v>0</v>
      </c>
    </row>
    <row r="435" spans="1:17">
      <c r="A435">
        <v>434</v>
      </c>
      <c r="B435" s="5">
        <v>45735</v>
      </c>
      <c r="C435" t="s">
        <v>172</v>
      </c>
      <c r="D435" t="s">
        <v>173</v>
      </c>
      <c r="E435" t="s">
        <v>174</v>
      </c>
      <c r="F435">
        <v>7</v>
      </c>
      <c r="G435" t="s">
        <v>372</v>
      </c>
      <c r="H435" t="s">
        <v>373</v>
      </c>
      <c r="I435" t="s">
        <v>16</v>
      </c>
      <c r="J435" t="s">
        <v>52</v>
      </c>
      <c r="K435" t="s">
        <v>35</v>
      </c>
      <c r="L435" s="6">
        <v>0</v>
      </c>
      <c r="M435" s="6">
        <v>50</v>
      </c>
      <c r="N435" s="6">
        <v>50</v>
      </c>
      <c r="O435" s="6">
        <v>43216.1</v>
      </c>
      <c r="P435" s="7">
        <v>0</v>
      </c>
      <c r="Q435" s="6">
        <v>0</v>
      </c>
    </row>
    <row r="436" spans="1:17">
      <c r="A436">
        <v>435</v>
      </c>
      <c r="B436" s="5">
        <v>45735</v>
      </c>
      <c r="C436" t="s">
        <v>172</v>
      </c>
      <c r="D436" t="s">
        <v>173</v>
      </c>
      <c r="E436" t="s">
        <v>174</v>
      </c>
      <c r="F436">
        <v>7</v>
      </c>
      <c r="G436" t="s">
        <v>395</v>
      </c>
      <c r="H436" t="s">
        <v>396</v>
      </c>
      <c r="I436" t="s">
        <v>16</v>
      </c>
      <c r="J436" t="s">
        <v>52</v>
      </c>
      <c r="K436" t="s">
        <v>35</v>
      </c>
      <c r="L436" s="6">
        <v>0</v>
      </c>
      <c r="M436" s="6">
        <v>500</v>
      </c>
      <c r="N436" s="6">
        <v>500</v>
      </c>
      <c r="O436" s="6">
        <v>43716.1</v>
      </c>
      <c r="P436" s="7">
        <v>0</v>
      </c>
      <c r="Q436" s="6">
        <v>0</v>
      </c>
    </row>
    <row r="437" spans="1:17">
      <c r="A437">
        <v>436</v>
      </c>
      <c r="B437" s="5">
        <v>45735</v>
      </c>
      <c r="C437" t="s">
        <v>172</v>
      </c>
      <c r="D437" t="s">
        <v>173</v>
      </c>
      <c r="E437" t="s">
        <v>174</v>
      </c>
      <c r="F437">
        <v>7</v>
      </c>
      <c r="G437" t="s">
        <v>285</v>
      </c>
      <c r="H437" t="s">
        <v>286</v>
      </c>
      <c r="I437" t="s">
        <v>16</v>
      </c>
      <c r="J437" t="s">
        <v>52</v>
      </c>
      <c r="K437" t="s">
        <v>35</v>
      </c>
      <c r="L437" s="6">
        <v>0</v>
      </c>
      <c r="M437" s="6">
        <v>300</v>
      </c>
      <c r="N437" s="6">
        <v>300</v>
      </c>
      <c r="O437" s="6">
        <v>44016.1</v>
      </c>
      <c r="P437" s="7">
        <v>0</v>
      </c>
      <c r="Q437" s="6">
        <v>0</v>
      </c>
    </row>
    <row r="438" spans="1:17">
      <c r="A438">
        <v>437</v>
      </c>
      <c r="B438" s="5">
        <v>45735</v>
      </c>
      <c r="C438" t="s">
        <v>172</v>
      </c>
      <c r="D438" t="s">
        <v>173</v>
      </c>
      <c r="E438" t="s">
        <v>174</v>
      </c>
      <c r="F438">
        <v>7</v>
      </c>
      <c r="G438" t="s">
        <v>227</v>
      </c>
      <c r="H438" t="s">
        <v>228</v>
      </c>
      <c r="I438" t="s">
        <v>16</v>
      </c>
      <c r="J438" t="s">
        <v>52</v>
      </c>
      <c r="K438" t="s">
        <v>35</v>
      </c>
      <c r="L438" s="6">
        <v>0</v>
      </c>
      <c r="M438" s="6">
        <v>1000</v>
      </c>
      <c r="N438" s="6">
        <v>1000</v>
      </c>
      <c r="O438" s="6">
        <v>45016.1</v>
      </c>
      <c r="P438" s="7">
        <v>0</v>
      </c>
      <c r="Q438" s="6">
        <v>0</v>
      </c>
    </row>
    <row r="439" spans="1:17">
      <c r="A439">
        <v>438</v>
      </c>
      <c r="B439" s="5">
        <v>45735</v>
      </c>
      <c r="C439" t="s">
        <v>172</v>
      </c>
      <c r="D439" t="s">
        <v>173</v>
      </c>
      <c r="E439" t="s">
        <v>174</v>
      </c>
      <c r="F439">
        <v>7</v>
      </c>
      <c r="G439" t="s">
        <v>227</v>
      </c>
      <c r="H439" t="s">
        <v>228</v>
      </c>
      <c r="I439" t="s">
        <v>16</v>
      </c>
      <c r="J439" t="s">
        <v>52</v>
      </c>
      <c r="K439" t="s">
        <v>35</v>
      </c>
      <c r="L439" s="6">
        <v>0</v>
      </c>
      <c r="M439" s="6">
        <v>750</v>
      </c>
      <c r="N439" s="6">
        <v>750</v>
      </c>
      <c r="O439" s="6">
        <v>45766.1</v>
      </c>
      <c r="P439" s="7">
        <v>0</v>
      </c>
      <c r="Q439" s="6">
        <v>0</v>
      </c>
    </row>
    <row r="440" spans="1:17">
      <c r="A440">
        <v>439</v>
      </c>
      <c r="B440" s="5">
        <v>45735</v>
      </c>
      <c r="C440" t="s">
        <v>172</v>
      </c>
      <c r="D440" t="s">
        <v>173</v>
      </c>
      <c r="E440" t="s">
        <v>174</v>
      </c>
      <c r="F440">
        <v>7</v>
      </c>
      <c r="G440" t="s">
        <v>285</v>
      </c>
      <c r="H440" t="s">
        <v>286</v>
      </c>
      <c r="I440" t="s">
        <v>16</v>
      </c>
      <c r="J440" t="s">
        <v>52</v>
      </c>
      <c r="K440" t="s">
        <v>35</v>
      </c>
      <c r="L440" s="6">
        <v>0</v>
      </c>
      <c r="M440" s="6">
        <v>500</v>
      </c>
      <c r="N440" s="6">
        <v>500</v>
      </c>
      <c r="O440" s="6">
        <v>46266.1</v>
      </c>
      <c r="P440" s="7">
        <v>0</v>
      </c>
      <c r="Q440" s="6">
        <v>0</v>
      </c>
    </row>
    <row r="441" spans="1:17">
      <c r="A441">
        <v>440</v>
      </c>
      <c r="B441" s="5">
        <v>45735</v>
      </c>
      <c r="C441" t="s">
        <v>172</v>
      </c>
      <c r="D441" t="s">
        <v>173</v>
      </c>
      <c r="E441" t="s">
        <v>174</v>
      </c>
      <c r="F441">
        <v>7</v>
      </c>
      <c r="G441" t="s">
        <v>285</v>
      </c>
      <c r="H441" t="s">
        <v>286</v>
      </c>
      <c r="I441" t="s">
        <v>16</v>
      </c>
      <c r="J441" t="s">
        <v>52</v>
      </c>
      <c r="K441" t="s">
        <v>35</v>
      </c>
      <c r="L441" s="6">
        <v>0</v>
      </c>
      <c r="M441" s="6">
        <v>500</v>
      </c>
      <c r="N441" s="6">
        <v>500</v>
      </c>
      <c r="O441" s="6">
        <v>46766.1</v>
      </c>
      <c r="P441" s="7">
        <v>0</v>
      </c>
      <c r="Q441" s="6">
        <v>0</v>
      </c>
    </row>
    <row r="442" spans="1:17">
      <c r="A442">
        <v>441</v>
      </c>
      <c r="B442" s="5">
        <v>45735</v>
      </c>
      <c r="C442" t="s">
        <v>172</v>
      </c>
      <c r="D442" t="s">
        <v>173</v>
      </c>
      <c r="E442" t="s">
        <v>174</v>
      </c>
      <c r="F442">
        <v>7</v>
      </c>
      <c r="G442" t="s">
        <v>395</v>
      </c>
      <c r="H442" t="s">
        <v>396</v>
      </c>
      <c r="I442" t="s">
        <v>16</v>
      </c>
      <c r="J442" t="s">
        <v>52</v>
      </c>
      <c r="K442" t="s">
        <v>35</v>
      </c>
      <c r="L442" s="6">
        <v>0</v>
      </c>
      <c r="M442" s="6">
        <v>500</v>
      </c>
      <c r="N442" s="6">
        <v>500</v>
      </c>
      <c r="O442" s="6">
        <v>47266.1</v>
      </c>
      <c r="P442" s="7">
        <v>0</v>
      </c>
      <c r="Q442" s="6">
        <v>0</v>
      </c>
    </row>
    <row r="443" spans="1:17">
      <c r="A443">
        <v>442</v>
      </c>
      <c r="B443" s="5">
        <v>45735</v>
      </c>
      <c r="C443" t="s">
        <v>172</v>
      </c>
      <c r="D443" t="s">
        <v>173</v>
      </c>
      <c r="E443" t="s">
        <v>174</v>
      </c>
      <c r="F443">
        <v>7</v>
      </c>
      <c r="G443" t="s">
        <v>233</v>
      </c>
      <c r="H443" t="s">
        <v>162</v>
      </c>
      <c r="I443" t="s">
        <v>16</v>
      </c>
      <c r="J443" t="s">
        <v>52</v>
      </c>
      <c r="K443" t="s">
        <v>35</v>
      </c>
      <c r="L443" s="6">
        <v>0</v>
      </c>
      <c r="M443" s="6">
        <v>5600</v>
      </c>
      <c r="N443" s="6">
        <v>5600</v>
      </c>
      <c r="O443" s="6">
        <v>52866.1</v>
      </c>
      <c r="P443" s="7">
        <v>0</v>
      </c>
      <c r="Q443" s="6">
        <v>0</v>
      </c>
    </row>
    <row r="444" spans="1:17">
      <c r="A444">
        <v>443</v>
      </c>
      <c r="B444" s="5">
        <v>45735</v>
      </c>
      <c r="C444" t="s">
        <v>172</v>
      </c>
      <c r="D444" t="s">
        <v>173</v>
      </c>
      <c r="E444" t="s">
        <v>174</v>
      </c>
      <c r="F444">
        <v>7</v>
      </c>
      <c r="G444" t="s">
        <v>397</v>
      </c>
      <c r="H444" t="s">
        <v>66</v>
      </c>
      <c r="I444" t="s">
        <v>22</v>
      </c>
      <c r="J444" t="s">
        <v>67</v>
      </c>
      <c r="K444" t="s">
        <v>34</v>
      </c>
      <c r="L444" s="6">
        <v>50</v>
      </c>
      <c r="M444" s="6">
        <v>0</v>
      </c>
      <c r="N444" s="6">
        <v>-50</v>
      </c>
      <c r="O444" s="6">
        <v>52816.1</v>
      </c>
      <c r="P444" s="7">
        <v>0</v>
      </c>
      <c r="Q444" s="6">
        <v>0</v>
      </c>
    </row>
    <row r="445" spans="1:17">
      <c r="A445">
        <v>444</v>
      </c>
      <c r="B445" s="5">
        <v>45735</v>
      </c>
      <c r="C445" t="s">
        <v>172</v>
      </c>
      <c r="D445" t="s">
        <v>173</v>
      </c>
      <c r="E445" t="s">
        <v>174</v>
      </c>
      <c r="F445">
        <v>7</v>
      </c>
      <c r="G445" t="s">
        <v>398</v>
      </c>
      <c r="H445" t="s">
        <v>66</v>
      </c>
      <c r="I445" t="s">
        <v>22</v>
      </c>
      <c r="J445" t="s">
        <v>67</v>
      </c>
      <c r="K445" t="s">
        <v>34</v>
      </c>
      <c r="L445" s="6">
        <v>67.42</v>
      </c>
      <c r="M445" s="6">
        <v>0</v>
      </c>
      <c r="N445" s="6">
        <v>-67.42</v>
      </c>
      <c r="O445" s="6">
        <v>52748.68</v>
      </c>
      <c r="P445" s="7">
        <v>0</v>
      </c>
      <c r="Q445" s="6">
        <v>0</v>
      </c>
    </row>
    <row r="446" spans="1:17">
      <c r="A446">
        <v>445</v>
      </c>
      <c r="B446" s="5">
        <v>45735</v>
      </c>
      <c r="C446" t="s">
        <v>172</v>
      </c>
      <c r="D446" t="s">
        <v>173</v>
      </c>
      <c r="E446" t="s">
        <v>174</v>
      </c>
      <c r="F446">
        <v>7</v>
      </c>
      <c r="G446" t="s">
        <v>399</v>
      </c>
      <c r="H446" t="s">
        <v>66</v>
      </c>
      <c r="I446" t="s">
        <v>22</v>
      </c>
      <c r="J446" t="s">
        <v>67</v>
      </c>
      <c r="K446" t="s">
        <v>34</v>
      </c>
      <c r="L446" s="6">
        <v>158</v>
      </c>
      <c r="M446" s="6">
        <v>0</v>
      </c>
      <c r="N446" s="6">
        <v>-158</v>
      </c>
      <c r="O446" s="6">
        <v>52590.68</v>
      </c>
      <c r="P446" s="7">
        <v>0</v>
      </c>
      <c r="Q446" s="6">
        <v>0</v>
      </c>
    </row>
    <row r="447" spans="1:17">
      <c r="A447">
        <v>446</v>
      </c>
      <c r="B447" s="5">
        <v>45735</v>
      </c>
      <c r="C447" t="s">
        <v>172</v>
      </c>
      <c r="D447" t="s">
        <v>173</v>
      </c>
      <c r="E447" t="s">
        <v>174</v>
      </c>
      <c r="F447">
        <v>7</v>
      </c>
      <c r="G447" t="s">
        <v>400</v>
      </c>
      <c r="H447" t="s">
        <v>66</v>
      </c>
      <c r="I447" t="s">
        <v>22</v>
      </c>
      <c r="J447" t="s">
        <v>67</v>
      </c>
      <c r="K447" t="s">
        <v>34</v>
      </c>
      <c r="L447" s="6">
        <v>169.06</v>
      </c>
      <c r="M447" s="6">
        <v>0</v>
      </c>
      <c r="N447" s="6">
        <v>-169.06</v>
      </c>
      <c r="O447" s="6">
        <v>52421.62</v>
      </c>
      <c r="P447" s="7">
        <v>0</v>
      </c>
      <c r="Q447" s="6">
        <v>0</v>
      </c>
    </row>
    <row r="448" spans="1:17">
      <c r="A448">
        <v>447</v>
      </c>
      <c r="B448" s="5">
        <v>45735</v>
      </c>
      <c r="C448" t="s">
        <v>172</v>
      </c>
      <c r="D448" t="s">
        <v>173</v>
      </c>
      <c r="E448" t="s">
        <v>174</v>
      </c>
      <c r="F448">
        <v>7</v>
      </c>
      <c r="G448" t="s">
        <v>401</v>
      </c>
      <c r="H448" t="s">
        <v>66</v>
      </c>
      <c r="I448" t="s">
        <v>22</v>
      </c>
      <c r="J448" t="s">
        <v>67</v>
      </c>
      <c r="K448" t="s">
        <v>34</v>
      </c>
      <c r="L448" s="6">
        <v>400</v>
      </c>
      <c r="M448" s="6">
        <v>0</v>
      </c>
      <c r="N448" s="6">
        <v>-400</v>
      </c>
      <c r="O448" s="6">
        <v>52021.62</v>
      </c>
      <c r="P448" s="7">
        <v>0</v>
      </c>
      <c r="Q448" s="6">
        <v>0</v>
      </c>
    </row>
    <row r="449" spans="1:17">
      <c r="A449">
        <v>448</v>
      </c>
      <c r="B449" s="5">
        <v>45735</v>
      </c>
      <c r="C449" t="s">
        <v>172</v>
      </c>
      <c r="D449" t="s">
        <v>173</v>
      </c>
      <c r="E449" t="s">
        <v>174</v>
      </c>
      <c r="F449">
        <v>7</v>
      </c>
      <c r="G449" t="s">
        <v>402</v>
      </c>
      <c r="H449" t="s">
        <v>66</v>
      </c>
      <c r="I449" t="s">
        <v>22</v>
      </c>
      <c r="J449" t="s">
        <v>67</v>
      </c>
      <c r="K449" t="s">
        <v>34</v>
      </c>
      <c r="L449" s="6">
        <v>405.4</v>
      </c>
      <c r="M449" s="6">
        <v>0</v>
      </c>
      <c r="N449" s="6">
        <v>-405.4</v>
      </c>
      <c r="O449" s="6">
        <v>51616.22</v>
      </c>
      <c r="P449" s="7">
        <v>0</v>
      </c>
      <c r="Q449" s="6">
        <v>0</v>
      </c>
    </row>
    <row r="450" spans="1:17">
      <c r="A450">
        <v>449</v>
      </c>
      <c r="B450" s="5">
        <v>45735</v>
      </c>
      <c r="C450" t="s">
        <v>172</v>
      </c>
      <c r="D450" t="s">
        <v>173</v>
      </c>
      <c r="E450" t="s">
        <v>174</v>
      </c>
      <c r="F450">
        <v>7</v>
      </c>
      <c r="G450" t="s">
        <v>403</v>
      </c>
      <c r="H450" t="s">
        <v>66</v>
      </c>
      <c r="I450" t="s">
        <v>22</v>
      </c>
      <c r="J450" t="s">
        <v>67</v>
      </c>
      <c r="K450" t="s">
        <v>34</v>
      </c>
      <c r="L450" s="6">
        <v>500</v>
      </c>
      <c r="M450" s="6">
        <v>0</v>
      </c>
      <c r="N450" s="6">
        <v>-500</v>
      </c>
      <c r="O450" s="6">
        <v>51116.22</v>
      </c>
      <c r="P450" s="7">
        <v>0</v>
      </c>
      <c r="Q450" s="6">
        <v>0</v>
      </c>
    </row>
    <row r="451" spans="1:17">
      <c r="A451">
        <v>450</v>
      </c>
      <c r="B451" s="5">
        <v>45735</v>
      </c>
      <c r="C451" t="s">
        <v>172</v>
      </c>
      <c r="D451" t="s">
        <v>173</v>
      </c>
      <c r="E451" t="s">
        <v>174</v>
      </c>
      <c r="F451">
        <v>7</v>
      </c>
      <c r="G451" t="s">
        <v>404</v>
      </c>
      <c r="H451" t="s">
        <v>66</v>
      </c>
      <c r="I451" t="s">
        <v>22</v>
      </c>
      <c r="J451" t="s">
        <v>67</v>
      </c>
      <c r="K451" t="s">
        <v>34</v>
      </c>
      <c r="L451" s="6">
        <v>700</v>
      </c>
      <c r="M451" s="6">
        <v>0</v>
      </c>
      <c r="N451" s="6">
        <v>-700</v>
      </c>
      <c r="O451" s="6">
        <v>50416.22</v>
      </c>
      <c r="P451" s="7">
        <v>0</v>
      </c>
      <c r="Q451" s="6">
        <v>0</v>
      </c>
    </row>
    <row r="452" spans="1:17">
      <c r="A452">
        <v>451</v>
      </c>
      <c r="B452" s="5">
        <v>45735</v>
      </c>
      <c r="C452" t="s">
        <v>172</v>
      </c>
      <c r="D452" t="s">
        <v>173</v>
      </c>
      <c r="E452" t="s">
        <v>174</v>
      </c>
      <c r="F452">
        <v>7</v>
      </c>
      <c r="G452" t="s">
        <v>405</v>
      </c>
      <c r="H452" t="s">
        <v>66</v>
      </c>
      <c r="I452" t="s">
        <v>22</v>
      </c>
      <c r="J452" t="s">
        <v>67</v>
      </c>
      <c r="K452" t="s">
        <v>34</v>
      </c>
      <c r="L452" s="6">
        <v>728.51</v>
      </c>
      <c r="M452" s="6">
        <v>0</v>
      </c>
      <c r="N452" s="6">
        <v>-728.51</v>
      </c>
      <c r="O452" s="6">
        <v>49687.71</v>
      </c>
      <c r="P452" s="7">
        <v>0</v>
      </c>
      <c r="Q452" s="6">
        <v>0</v>
      </c>
    </row>
    <row r="453" spans="1:17">
      <c r="A453">
        <v>452</v>
      </c>
      <c r="B453" s="5">
        <v>45735</v>
      </c>
      <c r="C453" t="s">
        <v>172</v>
      </c>
      <c r="D453" t="s">
        <v>173</v>
      </c>
      <c r="E453" t="s">
        <v>174</v>
      </c>
      <c r="F453">
        <v>7</v>
      </c>
      <c r="G453" t="s">
        <v>406</v>
      </c>
      <c r="H453" t="s">
        <v>66</v>
      </c>
      <c r="I453" t="s">
        <v>22</v>
      </c>
      <c r="J453" t="s">
        <v>67</v>
      </c>
      <c r="K453" t="s">
        <v>34</v>
      </c>
      <c r="L453" s="6">
        <v>924.84</v>
      </c>
      <c r="M453" s="6">
        <v>0</v>
      </c>
      <c r="N453" s="6">
        <v>-924.84</v>
      </c>
      <c r="O453" s="6">
        <v>48762.87</v>
      </c>
      <c r="P453" s="7">
        <v>0</v>
      </c>
      <c r="Q453" s="6">
        <v>0</v>
      </c>
    </row>
    <row r="454" spans="1:17">
      <c r="A454">
        <v>453</v>
      </c>
      <c r="B454" s="5">
        <v>45735</v>
      </c>
      <c r="C454" t="s">
        <v>172</v>
      </c>
      <c r="D454" t="s">
        <v>173</v>
      </c>
      <c r="E454" t="s">
        <v>174</v>
      </c>
      <c r="F454">
        <v>7</v>
      </c>
      <c r="G454" t="s">
        <v>407</v>
      </c>
      <c r="H454" t="s">
        <v>66</v>
      </c>
      <c r="I454" t="s">
        <v>22</v>
      </c>
      <c r="J454" t="s">
        <v>67</v>
      </c>
      <c r="K454" t="s">
        <v>34</v>
      </c>
      <c r="L454" s="6">
        <v>998.15</v>
      </c>
      <c r="M454" s="6">
        <v>0</v>
      </c>
      <c r="N454" s="6">
        <v>-998.15</v>
      </c>
      <c r="O454" s="6">
        <v>47764.72</v>
      </c>
      <c r="P454" s="7">
        <v>0</v>
      </c>
      <c r="Q454" s="6">
        <v>0</v>
      </c>
    </row>
    <row r="455" spans="1:17">
      <c r="A455">
        <v>454</v>
      </c>
      <c r="B455" s="5">
        <v>45735</v>
      </c>
      <c r="C455" t="s">
        <v>172</v>
      </c>
      <c r="D455" t="s">
        <v>173</v>
      </c>
      <c r="E455" t="s">
        <v>174</v>
      </c>
      <c r="F455">
        <v>7</v>
      </c>
      <c r="G455" t="s">
        <v>408</v>
      </c>
      <c r="H455" t="s">
        <v>66</v>
      </c>
      <c r="I455" t="s">
        <v>22</v>
      </c>
      <c r="J455" t="s">
        <v>67</v>
      </c>
      <c r="K455" t="s">
        <v>34</v>
      </c>
      <c r="L455" s="6">
        <v>1500</v>
      </c>
      <c r="M455" s="6">
        <v>0</v>
      </c>
      <c r="N455" s="6">
        <v>-1500</v>
      </c>
      <c r="O455" s="6">
        <v>46264.72</v>
      </c>
      <c r="P455" s="7">
        <v>0</v>
      </c>
      <c r="Q455" s="6">
        <v>0</v>
      </c>
    </row>
    <row r="456" spans="1:17">
      <c r="A456">
        <v>455</v>
      </c>
      <c r="B456" s="5">
        <v>45735</v>
      </c>
      <c r="C456" t="s">
        <v>172</v>
      </c>
      <c r="D456" t="s">
        <v>173</v>
      </c>
      <c r="E456" t="s">
        <v>174</v>
      </c>
      <c r="F456">
        <v>7</v>
      </c>
      <c r="G456" t="s">
        <v>409</v>
      </c>
      <c r="H456" t="s">
        <v>66</v>
      </c>
      <c r="I456" t="s">
        <v>22</v>
      </c>
      <c r="J456" t="s">
        <v>67</v>
      </c>
      <c r="K456" t="s">
        <v>34</v>
      </c>
      <c r="L456" s="6">
        <v>5700</v>
      </c>
      <c r="M456" s="6">
        <v>0</v>
      </c>
      <c r="N456" s="6">
        <v>-5700</v>
      </c>
      <c r="O456" s="6">
        <v>40564.720000000001</v>
      </c>
      <c r="P456" s="7">
        <v>0</v>
      </c>
      <c r="Q456" s="6">
        <v>0</v>
      </c>
    </row>
    <row r="457" spans="1:17">
      <c r="A457">
        <v>456</v>
      </c>
      <c r="B457" s="5">
        <v>45735</v>
      </c>
      <c r="C457" t="s">
        <v>172</v>
      </c>
      <c r="D457" t="s">
        <v>173</v>
      </c>
      <c r="E457" t="s">
        <v>174</v>
      </c>
      <c r="F457">
        <v>7</v>
      </c>
      <c r="G457" t="s">
        <v>410</v>
      </c>
      <c r="I457" t="s">
        <v>22</v>
      </c>
      <c r="J457" t="s">
        <v>67</v>
      </c>
      <c r="K457" t="s">
        <v>34</v>
      </c>
      <c r="L457" s="6">
        <v>9000</v>
      </c>
      <c r="M457" s="6">
        <v>0</v>
      </c>
      <c r="N457" s="6">
        <v>-9000</v>
      </c>
      <c r="O457" s="6">
        <v>31564.720000000001</v>
      </c>
      <c r="P457" s="7">
        <v>0</v>
      </c>
      <c r="Q457" s="6">
        <v>0</v>
      </c>
    </row>
    <row r="458" spans="1:17">
      <c r="A458">
        <v>457</v>
      </c>
      <c r="B458" s="5">
        <v>45736</v>
      </c>
      <c r="C458" t="s">
        <v>172</v>
      </c>
      <c r="D458" t="s">
        <v>173</v>
      </c>
      <c r="E458" t="s">
        <v>174</v>
      </c>
      <c r="F458">
        <v>7</v>
      </c>
      <c r="G458" t="s">
        <v>194</v>
      </c>
      <c r="H458" t="s">
        <v>195</v>
      </c>
      <c r="I458" t="s">
        <v>16</v>
      </c>
      <c r="J458" t="s">
        <v>52</v>
      </c>
      <c r="K458" t="s">
        <v>35</v>
      </c>
      <c r="L458" s="6">
        <v>0</v>
      </c>
      <c r="M458" s="6">
        <v>500</v>
      </c>
      <c r="N458" s="6">
        <v>500</v>
      </c>
      <c r="O458" s="6">
        <v>32064.720000000001</v>
      </c>
      <c r="P458" s="7">
        <v>0</v>
      </c>
      <c r="Q458" s="6">
        <v>0</v>
      </c>
    </row>
    <row r="459" spans="1:17">
      <c r="A459">
        <v>458</v>
      </c>
      <c r="B459" s="5">
        <v>45736</v>
      </c>
      <c r="C459" t="s">
        <v>172</v>
      </c>
      <c r="D459" t="s">
        <v>173</v>
      </c>
      <c r="E459" t="s">
        <v>174</v>
      </c>
      <c r="F459">
        <v>7</v>
      </c>
      <c r="G459" t="s">
        <v>285</v>
      </c>
      <c r="H459" t="s">
        <v>286</v>
      </c>
      <c r="I459" t="s">
        <v>16</v>
      </c>
      <c r="J459" t="s">
        <v>52</v>
      </c>
      <c r="K459" t="s">
        <v>35</v>
      </c>
      <c r="L459" s="6">
        <v>0</v>
      </c>
      <c r="M459" s="6">
        <v>200</v>
      </c>
      <c r="N459" s="6">
        <v>200</v>
      </c>
      <c r="O459" s="6">
        <v>32264.720000000001</v>
      </c>
      <c r="P459" s="7">
        <v>0</v>
      </c>
      <c r="Q459" s="6">
        <v>0</v>
      </c>
    </row>
    <row r="460" spans="1:17">
      <c r="A460">
        <v>459</v>
      </c>
      <c r="B460" s="5">
        <v>45736</v>
      </c>
      <c r="C460" t="s">
        <v>172</v>
      </c>
      <c r="D460" t="s">
        <v>173</v>
      </c>
      <c r="E460" t="s">
        <v>174</v>
      </c>
      <c r="F460">
        <v>7</v>
      </c>
      <c r="G460" t="s">
        <v>285</v>
      </c>
      <c r="H460" t="s">
        <v>286</v>
      </c>
      <c r="I460" t="s">
        <v>16</v>
      </c>
      <c r="J460" t="s">
        <v>52</v>
      </c>
      <c r="K460" t="s">
        <v>35</v>
      </c>
      <c r="L460" s="6">
        <v>0</v>
      </c>
      <c r="M460" s="6">
        <v>50</v>
      </c>
      <c r="N460" s="6">
        <v>50</v>
      </c>
      <c r="O460" s="6">
        <v>32314.720000000001</v>
      </c>
      <c r="P460" s="7">
        <v>0</v>
      </c>
      <c r="Q460" s="6">
        <v>0</v>
      </c>
    </row>
    <row r="461" spans="1:17">
      <c r="A461">
        <v>460</v>
      </c>
      <c r="B461" s="5">
        <v>45736</v>
      </c>
      <c r="C461" t="s">
        <v>172</v>
      </c>
      <c r="D461" t="s">
        <v>173</v>
      </c>
      <c r="E461" t="s">
        <v>174</v>
      </c>
      <c r="F461">
        <v>7</v>
      </c>
      <c r="G461" t="s">
        <v>194</v>
      </c>
      <c r="H461" t="s">
        <v>195</v>
      </c>
      <c r="I461" t="s">
        <v>16</v>
      </c>
      <c r="J461" t="s">
        <v>52</v>
      </c>
      <c r="K461" t="s">
        <v>35</v>
      </c>
      <c r="L461" s="6">
        <v>0</v>
      </c>
      <c r="M461" s="6">
        <v>500</v>
      </c>
      <c r="N461" s="6">
        <v>500</v>
      </c>
      <c r="O461" s="6">
        <v>32814.720000000001</v>
      </c>
      <c r="P461" s="7">
        <v>0</v>
      </c>
      <c r="Q461" s="6">
        <v>0</v>
      </c>
    </row>
    <row r="462" spans="1:17">
      <c r="A462">
        <v>461</v>
      </c>
      <c r="B462" s="5">
        <v>45736</v>
      </c>
      <c r="C462" t="s">
        <v>172</v>
      </c>
      <c r="D462" t="s">
        <v>173</v>
      </c>
      <c r="E462" t="s">
        <v>174</v>
      </c>
      <c r="F462">
        <v>7</v>
      </c>
      <c r="G462" t="s">
        <v>379</v>
      </c>
      <c r="H462" t="s">
        <v>75</v>
      </c>
      <c r="I462" t="s">
        <v>16</v>
      </c>
      <c r="J462" t="s">
        <v>52</v>
      </c>
      <c r="K462" t="s">
        <v>35</v>
      </c>
      <c r="L462" s="6">
        <v>0</v>
      </c>
      <c r="M462" s="6">
        <v>10000</v>
      </c>
      <c r="N462" s="6">
        <v>10000</v>
      </c>
      <c r="O462" s="6">
        <v>42814.720000000001</v>
      </c>
      <c r="P462" s="7">
        <v>0</v>
      </c>
      <c r="Q462" s="6">
        <v>0</v>
      </c>
    </row>
    <row r="463" spans="1:17">
      <c r="A463">
        <v>462</v>
      </c>
      <c r="B463" s="5">
        <v>45736</v>
      </c>
      <c r="C463" t="s">
        <v>172</v>
      </c>
      <c r="D463" t="s">
        <v>173</v>
      </c>
      <c r="E463" t="s">
        <v>174</v>
      </c>
      <c r="F463">
        <v>7</v>
      </c>
      <c r="G463" t="s">
        <v>411</v>
      </c>
      <c r="H463" t="s">
        <v>66</v>
      </c>
      <c r="I463" t="s">
        <v>22</v>
      </c>
      <c r="J463" t="s">
        <v>67</v>
      </c>
      <c r="K463" t="s">
        <v>34</v>
      </c>
      <c r="L463" s="6">
        <v>130</v>
      </c>
      <c r="M463" s="6">
        <v>0</v>
      </c>
      <c r="N463" s="6">
        <v>-130</v>
      </c>
      <c r="O463" s="6">
        <v>42684.72</v>
      </c>
      <c r="P463" s="7">
        <v>0</v>
      </c>
      <c r="Q463" s="6">
        <v>0</v>
      </c>
    </row>
    <row r="464" spans="1:17">
      <c r="A464">
        <v>463</v>
      </c>
      <c r="B464" s="5">
        <v>45736</v>
      </c>
      <c r="C464" t="s">
        <v>172</v>
      </c>
      <c r="D464" t="s">
        <v>173</v>
      </c>
      <c r="E464" t="s">
        <v>174</v>
      </c>
      <c r="F464">
        <v>7</v>
      </c>
      <c r="G464" t="s">
        <v>412</v>
      </c>
      <c r="H464" t="s">
        <v>66</v>
      </c>
      <c r="I464" t="s">
        <v>22</v>
      </c>
      <c r="J464" t="s">
        <v>67</v>
      </c>
      <c r="K464" t="s">
        <v>34</v>
      </c>
      <c r="L464" s="6">
        <v>2069</v>
      </c>
      <c r="M464" s="6">
        <v>0</v>
      </c>
      <c r="N464" s="6">
        <v>-2069</v>
      </c>
      <c r="O464" s="6">
        <v>40615.72</v>
      </c>
      <c r="P464" s="7">
        <v>0</v>
      </c>
      <c r="Q464" s="6">
        <v>0</v>
      </c>
    </row>
    <row r="465" spans="1:17">
      <c r="A465">
        <v>464</v>
      </c>
      <c r="B465" s="5">
        <v>45736</v>
      </c>
      <c r="C465" t="s">
        <v>172</v>
      </c>
      <c r="D465" t="s">
        <v>173</v>
      </c>
      <c r="E465" t="s">
        <v>174</v>
      </c>
      <c r="F465">
        <v>7</v>
      </c>
      <c r="G465" t="s">
        <v>413</v>
      </c>
      <c r="H465" t="s">
        <v>66</v>
      </c>
      <c r="I465" t="s">
        <v>22</v>
      </c>
      <c r="J465" t="s">
        <v>67</v>
      </c>
      <c r="K465" t="s">
        <v>34</v>
      </c>
      <c r="L465" s="6">
        <v>10000</v>
      </c>
      <c r="M465" s="6">
        <v>0</v>
      </c>
      <c r="N465" s="6">
        <v>-10000</v>
      </c>
      <c r="O465" s="6">
        <v>30615.72</v>
      </c>
      <c r="P465" s="7">
        <v>0</v>
      </c>
      <c r="Q465" s="6">
        <v>0</v>
      </c>
    </row>
    <row r="466" spans="1:17">
      <c r="A466">
        <v>465</v>
      </c>
      <c r="B466" s="5">
        <v>45736</v>
      </c>
      <c r="C466" t="s">
        <v>172</v>
      </c>
      <c r="D466" t="s">
        <v>173</v>
      </c>
      <c r="E466" t="s">
        <v>174</v>
      </c>
      <c r="F466">
        <v>7</v>
      </c>
      <c r="G466" t="s">
        <v>414</v>
      </c>
      <c r="H466" t="s">
        <v>66</v>
      </c>
      <c r="I466" t="s">
        <v>22</v>
      </c>
      <c r="J466" t="s">
        <v>67</v>
      </c>
      <c r="K466" t="s">
        <v>34</v>
      </c>
      <c r="L466" s="6">
        <v>200</v>
      </c>
      <c r="M466" s="6">
        <v>0</v>
      </c>
      <c r="N466" s="6">
        <v>-200</v>
      </c>
      <c r="O466" s="6">
        <v>30415.72</v>
      </c>
      <c r="P466" s="7">
        <v>0</v>
      </c>
      <c r="Q466" s="6">
        <v>0</v>
      </c>
    </row>
    <row r="467" spans="1:17">
      <c r="A467">
        <v>466</v>
      </c>
      <c r="B467" s="5">
        <v>45736</v>
      </c>
      <c r="C467" t="s">
        <v>172</v>
      </c>
      <c r="D467" t="s">
        <v>173</v>
      </c>
      <c r="E467" t="s">
        <v>174</v>
      </c>
      <c r="F467">
        <v>7</v>
      </c>
      <c r="G467" t="s">
        <v>278</v>
      </c>
      <c r="H467" t="s">
        <v>89</v>
      </c>
      <c r="I467" t="s">
        <v>16</v>
      </c>
      <c r="J467" t="s">
        <v>52</v>
      </c>
      <c r="K467" t="s">
        <v>35</v>
      </c>
      <c r="L467" s="6">
        <v>0</v>
      </c>
      <c r="M467" s="6">
        <v>180</v>
      </c>
      <c r="N467" s="6">
        <v>180</v>
      </c>
      <c r="O467" s="6">
        <v>30595.72</v>
      </c>
      <c r="P467" s="7">
        <v>0</v>
      </c>
      <c r="Q467" s="6">
        <v>0</v>
      </c>
    </row>
    <row r="468" spans="1:17">
      <c r="A468">
        <v>467</v>
      </c>
      <c r="B468" s="5">
        <v>45736</v>
      </c>
      <c r="C468" t="s">
        <v>172</v>
      </c>
      <c r="D468" t="s">
        <v>173</v>
      </c>
      <c r="E468" t="s">
        <v>174</v>
      </c>
      <c r="F468">
        <v>7</v>
      </c>
      <c r="G468" t="s">
        <v>285</v>
      </c>
      <c r="H468" t="s">
        <v>286</v>
      </c>
      <c r="I468" t="s">
        <v>16</v>
      </c>
      <c r="J468" t="s">
        <v>52</v>
      </c>
      <c r="K468" t="s">
        <v>35</v>
      </c>
      <c r="L468" s="6">
        <v>0</v>
      </c>
      <c r="M468" s="6">
        <v>500</v>
      </c>
      <c r="N468" s="6">
        <v>500</v>
      </c>
      <c r="O468" s="6">
        <v>31095.72</v>
      </c>
      <c r="P468" s="7">
        <v>0</v>
      </c>
      <c r="Q468" s="6">
        <v>0</v>
      </c>
    </row>
    <row r="469" spans="1:17">
      <c r="A469">
        <v>468</v>
      </c>
      <c r="B469" s="5">
        <v>45736</v>
      </c>
      <c r="C469" t="s">
        <v>172</v>
      </c>
      <c r="D469" t="s">
        <v>173</v>
      </c>
      <c r="E469" t="s">
        <v>174</v>
      </c>
      <c r="F469">
        <v>7</v>
      </c>
      <c r="G469" t="s">
        <v>285</v>
      </c>
      <c r="H469" t="s">
        <v>286</v>
      </c>
      <c r="I469" t="s">
        <v>16</v>
      </c>
      <c r="J469" t="s">
        <v>52</v>
      </c>
      <c r="K469" t="s">
        <v>35</v>
      </c>
      <c r="L469" s="6">
        <v>0</v>
      </c>
      <c r="M469" s="6">
        <v>500</v>
      </c>
      <c r="N469" s="6">
        <v>500</v>
      </c>
      <c r="O469" s="6">
        <v>31595.72</v>
      </c>
      <c r="P469" s="7">
        <v>0</v>
      </c>
      <c r="Q469" s="6">
        <v>0</v>
      </c>
    </row>
    <row r="470" spans="1:17">
      <c r="A470">
        <v>469</v>
      </c>
      <c r="B470" s="5">
        <v>45738</v>
      </c>
      <c r="C470" t="s">
        <v>172</v>
      </c>
      <c r="D470" t="s">
        <v>173</v>
      </c>
      <c r="E470" t="s">
        <v>174</v>
      </c>
      <c r="F470">
        <v>7</v>
      </c>
      <c r="G470" t="s">
        <v>194</v>
      </c>
      <c r="H470" t="s">
        <v>195</v>
      </c>
      <c r="I470" t="s">
        <v>16</v>
      </c>
      <c r="J470" t="s">
        <v>52</v>
      </c>
      <c r="K470" t="s">
        <v>35</v>
      </c>
      <c r="L470" s="6">
        <v>0</v>
      </c>
      <c r="M470" s="6">
        <v>1500</v>
      </c>
      <c r="N470" s="6">
        <v>1500</v>
      </c>
      <c r="O470" s="6">
        <v>33095.72</v>
      </c>
      <c r="P470" s="7">
        <v>0</v>
      </c>
      <c r="Q470" s="6">
        <v>0</v>
      </c>
    </row>
    <row r="471" spans="1:17">
      <c r="A471">
        <v>470</v>
      </c>
      <c r="B471" s="5">
        <v>45738</v>
      </c>
      <c r="C471" t="s">
        <v>172</v>
      </c>
      <c r="D471" t="s">
        <v>173</v>
      </c>
      <c r="E471" t="s">
        <v>174</v>
      </c>
      <c r="F471">
        <v>7</v>
      </c>
      <c r="G471" t="s">
        <v>227</v>
      </c>
      <c r="H471" t="s">
        <v>228</v>
      </c>
      <c r="I471" t="s">
        <v>16</v>
      </c>
      <c r="J471" t="s">
        <v>52</v>
      </c>
      <c r="K471" t="s">
        <v>35</v>
      </c>
      <c r="L471" s="6">
        <v>0</v>
      </c>
      <c r="M471" s="6">
        <v>750</v>
      </c>
      <c r="N471" s="6">
        <v>750</v>
      </c>
      <c r="O471" s="6">
        <v>33845.72</v>
      </c>
      <c r="P471" s="7">
        <v>0</v>
      </c>
      <c r="Q471" s="6">
        <v>0</v>
      </c>
    </row>
    <row r="472" spans="1:17">
      <c r="A472">
        <v>471</v>
      </c>
      <c r="B472" s="5">
        <v>45738</v>
      </c>
      <c r="C472" t="s">
        <v>172</v>
      </c>
      <c r="D472" t="s">
        <v>173</v>
      </c>
      <c r="E472" t="s">
        <v>174</v>
      </c>
      <c r="F472">
        <v>7</v>
      </c>
      <c r="G472" t="s">
        <v>227</v>
      </c>
      <c r="H472" t="s">
        <v>228</v>
      </c>
      <c r="I472" t="s">
        <v>16</v>
      </c>
      <c r="J472" t="s">
        <v>52</v>
      </c>
      <c r="K472" t="s">
        <v>35</v>
      </c>
      <c r="L472" s="6">
        <v>0</v>
      </c>
      <c r="M472" s="6">
        <v>750</v>
      </c>
      <c r="N472" s="6">
        <v>750</v>
      </c>
      <c r="O472" s="6">
        <v>34595.72</v>
      </c>
      <c r="P472" s="7">
        <v>0</v>
      </c>
      <c r="Q472" s="6">
        <v>0</v>
      </c>
    </row>
    <row r="473" spans="1:17">
      <c r="A473">
        <v>472</v>
      </c>
      <c r="B473" s="5">
        <v>45738</v>
      </c>
      <c r="C473" t="s">
        <v>172</v>
      </c>
      <c r="D473" t="s">
        <v>173</v>
      </c>
      <c r="E473" t="s">
        <v>174</v>
      </c>
      <c r="F473">
        <v>7</v>
      </c>
      <c r="G473" t="s">
        <v>415</v>
      </c>
      <c r="H473" t="s">
        <v>416</v>
      </c>
      <c r="I473" t="s">
        <v>16</v>
      </c>
      <c r="J473" t="s">
        <v>52</v>
      </c>
      <c r="K473" t="s">
        <v>35</v>
      </c>
      <c r="L473" s="6">
        <v>0</v>
      </c>
      <c r="M473" s="6">
        <v>500</v>
      </c>
      <c r="N473" s="6">
        <v>500</v>
      </c>
      <c r="O473" s="6">
        <v>35095.72</v>
      </c>
      <c r="P473" s="7">
        <v>0</v>
      </c>
      <c r="Q473" s="6">
        <v>0</v>
      </c>
    </row>
    <row r="474" spans="1:17">
      <c r="A474">
        <v>473</v>
      </c>
      <c r="B474" s="5">
        <v>45738</v>
      </c>
      <c r="C474" t="s">
        <v>172</v>
      </c>
      <c r="D474" t="s">
        <v>173</v>
      </c>
      <c r="E474" t="s">
        <v>174</v>
      </c>
      <c r="F474">
        <v>7</v>
      </c>
      <c r="G474" t="s">
        <v>201</v>
      </c>
      <c r="H474" t="s">
        <v>100</v>
      </c>
      <c r="I474" t="s">
        <v>16</v>
      </c>
      <c r="J474" t="s">
        <v>52</v>
      </c>
      <c r="K474" t="s">
        <v>35</v>
      </c>
      <c r="L474" s="6">
        <v>0</v>
      </c>
      <c r="M474" s="6">
        <v>3000</v>
      </c>
      <c r="N474" s="6">
        <v>3000</v>
      </c>
      <c r="O474" s="6">
        <v>38095.72</v>
      </c>
      <c r="P474" s="7">
        <v>0</v>
      </c>
      <c r="Q474" s="6">
        <v>0</v>
      </c>
    </row>
    <row r="475" spans="1:17">
      <c r="A475">
        <v>474</v>
      </c>
      <c r="B475" s="5">
        <v>45738</v>
      </c>
      <c r="C475" t="s">
        <v>172</v>
      </c>
      <c r="D475" t="s">
        <v>173</v>
      </c>
      <c r="E475" t="s">
        <v>174</v>
      </c>
      <c r="F475">
        <v>7</v>
      </c>
      <c r="G475" t="s">
        <v>264</v>
      </c>
      <c r="H475" t="s">
        <v>265</v>
      </c>
      <c r="I475" t="s">
        <v>16</v>
      </c>
      <c r="J475" t="s">
        <v>52</v>
      </c>
      <c r="K475" t="s">
        <v>35</v>
      </c>
      <c r="L475" s="6">
        <v>0</v>
      </c>
      <c r="M475" s="6">
        <v>500</v>
      </c>
      <c r="N475" s="6">
        <v>500</v>
      </c>
      <c r="O475" s="6">
        <v>38595.72</v>
      </c>
      <c r="P475" s="7">
        <v>0</v>
      </c>
      <c r="Q475" s="6">
        <v>0</v>
      </c>
    </row>
    <row r="476" spans="1:17">
      <c r="A476">
        <v>475</v>
      </c>
      <c r="B476" s="5">
        <v>45738</v>
      </c>
      <c r="C476" t="s">
        <v>172</v>
      </c>
      <c r="D476" t="s">
        <v>173</v>
      </c>
      <c r="E476" t="s">
        <v>174</v>
      </c>
      <c r="F476">
        <v>7</v>
      </c>
      <c r="G476" t="s">
        <v>417</v>
      </c>
      <c r="H476" t="s">
        <v>66</v>
      </c>
      <c r="I476" t="s">
        <v>22</v>
      </c>
      <c r="J476" t="s">
        <v>67</v>
      </c>
      <c r="K476" t="s">
        <v>34</v>
      </c>
      <c r="L476" s="6">
        <v>1366.39</v>
      </c>
      <c r="M476" s="6">
        <v>0</v>
      </c>
      <c r="N476" s="6">
        <v>-1366.39</v>
      </c>
      <c r="O476" s="6">
        <v>37229.33</v>
      </c>
      <c r="P476" s="7">
        <v>0</v>
      </c>
      <c r="Q476" s="6">
        <v>0</v>
      </c>
    </row>
    <row r="477" spans="1:17">
      <c r="A477">
        <v>476</v>
      </c>
      <c r="B477" s="5">
        <v>45738</v>
      </c>
      <c r="C477" t="s">
        <v>172</v>
      </c>
      <c r="D477" t="s">
        <v>173</v>
      </c>
      <c r="E477" t="s">
        <v>174</v>
      </c>
      <c r="F477">
        <v>7</v>
      </c>
      <c r="G477" t="s">
        <v>418</v>
      </c>
      <c r="H477" t="s">
        <v>66</v>
      </c>
      <c r="I477" t="s">
        <v>22</v>
      </c>
      <c r="J477" t="s">
        <v>67</v>
      </c>
      <c r="K477" t="s">
        <v>34</v>
      </c>
      <c r="L477" s="6">
        <v>2863</v>
      </c>
      <c r="M477" s="6">
        <v>0</v>
      </c>
      <c r="N477" s="6">
        <v>-2863</v>
      </c>
      <c r="O477" s="6">
        <v>34366.33</v>
      </c>
      <c r="P477" s="7">
        <v>0</v>
      </c>
      <c r="Q477" s="6">
        <v>0</v>
      </c>
    </row>
    <row r="478" spans="1:17">
      <c r="A478">
        <v>477</v>
      </c>
      <c r="B478" s="5">
        <v>45738</v>
      </c>
      <c r="C478" t="s">
        <v>172</v>
      </c>
      <c r="D478" t="s">
        <v>173</v>
      </c>
      <c r="E478" t="s">
        <v>174</v>
      </c>
      <c r="F478">
        <v>7</v>
      </c>
      <c r="G478" t="s">
        <v>419</v>
      </c>
      <c r="H478" t="s">
        <v>66</v>
      </c>
      <c r="I478" t="s">
        <v>22</v>
      </c>
      <c r="J478" t="s">
        <v>67</v>
      </c>
      <c r="K478" t="s">
        <v>34</v>
      </c>
      <c r="L478" s="6">
        <v>5390.21</v>
      </c>
      <c r="M478" s="6">
        <v>0</v>
      </c>
      <c r="N478" s="6">
        <v>-5390.21</v>
      </c>
      <c r="O478" s="6">
        <v>28976.12</v>
      </c>
      <c r="P478" s="7">
        <v>0</v>
      </c>
      <c r="Q478" s="6">
        <v>0</v>
      </c>
    </row>
    <row r="479" spans="1:17">
      <c r="A479">
        <v>478</v>
      </c>
      <c r="B479" s="5">
        <v>45738</v>
      </c>
      <c r="C479" t="s">
        <v>172</v>
      </c>
      <c r="D479" t="s">
        <v>173</v>
      </c>
      <c r="E479" t="s">
        <v>174</v>
      </c>
      <c r="F479">
        <v>7</v>
      </c>
      <c r="G479" t="s">
        <v>420</v>
      </c>
      <c r="H479" t="s">
        <v>66</v>
      </c>
      <c r="I479" t="s">
        <v>22</v>
      </c>
      <c r="J479" t="s">
        <v>67</v>
      </c>
      <c r="K479" t="s">
        <v>34</v>
      </c>
      <c r="L479" s="6">
        <v>1000</v>
      </c>
      <c r="M479" s="6">
        <v>0</v>
      </c>
      <c r="N479" s="6">
        <v>-1000</v>
      </c>
      <c r="O479" s="6">
        <v>27976.12</v>
      </c>
      <c r="P479" s="7">
        <v>0</v>
      </c>
      <c r="Q479" s="6">
        <v>0</v>
      </c>
    </row>
    <row r="480" spans="1:17">
      <c r="A480">
        <v>479</v>
      </c>
      <c r="B480" s="5">
        <v>45738</v>
      </c>
      <c r="C480" t="s">
        <v>172</v>
      </c>
      <c r="D480" t="s">
        <v>173</v>
      </c>
      <c r="E480" t="s">
        <v>174</v>
      </c>
      <c r="F480">
        <v>7</v>
      </c>
      <c r="G480" t="s">
        <v>199</v>
      </c>
      <c r="H480" t="s">
        <v>200</v>
      </c>
      <c r="I480" t="s">
        <v>16</v>
      </c>
      <c r="J480" t="s">
        <v>52</v>
      </c>
      <c r="K480" t="s">
        <v>35</v>
      </c>
      <c r="L480" s="6">
        <v>0</v>
      </c>
      <c r="M480" s="6">
        <v>5000</v>
      </c>
      <c r="N480" s="6">
        <v>5000</v>
      </c>
      <c r="O480" s="6">
        <v>32976.120000000003</v>
      </c>
      <c r="P480" s="7">
        <v>0</v>
      </c>
      <c r="Q480" s="6">
        <v>0</v>
      </c>
    </row>
    <row r="481" spans="1:17">
      <c r="A481">
        <v>480</v>
      </c>
      <c r="B481" s="5">
        <v>45738</v>
      </c>
      <c r="C481" t="s">
        <v>172</v>
      </c>
      <c r="D481" t="s">
        <v>173</v>
      </c>
      <c r="E481" t="s">
        <v>174</v>
      </c>
      <c r="F481">
        <v>8</v>
      </c>
      <c r="G481" t="s">
        <v>278</v>
      </c>
      <c r="H481" t="s">
        <v>89</v>
      </c>
      <c r="I481" t="s">
        <v>16</v>
      </c>
      <c r="J481" t="s">
        <v>52</v>
      </c>
      <c r="K481" t="s">
        <v>35</v>
      </c>
      <c r="L481" s="6">
        <v>0</v>
      </c>
      <c r="M481" s="6">
        <v>210</v>
      </c>
      <c r="N481" s="6">
        <v>210</v>
      </c>
      <c r="O481" s="6">
        <v>33186.120000000003</v>
      </c>
      <c r="P481" s="7">
        <v>0</v>
      </c>
      <c r="Q481" s="6">
        <v>0</v>
      </c>
    </row>
    <row r="482" spans="1:17">
      <c r="A482">
        <v>481</v>
      </c>
      <c r="B482" s="5">
        <v>45738</v>
      </c>
      <c r="C482" t="s">
        <v>172</v>
      </c>
      <c r="D482" t="s">
        <v>173</v>
      </c>
      <c r="E482" t="s">
        <v>174</v>
      </c>
      <c r="F482">
        <v>8</v>
      </c>
      <c r="G482" t="s">
        <v>278</v>
      </c>
      <c r="H482" t="s">
        <v>89</v>
      </c>
      <c r="I482" t="s">
        <v>16</v>
      </c>
      <c r="J482" t="s">
        <v>52</v>
      </c>
      <c r="K482" t="s">
        <v>35</v>
      </c>
      <c r="L482" s="6">
        <v>0</v>
      </c>
      <c r="M482" s="6">
        <v>200</v>
      </c>
      <c r="N482" s="6">
        <v>200</v>
      </c>
      <c r="O482" s="6">
        <v>33386.120000000003</v>
      </c>
      <c r="P482" s="7">
        <v>0</v>
      </c>
      <c r="Q482" s="6">
        <v>0</v>
      </c>
    </row>
    <row r="483" spans="1:17">
      <c r="A483">
        <v>482</v>
      </c>
      <c r="B483" s="5">
        <v>45738</v>
      </c>
      <c r="C483" t="s">
        <v>172</v>
      </c>
      <c r="D483" t="s">
        <v>173</v>
      </c>
      <c r="E483" t="s">
        <v>174</v>
      </c>
      <c r="F483">
        <v>8</v>
      </c>
      <c r="G483" t="s">
        <v>421</v>
      </c>
      <c r="H483" t="s">
        <v>422</v>
      </c>
      <c r="I483" t="s">
        <v>16</v>
      </c>
      <c r="J483" t="s">
        <v>52</v>
      </c>
      <c r="K483" t="s">
        <v>35</v>
      </c>
      <c r="L483" s="6">
        <v>0</v>
      </c>
      <c r="M483" s="6">
        <v>300</v>
      </c>
      <c r="N483" s="6">
        <v>300</v>
      </c>
      <c r="O483" s="6">
        <v>33686.120000000003</v>
      </c>
      <c r="P483" s="7">
        <v>0</v>
      </c>
      <c r="Q483" s="6">
        <v>0</v>
      </c>
    </row>
    <row r="484" spans="1:17">
      <c r="A484">
        <v>483</v>
      </c>
      <c r="B484" s="5">
        <v>45738</v>
      </c>
      <c r="C484" t="s">
        <v>172</v>
      </c>
      <c r="D484" t="s">
        <v>173</v>
      </c>
      <c r="E484" t="s">
        <v>174</v>
      </c>
      <c r="F484">
        <v>8</v>
      </c>
      <c r="G484" t="s">
        <v>423</v>
      </c>
      <c r="H484" t="s">
        <v>66</v>
      </c>
      <c r="I484" t="s">
        <v>22</v>
      </c>
      <c r="J484" t="s">
        <v>67</v>
      </c>
      <c r="K484" t="s">
        <v>34</v>
      </c>
      <c r="L484" s="6">
        <v>950</v>
      </c>
      <c r="M484" s="6">
        <v>0</v>
      </c>
      <c r="N484" s="6">
        <v>-950</v>
      </c>
      <c r="O484" s="6">
        <v>32736.12</v>
      </c>
      <c r="P484" s="7">
        <v>0</v>
      </c>
      <c r="Q484" s="6">
        <v>0</v>
      </c>
    </row>
    <row r="485" spans="1:17">
      <c r="A485">
        <v>484</v>
      </c>
      <c r="B485" s="5">
        <v>45738</v>
      </c>
      <c r="C485" t="s">
        <v>172</v>
      </c>
      <c r="D485" t="s">
        <v>173</v>
      </c>
      <c r="E485" t="s">
        <v>174</v>
      </c>
      <c r="F485">
        <v>8</v>
      </c>
      <c r="G485" t="s">
        <v>424</v>
      </c>
      <c r="H485" t="s">
        <v>66</v>
      </c>
      <c r="I485" t="s">
        <v>22</v>
      </c>
      <c r="J485" t="s">
        <v>67</v>
      </c>
      <c r="K485" t="s">
        <v>34</v>
      </c>
      <c r="L485" s="6">
        <v>150</v>
      </c>
      <c r="M485" s="6">
        <v>0</v>
      </c>
      <c r="N485" s="6">
        <v>-150</v>
      </c>
      <c r="O485" s="6">
        <v>32586.12</v>
      </c>
      <c r="P485" s="7">
        <v>0</v>
      </c>
      <c r="Q485" s="6">
        <v>0</v>
      </c>
    </row>
    <row r="486" spans="1:17">
      <c r="A486">
        <v>485</v>
      </c>
      <c r="B486" s="5">
        <v>45738</v>
      </c>
      <c r="C486" t="s">
        <v>172</v>
      </c>
      <c r="D486" t="s">
        <v>173</v>
      </c>
      <c r="E486" t="s">
        <v>174</v>
      </c>
      <c r="F486">
        <v>8</v>
      </c>
      <c r="G486" t="s">
        <v>425</v>
      </c>
      <c r="H486" t="s">
        <v>66</v>
      </c>
      <c r="I486" t="s">
        <v>22</v>
      </c>
      <c r="J486" t="s">
        <v>67</v>
      </c>
      <c r="K486" t="s">
        <v>34</v>
      </c>
      <c r="L486" s="6">
        <v>5599.96</v>
      </c>
      <c r="M486" s="6">
        <v>0</v>
      </c>
      <c r="N486" s="6">
        <v>-5599.96</v>
      </c>
      <c r="O486" s="6">
        <v>26986.16</v>
      </c>
      <c r="P486" s="7">
        <v>0</v>
      </c>
      <c r="Q486" s="6">
        <v>0</v>
      </c>
    </row>
    <row r="487" spans="1:17">
      <c r="A487">
        <v>486</v>
      </c>
      <c r="B487" s="5">
        <v>45738</v>
      </c>
      <c r="C487" t="s">
        <v>172</v>
      </c>
      <c r="D487" t="s">
        <v>173</v>
      </c>
      <c r="E487" t="s">
        <v>174</v>
      </c>
      <c r="F487">
        <v>8</v>
      </c>
      <c r="G487" t="s">
        <v>426</v>
      </c>
      <c r="H487" t="s">
        <v>66</v>
      </c>
      <c r="I487" t="s">
        <v>22</v>
      </c>
      <c r="J487" t="s">
        <v>67</v>
      </c>
      <c r="K487" t="s">
        <v>34</v>
      </c>
      <c r="L487" s="6">
        <v>210</v>
      </c>
      <c r="M487" s="6">
        <v>0</v>
      </c>
      <c r="N487" s="6">
        <v>-210</v>
      </c>
      <c r="O487" s="6">
        <v>26776.16</v>
      </c>
      <c r="P487" s="7">
        <v>0</v>
      </c>
      <c r="Q487" s="6">
        <v>0</v>
      </c>
    </row>
    <row r="488" spans="1:17">
      <c r="A488">
        <v>487</v>
      </c>
      <c r="B488" s="5">
        <v>45738</v>
      </c>
      <c r="C488" t="s">
        <v>172</v>
      </c>
      <c r="D488" t="s">
        <v>173</v>
      </c>
      <c r="E488" t="s">
        <v>174</v>
      </c>
      <c r="F488">
        <v>8</v>
      </c>
      <c r="G488" t="s">
        <v>427</v>
      </c>
      <c r="H488" t="s">
        <v>66</v>
      </c>
      <c r="I488" t="s">
        <v>22</v>
      </c>
      <c r="J488" t="s">
        <v>67</v>
      </c>
      <c r="K488" t="s">
        <v>34</v>
      </c>
      <c r="L488" s="6">
        <v>2000</v>
      </c>
      <c r="M488" s="6">
        <v>0</v>
      </c>
      <c r="N488" s="6">
        <v>-2000</v>
      </c>
      <c r="O488" s="6">
        <v>24776.16</v>
      </c>
      <c r="P488" s="7">
        <v>0</v>
      </c>
      <c r="Q488" s="6">
        <v>0</v>
      </c>
    </row>
    <row r="489" spans="1:17">
      <c r="A489">
        <v>488</v>
      </c>
      <c r="B489" s="5">
        <v>45738</v>
      </c>
      <c r="C489" t="s">
        <v>172</v>
      </c>
      <c r="D489" t="s">
        <v>173</v>
      </c>
      <c r="E489" t="s">
        <v>174</v>
      </c>
      <c r="F489">
        <v>8</v>
      </c>
      <c r="G489" t="s">
        <v>428</v>
      </c>
      <c r="H489" t="s">
        <v>66</v>
      </c>
      <c r="I489" t="s">
        <v>22</v>
      </c>
      <c r="J489" t="s">
        <v>67</v>
      </c>
      <c r="K489" t="s">
        <v>34</v>
      </c>
      <c r="L489" s="6">
        <v>350</v>
      </c>
      <c r="M489" s="6">
        <v>0</v>
      </c>
      <c r="N489" s="6">
        <v>-350</v>
      </c>
      <c r="O489" s="6">
        <v>24426.16</v>
      </c>
      <c r="P489" s="7">
        <v>0</v>
      </c>
      <c r="Q489" s="6">
        <v>0</v>
      </c>
    </row>
    <row r="490" spans="1:17">
      <c r="A490">
        <v>489</v>
      </c>
      <c r="B490" s="5">
        <v>45738</v>
      </c>
      <c r="C490" t="s">
        <v>172</v>
      </c>
      <c r="D490" t="s">
        <v>173</v>
      </c>
      <c r="E490" t="s">
        <v>174</v>
      </c>
      <c r="F490">
        <v>8</v>
      </c>
      <c r="G490" t="s">
        <v>429</v>
      </c>
      <c r="H490" t="s">
        <v>66</v>
      </c>
      <c r="I490" t="s">
        <v>22</v>
      </c>
      <c r="J490" t="s">
        <v>67</v>
      </c>
      <c r="K490" t="s">
        <v>34</v>
      </c>
      <c r="L490" s="6">
        <v>100.56</v>
      </c>
      <c r="M490" s="6">
        <v>0</v>
      </c>
      <c r="N490" s="6">
        <v>-100.56</v>
      </c>
      <c r="O490" s="6">
        <v>24325.599999999999</v>
      </c>
      <c r="P490" s="7">
        <v>0</v>
      </c>
      <c r="Q490" s="6">
        <v>0</v>
      </c>
    </row>
    <row r="491" spans="1:17">
      <c r="A491">
        <v>490</v>
      </c>
      <c r="B491" s="5">
        <v>45738</v>
      </c>
      <c r="C491" t="s">
        <v>172</v>
      </c>
      <c r="D491" t="s">
        <v>173</v>
      </c>
      <c r="E491" t="s">
        <v>174</v>
      </c>
      <c r="F491">
        <v>8</v>
      </c>
      <c r="G491" t="s">
        <v>430</v>
      </c>
      <c r="H491" t="s">
        <v>66</v>
      </c>
      <c r="I491" t="s">
        <v>22</v>
      </c>
      <c r="J491" t="s">
        <v>67</v>
      </c>
      <c r="K491" t="s">
        <v>34</v>
      </c>
      <c r="L491" s="6">
        <v>3000</v>
      </c>
      <c r="M491" s="6">
        <v>0</v>
      </c>
      <c r="N491" s="6">
        <v>-3000</v>
      </c>
      <c r="O491" s="6">
        <v>21325.599999999999</v>
      </c>
      <c r="P491" s="7">
        <v>0</v>
      </c>
      <c r="Q491" s="6">
        <v>0</v>
      </c>
    </row>
    <row r="492" spans="1:17">
      <c r="A492">
        <v>491</v>
      </c>
      <c r="B492" s="5">
        <v>45738</v>
      </c>
      <c r="C492" t="s">
        <v>172</v>
      </c>
      <c r="D492" t="s">
        <v>173</v>
      </c>
      <c r="E492" t="s">
        <v>174</v>
      </c>
      <c r="F492">
        <v>8</v>
      </c>
      <c r="G492" t="s">
        <v>431</v>
      </c>
      <c r="H492" t="s">
        <v>66</v>
      </c>
      <c r="I492" t="s">
        <v>22</v>
      </c>
      <c r="J492" t="s">
        <v>67</v>
      </c>
      <c r="K492" t="s">
        <v>34</v>
      </c>
      <c r="L492" s="6">
        <v>6150</v>
      </c>
      <c r="M492" s="6">
        <v>0</v>
      </c>
      <c r="N492" s="6">
        <v>-6150</v>
      </c>
      <c r="O492" s="6">
        <v>15175.6</v>
      </c>
      <c r="P492" s="7">
        <v>0</v>
      </c>
      <c r="Q492" s="6">
        <v>0</v>
      </c>
    </row>
    <row r="493" spans="1:17">
      <c r="A493">
        <v>492</v>
      </c>
      <c r="B493" s="5">
        <v>45740</v>
      </c>
      <c r="C493" t="s">
        <v>172</v>
      </c>
      <c r="D493" t="s">
        <v>173</v>
      </c>
      <c r="E493" t="s">
        <v>174</v>
      </c>
      <c r="F493">
        <v>8</v>
      </c>
      <c r="G493" t="s">
        <v>227</v>
      </c>
      <c r="H493" t="s">
        <v>228</v>
      </c>
      <c r="I493" t="s">
        <v>16</v>
      </c>
      <c r="J493" t="s">
        <v>52</v>
      </c>
      <c r="K493" t="s">
        <v>35</v>
      </c>
      <c r="L493" s="6">
        <v>0</v>
      </c>
      <c r="M493" s="6">
        <v>685</v>
      </c>
      <c r="N493" s="6">
        <v>685</v>
      </c>
      <c r="O493" s="6">
        <v>15860.6</v>
      </c>
      <c r="P493" s="7">
        <v>0</v>
      </c>
      <c r="Q493" s="6">
        <v>0</v>
      </c>
    </row>
    <row r="494" spans="1:17">
      <c r="A494">
        <v>493</v>
      </c>
      <c r="B494" s="5">
        <v>45740</v>
      </c>
      <c r="C494" t="s">
        <v>172</v>
      </c>
      <c r="D494" t="s">
        <v>173</v>
      </c>
      <c r="E494" t="s">
        <v>174</v>
      </c>
      <c r="F494">
        <v>8</v>
      </c>
      <c r="G494" t="s">
        <v>227</v>
      </c>
      <c r="H494" t="s">
        <v>228</v>
      </c>
      <c r="I494" t="s">
        <v>16</v>
      </c>
      <c r="J494" t="s">
        <v>52</v>
      </c>
      <c r="K494" t="s">
        <v>35</v>
      </c>
      <c r="L494" s="6">
        <v>0</v>
      </c>
      <c r="M494" s="6">
        <v>1000</v>
      </c>
      <c r="N494" s="6">
        <v>1000</v>
      </c>
      <c r="O494" s="6">
        <v>16860.599999999999</v>
      </c>
      <c r="P494" s="7">
        <v>0</v>
      </c>
      <c r="Q494" s="6">
        <v>0</v>
      </c>
    </row>
    <row r="495" spans="1:17">
      <c r="A495">
        <v>494</v>
      </c>
      <c r="B495" s="5">
        <v>45740</v>
      </c>
      <c r="C495" t="s">
        <v>172</v>
      </c>
      <c r="D495" t="s">
        <v>173</v>
      </c>
      <c r="E495" t="s">
        <v>174</v>
      </c>
      <c r="F495">
        <v>8</v>
      </c>
      <c r="G495" t="s">
        <v>199</v>
      </c>
      <c r="H495" t="s">
        <v>200</v>
      </c>
      <c r="I495" t="s">
        <v>16</v>
      </c>
      <c r="J495" t="s">
        <v>52</v>
      </c>
      <c r="K495" t="s">
        <v>35</v>
      </c>
      <c r="L495" s="6">
        <v>0</v>
      </c>
      <c r="M495" s="6">
        <v>5000</v>
      </c>
      <c r="N495" s="6">
        <v>5000</v>
      </c>
      <c r="O495" s="6">
        <v>21860.6</v>
      </c>
      <c r="P495" s="7">
        <v>0</v>
      </c>
      <c r="Q495" s="6">
        <v>0</v>
      </c>
    </row>
    <row r="496" spans="1:17">
      <c r="A496">
        <v>495</v>
      </c>
      <c r="B496" s="5">
        <v>45740</v>
      </c>
      <c r="C496" t="s">
        <v>172</v>
      </c>
      <c r="D496" t="s">
        <v>173</v>
      </c>
      <c r="E496" t="s">
        <v>174</v>
      </c>
      <c r="F496">
        <v>8</v>
      </c>
      <c r="G496" t="s">
        <v>227</v>
      </c>
      <c r="H496" t="s">
        <v>228</v>
      </c>
      <c r="I496" t="s">
        <v>16</v>
      </c>
      <c r="J496" t="s">
        <v>52</v>
      </c>
      <c r="K496" t="s">
        <v>35</v>
      </c>
      <c r="L496" s="6">
        <v>0</v>
      </c>
      <c r="M496" s="6">
        <v>1000</v>
      </c>
      <c r="N496" s="6">
        <v>1000</v>
      </c>
      <c r="O496" s="6">
        <v>22860.6</v>
      </c>
      <c r="P496" s="7">
        <v>0</v>
      </c>
      <c r="Q496" s="6">
        <v>0</v>
      </c>
    </row>
    <row r="497" spans="1:17">
      <c r="A497">
        <v>496</v>
      </c>
      <c r="B497" s="5">
        <v>45740</v>
      </c>
      <c r="C497" t="s">
        <v>172</v>
      </c>
      <c r="D497" t="s">
        <v>173</v>
      </c>
      <c r="E497" t="s">
        <v>174</v>
      </c>
      <c r="F497">
        <v>8</v>
      </c>
      <c r="G497" t="s">
        <v>227</v>
      </c>
      <c r="H497" t="s">
        <v>228</v>
      </c>
      <c r="I497" t="s">
        <v>16</v>
      </c>
      <c r="J497" t="s">
        <v>52</v>
      </c>
      <c r="K497" t="s">
        <v>35</v>
      </c>
      <c r="L497" s="6">
        <v>0</v>
      </c>
      <c r="M497" s="6">
        <v>1000</v>
      </c>
      <c r="N497" s="6">
        <v>1000</v>
      </c>
      <c r="O497" s="6">
        <v>23860.6</v>
      </c>
      <c r="P497" s="7">
        <v>0</v>
      </c>
      <c r="Q497" s="6">
        <v>0</v>
      </c>
    </row>
    <row r="498" spans="1:17">
      <c r="A498">
        <v>497</v>
      </c>
      <c r="B498" s="5">
        <v>45740</v>
      </c>
      <c r="C498" t="s">
        <v>172</v>
      </c>
      <c r="D498" t="s">
        <v>173</v>
      </c>
      <c r="E498" t="s">
        <v>174</v>
      </c>
      <c r="F498">
        <v>8</v>
      </c>
      <c r="G498" t="s">
        <v>227</v>
      </c>
      <c r="H498" t="s">
        <v>228</v>
      </c>
      <c r="I498" t="s">
        <v>16</v>
      </c>
      <c r="J498" t="s">
        <v>52</v>
      </c>
      <c r="K498" t="s">
        <v>35</v>
      </c>
      <c r="L498" s="6">
        <v>0</v>
      </c>
      <c r="M498" s="6">
        <v>1000</v>
      </c>
      <c r="N498" s="6">
        <v>1000</v>
      </c>
      <c r="O498" s="6">
        <v>24860.6</v>
      </c>
      <c r="P498" s="7">
        <v>0</v>
      </c>
      <c r="Q498" s="6">
        <v>0</v>
      </c>
    </row>
    <row r="499" spans="1:17">
      <c r="A499">
        <v>498</v>
      </c>
      <c r="B499" s="5">
        <v>45740</v>
      </c>
      <c r="C499" t="s">
        <v>172</v>
      </c>
      <c r="D499" t="s">
        <v>173</v>
      </c>
      <c r="E499" t="s">
        <v>174</v>
      </c>
      <c r="F499">
        <v>8</v>
      </c>
      <c r="G499" t="s">
        <v>227</v>
      </c>
      <c r="H499" t="s">
        <v>228</v>
      </c>
      <c r="I499" t="s">
        <v>16</v>
      </c>
      <c r="J499" t="s">
        <v>52</v>
      </c>
      <c r="K499" t="s">
        <v>35</v>
      </c>
      <c r="L499" s="6">
        <v>0</v>
      </c>
      <c r="M499" s="6">
        <v>1000</v>
      </c>
      <c r="N499" s="6">
        <v>1000</v>
      </c>
      <c r="O499" s="6">
        <v>25860.6</v>
      </c>
      <c r="P499" s="7">
        <v>0</v>
      </c>
      <c r="Q499" s="6">
        <v>0</v>
      </c>
    </row>
    <row r="500" spans="1:17">
      <c r="A500">
        <v>499</v>
      </c>
      <c r="B500" s="5">
        <v>45740</v>
      </c>
      <c r="C500" t="s">
        <v>172</v>
      </c>
      <c r="D500" t="s">
        <v>173</v>
      </c>
      <c r="E500" t="s">
        <v>174</v>
      </c>
      <c r="F500">
        <v>8</v>
      </c>
      <c r="G500" t="s">
        <v>227</v>
      </c>
      <c r="H500" t="s">
        <v>228</v>
      </c>
      <c r="I500" t="s">
        <v>16</v>
      </c>
      <c r="J500" t="s">
        <v>52</v>
      </c>
      <c r="K500" t="s">
        <v>35</v>
      </c>
      <c r="L500" s="6">
        <v>0</v>
      </c>
      <c r="M500" s="6">
        <v>1000</v>
      </c>
      <c r="N500" s="6">
        <v>1000</v>
      </c>
      <c r="O500" s="6">
        <v>26860.6</v>
      </c>
      <c r="P500" s="7">
        <v>0</v>
      </c>
      <c r="Q500" s="6">
        <v>0</v>
      </c>
    </row>
    <row r="501" spans="1:17">
      <c r="A501">
        <v>500</v>
      </c>
      <c r="B501" s="5">
        <v>45740</v>
      </c>
      <c r="C501" t="s">
        <v>172</v>
      </c>
      <c r="D501" t="s">
        <v>173</v>
      </c>
      <c r="E501" t="s">
        <v>174</v>
      </c>
      <c r="F501">
        <v>8</v>
      </c>
      <c r="G501" t="s">
        <v>227</v>
      </c>
      <c r="H501" t="s">
        <v>228</v>
      </c>
      <c r="I501" t="s">
        <v>16</v>
      </c>
      <c r="J501" t="s">
        <v>52</v>
      </c>
      <c r="K501" t="s">
        <v>35</v>
      </c>
      <c r="L501" s="6">
        <v>0</v>
      </c>
      <c r="M501" s="6">
        <v>1000</v>
      </c>
      <c r="N501" s="6">
        <v>1000</v>
      </c>
      <c r="O501" s="6">
        <v>27860.6</v>
      </c>
      <c r="P501" s="7">
        <v>0</v>
      </c>
      <c r="Q501" s="6">
        <v>0</v>
      </c>
    </row>
    <row r="502" spans="1:17">
      <c r="A502">
        <v>501</v>
      </c>
      <c r="B502" s="5">
        <v>45740</v>
      </c>
      <c r="C502" t="s">
        <v>172</v>
      </c>
      <c r="D502" t="s">
        <v>173</v>
      </c>
      <c r="E502" t="s">
        <v>174</v>
      </c>
      <c r="F502">
        <v>8</v>
      </c>
      <c r="G502" t="s">
        <v>227</v>
      </c>
      <c r="H502" t="s">
        <v>228</v>
      </c>
      <c r="I502" t="s">
        <v>16</v>
      </c>
      <c r="J502" t="s">
        <v>52</v>
      </c>
      <c r="K502" t="s">
        <v>35</v>
      </c>
      <c r="L502" s="6">
        <v>0</v>
      </c>
      <c r="M502" s="6">
        <v>1000</v>
      </c>
      <c r="N502" s="6">
        <v>1000</v>
      </c>
      <c r="O502" s="6">
        <v>28860.6</v>
      </c>
      <c r="P502" s="7">
        <v>0</v>
      </c>
      <c r="Q502" s="6">
        <v>0</v>
      </c>
    </row>
    <row r="503" spans="1:17">
      <c r="A503">
        <v>502</v>
      </c>
      <c r="B503" s="5">
        <v>45740</v>
      </c>
      <c r="C503" t="s">
        <v>172</v>
      </c>
      <c r="D503" t="s">
        <v>173</v>
      </c>
      <c r="E503" t="s">
        <v>174</v>
      </c>
      <c r="F503">
        <v>8</v>
      </c>
      <c r="G503" t="s">
        <v>190</v>
      </c>
      <c r="H503" t="s">
        <v>112</v>
      </c>
      <c r="I503" t="s">
        <v>16</v>
      </c>
      <c r="J503" t="s">
        <v>52</v>
      </c>
      <c r="K503" t="s">
        <v>35</v>
      </c>
      <c r="L503" s="6">
        <v>0</v>
      </c>
      <c r="M503" s="6">
        <v>20000</v>
      </c>
      <c r="N503" s="6">
        <v>20000</v>
      </c>
      <c r="O503" s="6">
        <v>48860.6</v>
      </c>
      <c r="P503" s="7">
        <v>0</v>
      </c>
      <c r="Q503" s="6">
        <v>0</v>
      </c>
    </row>
    <row r="504" spans="1:17">
      <c r="A504">
        <v>503</v>
      </c>
      <c r="B504" s="5">
        <v>45740</v>
      </c>
      <c r="C504" t="s">
        <v>172</v>
      </c>
      <c r="D504" t="s">
        <v>173</v>
      </c>
      <c r="E504" t="s">
        <v>174</v>
      </c>
      <c r="F504">
        <v>8</v>
      </c>
      <c r="G504" t="s">
        <v>227</v>
      </c>
      <c r="H504" t="s">
        <v>228</v>
      </c>
      <c r="I504" t="s">
        <v>16</v>
      </c>
      <c r="J504" t="s">
        <v>52</v>
      </c>
      <c r="K504" t="s">
        <v>35</v>
      </c>
      <c r="L504" s="6">
        <v>0</v>
      </c>
      <c r="M504" s="6">
        <v>1000</v>
      </c>
      <c r="N504" s="6">
        <v>1000</v>
      </c>
      <c r="O504" s="6">
        <v>49860.6</v>
      </c>
      <c r="P504" s="7">
        <v>0</v>
      </c>
      <c r="Q504" s="6">
        <v>0</v>
      </c>
    </row>
    <row r="505" spans="1:17">
      <c r="A505">
        <v>504</v>
      </c>
      <c r="B505" s="5">
        <v>45740</v>
      </c>
      <c r="C505" t="s">
        <v>172</v>
      </c>
      <c r="D505" t="s">
        <v>173</v>
      </c>
      <c r="E505" t="s">
        <v>174</v>
      </c>
      <c r="F505">
        <v>8</v>
      </c>
      <c r="G505" t="s">
        <v>278</v>
      </c>
      <c r="H505" t="s">
        <v>89</v>
      </c>
      <c r="I505" t="s">
        <v>16</v>
      </c>
      <c r="J505" t="s">
        <v>52</v>
      </c>
      <c r="K505" t="s">
        <v>35</v>
      </c>
      <c r="L505" s="6">
        <v>0</v>
      </c>
      <c r="M505" s="6">
        <v>210</v>
      </c>
      <c r="N505" s="6">
        <v>210</v>
      </c>
      <c r="O505" s="6">
        <v>50070.6</v>
      </c>
      <c r="P505" s="7">
        <v>0</v>
      </c>
      <c r="Q505" s="6">
        <v>0</v>
      </c>
    </row>
    <row r="506" spans="1:17">
      <c r="A506">
        <v>505</v>
      </c>
      <c r="B506" s="5">
        <v>45740</v>
      </c>
      <c r="C506" t="s">
        <v>172</v>
      </c>
      <c r="D506" t="s">
        <v>173</v>
      </c>
      <c r="E506" t="s">
        <v>174</v>
      </c>
      <c r="F506">
        <v>8</v>
      </c>
      <c r="G506" t="s">
        <v>432</v>
      </c>
      <c r="H506" t="s">
        <v>66</v>
      </c>
      <c r="I506" t="s">
        <v>22</v>
      </c>
      <c r="J506" t="s">
        <v>67</v>
      </c>
      <c r="K506" t="s">
        <v>34</v>
      </c>
      <c r="L506" s="6">
        <v>1000</v>
      </c>
      <c r="M506" s="6">
        <v>0</v>
      </c>
      <c r="N506" s="6">
        <v>-1000</v>
      </c>
      <c r="O506" s="6">
        <v>49070.6</v>
      </c>
      <c r="P506" s="7">
        <v>0</v>
      </c>
      <c r="Q506" s="6">
        <v>0</v>
      </c>
    </row>
    <row r="507" spans="1:17">
      <c r="A507">
        <v>506</v>
      </c>
      <c r="B507" s="5">
        <v>45740</v>
      </c>
      <c r="C507" t="s">
        <v>172</v>
      </c>
      <c r="D507" t="s">
        <v>173</v>
      </c>
      <c r="E507" t="s">
        <v>174</v>
      </c>
      <c r="F507">
        <v>8</v>
      </c>
      <c r="G507" t="s">
        <v>433</v>
      </c>
      <c r="H507" t="s">
        <v>66</v>
      </c>
      <c r="I507" t="s">
        <v>22</v>
      </c>
      <c r="J507" t="s">
        <v>67</v>
      </c>
      <c r="K507" t="s">
        <v>34</v>
      </c>
      <c r="L507" s="6">
        <v>14.92</v>
      </c>
      <c r="M507" s="6">
        <v>0</v>
      </c>
      <c r="N507" s="6">
        <v>-14.92</v>
      </c>
      <c r="O507" s="6">
        <v>49055.68</v>
      </c>
      <c r="P507" s="7">
        <v>0</v>
      </c>
      <c r="Q507" s="6">
        <v>0</v>
      </c>
    </row>
    <row r="508" spans="1:17">
      <c r="A508">
        <v>507</v>
      </c>
      <c r="B508" s="5">
        <v>45740</v>
      </c>
      <c r="C508" t="s">
        <v>172</v>
      </c>
      <c r="D508" t="s">
        <v>173</v>
      </c>
      <c r="E508" t="s">
        <v>174</v>
      </c>
      <c r="F508">
        <v>8</v>
      </c>
      <c r="G508" t="s">
        <v>434</v>
      </c>
      <c r="H508" t="s">
        <v>66</v>
      </c>
      <c r="I508" t="s">
        <v>22</v>
      </c>
      <c r="J508" t="s">
        <v>67</v>
      </c>
      <c r="K508" t="s">
        <v>34</v>
      </c>
      <c r="L508" s="6">
        <v>1500</v>
      </c>
      <c r="M508" s="6">
        <v>0</v>
      </c>
      <c r="N508" s="6">
        <v>-1500</v>
      </c>
      <c r="O508" s="6">
        <v>47555.68</v>
      </c>
      <c r="P508" s="7">
        <v>0</v>
      </c>
      <c r="Q508" s="6">
        <v>0</v>
      </c>
    </row>
    <row r="509" spans="1:17">
      <c r="A509">
        <v>508</v>
      </c>
      <c r="B509" s="5">
        <v>45740</v>
      </c>
      <c r="C509" t="s">
        <v>172</v>
      </c>
      <c r="D509" t="s">
        <v>173</v>
      </c>
      <c r="E509" t="s">
        <v>174</v>
      </c>
      <c r="F509">
        <v>8</v>
      </c>
      <c r="G509" t="s">
        <v>435</v>
      </c>
      <c r="H509" t="s">
        <v>436</v>
      </c>
      <c r="I509" t="s">
        <v>16</v>
      </c>
      <c r="J509" t="s">
        <v>52</v>
      </c>
      <c r="K509" t="s">
        <v>35</v>
      </c>
      <c r="L509" s="6">
        <v>0</v>
      </c>
      <c r="M509" s="6">
        <v>100</v>
      </c>
      <c r="N509" s="6">
        <v>100</v>
      </c>
      <c r="O509" s="6">
        <v>47655.68</v>
      </c>
      <c r="P509" s="7">
        <v>0</v>
      </c>
      <c r="Q509" s="6">
        <v>0</v>
      </c>
    </row>
    <row r="510" spans="1:17">
      <c r="A510">
        <v>509</v>
      </c>
      <c r="B510" s="5">
        <v>45740</v>
      </c>
      <c r="C510" t="s">
        <v>172</v>
      </c>
      <c r="D510" t="s">
        <v>173</v>
      </c>
      <c r="E510" t="s">
        <v>174</v>
      </c>
      <c r="F510">
        <v>8</v>
      </c>
      <c r="G510" t="s">
        <v>437</v>
      </c>
      <c r="H510" t="s">
        <v>438</v>
      </c>
      <c r="I510" t="s">
        <v>16</v>
      </c>
      <c r="J510" t="s">
        <v>52</v>
      </c>
      <c r="K510" t="s">
        <v>35</v>
      </c>
      <c r="L510" s="6">
        <v>0</v>
      </c>
      <c r="M510" s="6">
        <v>250</v>
      </c>
      <c r="N510" s="6">
        <v>250</v>
      </c>
      <c r="O510" s="6">
        <v>47905.68</v>
      </c>
      <c r="P510" s="7">
        <v>0</v>
      </c>
      <c r="Q510" s="6">
        <v>0</v>
      </c>
    </row>
    <row r="511" spans="1:17">
      <c r="A511">
        <v>510</v>
      </c>
      <c r="B511" s="5">
        <v>45740</v>
      </c>
      <c r="C511" t="s">
        <v>172</v>
      </c>
      <c r="D511" t="s">
        <v>173</v>
      </c>
      <c r="E511" t="s">
        <v>174</v>
      </c>
      <c r="F511">
        <v>8</v>
      </c>
      <c r="G511" t="s">
        <v>193</v>
      </c>
      <c r="H511" t="s">
        <v>70</v>
      </c>
      <c r="I511" t="s">
        <v>16</v>
      </c>
      <c r="J511" t="s">
        <v>52</v>
      </c>
      <c r="K511" t="s">
        <v>35</v>
      </c>
      <c r="L511" s="6">
        <v>0</v>
      </c>
      <c r="M511" s="6">
        <v>3000</v>
      </c>
      <c r="N511" s="6">
        <v>3000</v>
      </c>
      <c r="O511" s="6">
        <v>50905.68</v>
      </c>
      <c r="P511" s="7">
        <v>0</v>
      </c>
      <c r="Q511" s="6">
        <v>0</v>
      </c>
    </row>
    <row r="512" spans="1:17">
      <c r="A512">
        <v>511</v>
      </c>
      <c r="B512" s="5">
        <v>45740</v>
      </c>
      <c r="C512" t="s">
        <v>172</v>
      </c>
      <c r="D512" t="s">
        <v>173</v>
      </c>
      <c r="E512" t="s">
        <v>174</v>
      </c>
      <c r="F512">
        <v>8</v>
      </c>
      <c r="G512" t="s">
        <v>199</v>
      </c>
      <c r="H512" t="s">
        <v>200</v>
      </c>
      <c r="I512" t="s">
        <v>16</v>
      </c>
      <c r="J512" t="s">
        <v>52</v>
      </c>
      <c r="K512" t="s">
        <v>35</v>
      </c>
      <c r="L512" s="6">
        <v>0</v>
      </c>
      <c r="M512" s="6">
        <v>3000</v>
      </c>
      <c r="N512" s="6">
        <v>3000</v>
      </c>
      <c r="O512" s="6">
        <v>53905.68</v>
      </c>
      <c r="P512" s="7">
        <v>0</v>
      </c>
      <c r="Q512" s="6">
        <v>0</v>
      </c>
    </row>
    <row r="513" spans="1:17">
      <c r="A513">
        <v>512</v>
      </c>
      <c r="B513" s="5">
        <v>45740</v>
      </c>
      <c r="C513" t="s">
        <v>172</v>
      </c>
      <c r="D513" t="s">
        <v>173</v>
      </c>
      <c r="E513" t="s">
        <v>174</v>
      </c>
      <c r="F513">
        <v>8</v>
      </c>
      <c r="G513" t="s">
        <v>227</v>
      </c>
      <c r="H513" t="s">
        <v>228</v>
      </c>
      <c r="I513" t="s">
        <v>16</v>
      </c>
      <c r="J513" t="s">
        <v>52</v>
      </c>
      <c r="K513" t="s">
        <v>35</v>
      </c>
      <c r="L513" s="6">
        <v>0</v>
      </c>
      <c r="M513" s="6">
        <v>1000</v>
      </c>
      <c r="N513" s="6">
        <v>1000</v>
      </c>
      <c r="O513" s="6">
        <v>54905.68</v>
      </c>
      <c r="P513" s="7">
        <v>0</v>
      </c>
      <c r="Q513" s="6">
        <v>0</v>
      </c>
    </row>
    <row r="514" spans="1:17">
      <c r="A514">
        <v>513</v>
      </c>
      <c r="B514" s="5">
        <v>45740</v>
      </c>
      <c r="C514" t="s">
        <v>172</v>
      </c>
      <c r="D514" t="s">
        <v>173</v>
      </c>
      <c r="E514" t="s">
        <v>174</v>
      </c>
      <c r="F514">
        <v>8</v>
      </c>
      <c r="G514" t="s">
        <v>439</v>
      </c>
      <c r="H514" t="s">
        <v>66</v>
      </c>
      <c r="I514" t="s">
        <v>22</v>
      </c>
      <c r="J514" t="s">
        <v>67</v>
      </c>
      <c r="K514" t="s">
        <v>34</v>
      </c>
      <c r="L514" s="6">
        <v>1622</v>
      </c>
      <c r="M514" s="6">
        <v>0</v>
      </c>
      <c r="N514" s="6">
        <v>-1622</v>
      </c>
      <c r="O514" s="6">
        <v>53283.68</v>
      </c>
      <c r="P514" s="7">
        <v>0</v>
      </c>
      <c r="Q514" s="6">
        <v>0</v>
      </c>
    </row>
    <row r="515" spans="1:17">
      <c r="A515">
        <v>514</v>
      </c>
      <c r="B515" s="5">
        <v>45740</v>
      </c>
      <c r="C515" t="s">
        <v>172</v>
      </c>
      <c r="D515" t="s">
        <v>173</v>
      </c>
      <c r="E515" t="s">
        <v>174</v>
      </c>
      <c r="F515">
        <v>8</v>
      </c>
      <c r="G515" t="s">
        <v>227</v>
      </c>
      <c r="H515" t="s">
        <v>228</v>
      </c>
      <c r="I515" t="s">
        <v>16</v>
      </c>
      <c r="J515" t="s">
        <v>52</v>
      </c>
      <c r="K515" t="s">
        <v>35</v>
      </c>
      <c r="L515" s="6">
        <v>0</v>
      </c>
      <c r="M515" s="6">
        <v>1000</v>
      </c>
      <c r="N515" s="6">
        <v>1000</v>
      </c>
      <c r="O515" s="6">
        <v>54283.68</v>
      </c>
      <c r="P515" s="7">
        <v>0</v>
      </c>
      <c r="Q515" s="6">
        <v>0</v>
      </c>
    </row>
    <row r="516" spans="1:17">
      <c r="A516">
        <v>515</v>
      </c>
      <c r="B516" s="5">
        <v>45740</v>
      </c>
      <c r="C516" t="s">
        <v>172</v>
      </c>
      <c r="D516" t="s">
        <v>173</v>
      </c>
      <c r="E516" t="s">
        <v>174</v>
      </c>
      <c r="F516">
        <v>8</v>
      </c>
      <c r="G516" t="s">
        <v>227</v>
      </c>
      <c r="H516" t="s">
        <v>228</v>
      </c>
      <c r="I516" t="s">
        <v>16</v>
      </c>
      <c r="J516" t="s">
        <v>52</v>
      </c>
      <c r="K516" t="s">
        <v>35</v>
      </c>
      <c r="L516" s="6">
        <v>0</v>
      </c>
      <c r="M516" s="6">
        <v>1000</v>
      </c>
      <c r="N516" s="6">
        <v>1000</v>
      </c>
      <c r="O516" s="6">
        <v>55283.68</v>
      </c>
      <c r="P516" s="7">
        <v>0</v>
      </c>
      <c r="Q516" s="6">
        <v>0</v>
      </c>
    </row>
    <row r="517" spans="1:17">
      <c r="A517">
        <v>516</v>
      </c>
      <c r="B517" s="5">
        <v>45740</v>
      </c>
      <c r="C517" t="s">
        <v>172</v>
      </c>
      <c r="D517" t="s">
        <v>173</v>
      </c>
      <c r="E517" t="s">
        <v>174</v>
      </c>
      <c r="F517">
        <v>8</v>
      </c>
      <c r="G517" t="s">
        <v>227</v>
      </c>
      <c r="H517" t="s">
        <v>228</v>
      </c>
      <c r="I517" t="s">
        <v>16</v>
      </c>
      <c r="J517" t="s">
        <v>52</v>
      </c>
      <c r="K517" t="s">
        <v>35</v>
      </c>
      <c r="L517" s="6">
        <v>0</v>
      </c>
      <c r="M517" s="6">
        <v>1000</v>
      </c>
      <c r="N517" s="6">
        <v>1000</v>
      </c>
      <c r="O517" s="6">
        <v>56283.68</v>
      </c>
      <c r="P517" s="7">
        <v>0</v>
      </c>
      <c r="Q517" s="6">
        <v>0</v>
      </c>
    </row>
    <row r="518" spans="1:17">
      <c r="A518">
        <v>517</v>
      </c>
      <c r="B518" s="5">
        <v>45740</v>
      </c>
      <c r="C518" t="s">
        <v>172</v>
      </c>
      <c r="D518" t="s">
        <v>173</v>
      </c>
      <c r="E518" t="s">
        <v>174</v>
      </c>
      <c r="F518">
        <v>8</v>
      </c>
      <c r="G518" t="s">
        <v>199</v>
      </c>
      <c r="H518" t="s">
        <v>200</v>
      </c>
      <c r="I518" t="s">
        <v>16</v>
      </c>
      <c r="J518" t="s">
        <v>52</v>
      </c>
      <c r="K518" t="s">
        <v>35</v>
      </c>
      <c r="L518" s="6">
        <v>0</v>
      </c>
      <c r="M518" s="6">
        <v>3500</v>
      </c>
      <c r="N518" s="6">
        <v>3500</v>
      </c>
      <c r="O518" s="6">
        <v>59783.68</v>
      </c>
      <c r="P518" s="7">
        <v>0</v>
      </c>
      <c r="Q518" s="6">
        <v>0</v>
      </c>
    </row>
    <row r="519" spans="1:17">
      <c r="A519">
        <v>518</v>
      </c>
      <c r="B519" s="5">
        <v>45740</v>
      </c>
      <c r="C519" t="s">
        <v>172</v>
      </c>
      <c r="D519" t="s">
        <v>173</v>
      </c>
      <c r="E519" t="s">
        <v>174</v>
      </c>
      <c r="F519">
        <v>8</v>
      </c>
      <c r="G519" t="s">
        <v>227</v>
      </c>
      <c r="H519" t="s">
        <v>228</v>
      </c>
      <c r="I519" t="s">
        <v>16</v>
      </c>
      <c r="J519" t="s">
        <v>52</v>
      </c>
      <c r="K519" t="s">
        <v>35</v>
      </c>
      <c r="L519" s="6">
        <v>0</v>
      </c>
      <c r="M519" s="6">
        <v>1000</v>
      </c>
      <c r="N519" s="6">
        <v>1000</v>
      </c>
      <c r="O519" s="6">
        <v>60783.68</v>
      </c>
      <c r="P519" s="7">
        <v>0</v>
      </c>
      <c r="Q519" s="6">
        <v>0</v>
      </c>
    </row>
    <row r="520" spans="1:17">
      <c r="A520">
        <v>519</v>
      </c>
      <c r="B520" s="5">
        <v>45740</v>
      </c>
      <c r="C520" t="s">
        <v>172</v>
      </c>
      <c r="D520" t="s">
        <v>173</v>
      </c>
      <c r="E520" t="s">
        <v>174</v>
      </c>
      <c r="F520">
        <v>8</v>
      </c>
      <c r="G520" t="s">
        <v>227</v>
      </c>
      <c r="H520" t="s">
        <v>228</v>
      </c>
      <c r="I520" t="s">
        <v>16</v>
      </c>
      <c r="J520" t="s">
        <v>52</v>
      </c>
      <c r="K520" t="s">
        <v>35</v>
      </c>
      <c r="L520" s="6">
        <v>0</v>
      </c>
      <c r="M520" s="6">
        <v>1000</v>
      </c>
      <c r="N520" s="6">
        <v>1000</v>
      </c>
      <c r="O520" s="6">
        <v>61783.68</v>
      </c>
      <c r="P520" s="7">
        <v>0</v>
      </c>
      <c r="Q520" s="6">
        <v>0</v>
      </c>
    </row>
    <row r="521" spans="1:17">
      <c r="A521">
        <v>520</v>
      </c>
      <c r="B521" s="5">
        <v>45740</v>
      </c>
      <c r="C521" t="s">
        <v>172</v>
      </c>
      <c r="D521" t="s">
        <v>173</v>
      </c>
      <c r="E521" t="s">
        <v>174</v>
      </c>
      <c r="F521">
        <v>8</v>
      </c>
      <c r="G521" t="s">
        <v>440</v>
      </c>
      <c r="H521" t="s">
        <v>441</v>
      </c>
      <c r="I521" t="s">
        <v>16</v>
      </c>
      <c r="J521" t="s">
        <v>52</v>
      </c>
      <c r="K521" t="s">
        <v>35</v>
      </c>
      <c r="L521" s="6">
        <v>0</v>
      </c>
      <c r="M521" s="6">
        <v>1000</v>
      </c>
      <c r="N521" s="6">
        <v>1000</v>
      </c>
      <c r="O521" s="6">
        <v>62783.68</v>
      </c>
      <c r="P521" s="7">
        <v>0</v>
      </c>
      <c r="Q521" s="6">
        <v>0</v>
      </c>
    </row>
    <row r="522" spans="1:17">
      <c r="A522">
        <v>521</v>
      </c>
      <c r="B522" s="5">
        <v>45740</v>
      </c>
      <c r="C522" t="s">
        <v>172</v>
      </c>
      <c r="D522" t="s">
        <v>173</v>
      </c>
      <c r="E522" t="s">
        <v>174</v>
      </c>
      <c r="F522">
        <v>8</v>
      </c>
      <c r="G522" t="s">
        <v>227</v>
      </c>
      <c r="H522" t="s">
        <v>228</v>
      </c>
      <c r="I522" t="s">
        <v>16</v>
      </c>
      <c r="J522" t="s">
        <v>52</v>
      </c>
      <c r="K522" t="s">
        <v>35</v>
      </c>
      <c r="L522" s="6">
        <v>0</v>
      </c>
      <c r="M522" s="6">
        <v>500</v>
      </c>
      <c r="N522" s="6">
        <v>500</v>
      </c>
      <c r="O522" s="6">
        <v>63283.68</v>
      </c>
      <c r="P522" s="7">
        <v>0</v>
      </c>
      <c r="Q522" s="6">
        <v>0</v>
      </c>
    </row>
    <row r="523" spans="1:17">
      <c r="A523">
        <v>522</v>
      </c>
      <c r="B523" s="5">
        <v>45740</v>
      </c>
      <c r="C523" t="s">
        <v>172</v>
      </c>
      <c r="D523" t="s">
        <v>173</v>
      </c>
      <c r="E523" t="s">
        <v>174</v>
      </c>
      <c r="F523">
        <v>8</v>
      </c>
      <c r="G523" t="s">
        <v>227</v>
      </c>
      <c r="H523" t="s">
        <v>228</v>
      </c>
      <c r="I523" t="s">
        <v>16</v>
      </c>
      <c r="J523" t="s">
        <v>52</v>
      </c>
      <c r="K523" t="s">
        <v>35</v>
      </c>
      <c r="L523" s="6">
        <v>0</v>
      </c>
      <c r="M523" s="6">
        <v>1000</v>
      </c>
      <c r="N523" s="6">
        <v>1000</v>
      </c>
      <c r="O523" s="6">
        <v>64283.68</v>
      </c>
      <c r="P523" s="7">
        <v>0</v>
      </c>
      <c r="Q523" s="6">
        <v>0</v>
      </c>
    </row>
    <row r="524" spans="1:17">
      <c r="A524">
        <v>523</v>
      </c>
      <c r="B524" s="5">
        <v>45740</v>
      </c>
      <c r="C524" t="s">
        <v>172</v>
      </c>
      <c r="D524" t="s">
        <v>173</v>
      </c>
      <c r="E524" t="s">
        <v>174</v>
      </c>
      <c r="F524">
        <v>8</v>
      </c>
      <c r="G524" t="s">
        <v>227</v>
      </c>
      <c r="H524" t="s">
        <v>228</v>
      </c>
      <c r="I524" t="s">
        <v>16</v>
      </c>
      <c r="J524" t="s">
        <v>52</v>
      </c>
      <c r="K524" t="s">
        <v>35</v>
      </c>
      <c r="L524" s="6">
        <v>0</v>
      </c>
      <c r="M524" s="6">
        <v>1000</v>
      </c>
      <c r="N524" s="6">
        <v>1000</v>
      </c>
      <c r="O524" s="6">
        <v>65283.68</v>
      </c>
      <c r="P524" s="7">
        <v>0</v>
      </c>
      <c r="Q524" s="6">
        <v>0</v>
      </c>
    </row>
    <row r="525" spans="1:17">
      <c r="A525">
        <v>524</v>
      </c>
      <c r="B525" s="5">
        <v>45740</v>
      </c>
      <c r="C525" t="s">
        <v>172</v>
      </c>
      <c r="D525" t="s">
        <v>173</v>
      </c>
      <c r="E525" t="s">
        <v>174</v>
      </c>
      <c r="F525">
        <v>8</v>
      </c>
      <c r="G525" t="s">
        <v>227</v>
      </c>
      <c r="H525" t="s">
        <v>228</v>
      </c>
      <c r="I525" t="s">
        <v>16</v>
      </c>
      <c r="J525" t="s">
        <v>52</v>
      </c>
      <c r="K525" t="s">
        <v>35</v>
      </c>
      <c r="L525" s="6">
        <v>0</v>
      </c>
      <c r="M525" s="6">
        <v>750</v>
      </c>
      <c r="N525" s="6">
        <v>750</v>
      </c>
      <c r="O525" s="6">
        <v>66033.679999999993</v>
      </c>
      <c r="P525" s="7">
        <v>0</v>
      </c>
      <c r="Q525" s="6">
        <v>0</v>
      </c>
    </row>
    <row r="526" spans="1:17">
      <c r="A526">
        <v>525</v>
      </c>
      <c r="B526" s="5">
        <v>45741</v>
      </c>
      <c r="C526" t="s">
        <v>172</v>
      </c>
      <c r="D526" t="s">
        <v>173</v>
      </c>
      <c r="E526" t="s">
        <v>174</v>
      </c>
      <c r="F526">
        <v>8</v>
      </c>
      <c r="G526" t="s">
        <v>442</v>
      </c>
      <c r="H526" t="s">
        <v>443</v>
      </c>
      <c r="I526" t="s">
        <v>16</v>
      </c>
      <c r="J526" t="s">
        <v>52</v>
      </c>
      <c r="K526" t="s">
        <v>35</v>
      </c>
      <c r="L526" s="6">
        <v>0</v>
      </c>
      <c r="M526" s="6">
        <v>200</v>
      </c>
      <c r="N526" s="6">
        <v>200</v>
      </c>
      <c r="O526" s="6">
        <v>66233.679999999993</v>
      </c>
      <c r="P526" s="7">
        <v>0</v>
      </c>
      <c r="Q526" s="6">
        <v>0</v>
      </c>
    </row>
    <row r="527" spans="1:17">
      <c r="A527">
        <v>526</v>
      </c>
      <c r="B527" s="5">
        <v>45741</v>
      </c>
      <c r="C527" t="s">
        <v>172</v>
      </c>
      <c r="D527" t="s">
        <v>173</v>
      </c>
      <c r="E527" t="s">
        <v>174</v>
      </c>
      <c r="F527">
        <v>8</v>
      </c>
      <c r="G527" t="s">
        <v>444</v>
      </c>
      <c r="H527" t="s">
        <v>445</v>
      </c>
      <c r="I527" t="s">
        <v>16</v>
      </c>
      <c r="J527" t="s">
        <v>52</v>
      </c>
      <c r="K527" t="s">
        <v>35</v>
      </c>
      <c r="L527" s="6">
        <v>0</v>
      </c>
      <c r="M527" s="6">
        <v>200</v>
      </c>
      <c r="N527" s="6">
        <v>200</v>
      </c>
      <c r="O527" s="6">
        <v>66433.679999999993</v>
      </c>
      <c r="P527" s="7">
        <v>0</v>
      </c>
      <c r="Q527" s="6">
        <v>0</v>
      </c>
    </row>
    <row r="528" spans="1:17">
      <c r="A528">
        <v>527</v>
      </c>
      <c r="B528" s="5">
        <v>45741</v>
      </c>
      <c r="C528" t="s">
        <v>172</v>
      </c>
      <c r="D528" t="s">
        <v>173</v>
      </c>
      <c r="E528" t="s">
        <v>174</v>
      </c>
      <c r="F528">
        <v>8</v>
      </c>
      <c r="G528" t="s">
        <v>446</v>
      </c>
      <c r="H528" t="s">
        <v>66</v>
      </c>
      <c r="I528" t="s">
        <v>22</v>
      </c>
      <c r="J528" t="s">
        <v>67</v>
      </c>
      <c r="K528" t="s">
        <v>34</v>
      </c>
      <c r="L528" s="6">
        <v>200</v>
      </c>
      <c r="M528" s="6">
        <v>0</v>
      </c>
      <c r="N528" s="6">
        <v>-200</v>
      </c>
      <c r="O528" s="6">
        <v>66233.679999999993</v>
      </c>
      <c r="P528" s="7">
        <v>0</v>
      </c>
      <c r="Q528" s="6">
        <v>0</v>
      </c>
    </row>
    <row r="529" spans="1:17">
      <c r="A529">
        <v>528</v>
      </c>
      <c r="B529" s="5">
        <v>45741</v>
      </c>
      <c r="C529" t="s">
        <v>172</v>
      </c>
      <c r="D529" t="s">
        <v>173</v>
      </c>
      <c r="E529" t="s">
        <v>174</v>
      </c>
      <c r="F529">
        <v>8</v>
      </c>
      <c r="G529" t="s">
        <v>447</v>
      </c>
      <c r="H529" t="s">
        <v>66</v>
      </c>
      <c r="I529" t="s">
        <v>22</v>
      </c>
      <c r="J529" t="s">
        <v>67</v>
      </c>
      <c r="K529" t="s">
        <v>34</v>
      </c>
      <c r="L529" s="6">
        <v>2466.69</v>
      </c>
      <c r="M529" s="6">
        <v>0</v>
      </c>
      <c r="N529" s="6">
        <v>-2466.69</v>
      </c>
      <c r="O529" s="6">
        <v>63766.99</v>
      </c>
      <c r="P529" s="7">
        <v>0</v>
      </c>
      <c r="Q529" s="6">
        <v>0</v>
      </c>
    </row>
    <row r="530" spans="1:17">
      <c r="A530">
        <v>529</v>
      </c>
      <c r="B530" s="5">
        <v>45741</v>
      </c>
      <c r="C530" t="s">
        <v>172</v>
      </c>
      <c r="D530" t="s">
        <v>173</v>
      </c>
      <c r="E530" t="s">
        <v>174</v>
      </c>
      <c r="F530">
        <v>8</v>
      </c>
      <c r="G530" t="s">
        <v>448</v>
      </c>
      <c r="H530" t="s">
        <v>66</v>
      </c>
      <c r="I530" t="s">
        <v>22</v>
      </c>
      <c r="J530" t="s">
        <v>67</v>
      </c>
      <c r="K530" t="s">
        <v>34</v>
      </c>
      <c r="L530" s="6">
        <v>3500</v>
      </c>
      <c r="M530" s="6">
        <v>0</v>
      </c>
      <c r="N530" s="6">
        <v>-3500</v>
      </c>
      <c r="O530" s="6">
        <v>60266.99</v>
      </c>
      <c r="P530" s="7">
        <v>0</v>
      </c>
      <c r="Q530" s="6">
        <v>0</v>
      </c>
    </row>
    <row r="531" spans="1:17">
      <c r="A531">
        <v>530</v>
      </c>
      <c r="B531" s="5">
        <v>45741</v>
      </c>
      <c r="C531" t="s">
        <v>172</v>
      </c>
      <c r="D531" t="s">
        <v>173</v>
      </c>
      <c r="E531" t="s">
        <v>174</v>
      </c>
      <c r="F531">
        <v>8</v>
      </c>
      <c r="G531" t="s">
        <v>449</v>
      </c>
      <c r="H531" t="s">
        <v>66</v>
      </c>
      <c r="I531" t="s">
        <v>22</v>
      </c>
      <c r="J531" t="s">
        <v>67</v>
      </c>
      <c r="K531" t="s">
        <v>34</v>
      </c>
      <c r="L531" s="6">
        <v>500</v>
      </c>
      <c r="M531" s="6">
        <v>0</v>
      </c>
      <c r="N531" s="6">
        <v>-500</v>
      </c>
      <c r="O531" s="6">
        <v>59766.99</v>
      </c>
      <c r="P531" s="7">
        <v>0</v>
      </c>
      <c r="Q531" s="6">
        <v>0</v>
      </c>
    </row>
    <row r="532" spans="1:17">
      <c r="A532">
        <v>531</v>
      </c>
      <c r="B532" s="5">
        <v>45741</v>
      </c>
      <c r="C532" t="s">
        <v>172</v>
      </c>
      <c r="D532" t="s">
        <v>173</v>
      </c>
      <c r="E532" t="s">
        <v>174</v>
      </c>
      <c r="F532">
        <v>8</v>
      </c>
      <c r="G532" t="s">
        <v>450</v>
      </c>
      <c r="H532" t="s">
        <v>66</v>
      </c>
      <c r="I532" t="s">
        <v>22</v>
      </c>
      <c r="J532" t="s">
        <v>67</v>
      </c>
      <c r="K532" t="s">
        <v>34</v>
      </c>
      <c r="L532" s="6">
        <v>179.53</v>
      </c>
      <c r="M532" s="6">
        <v>0</v>
      </c>
      <c r="N532" s="6">
        <v>-179.53</v>
      </c>
      <c r="O532" s="6">
        <v>59587.46</v>
      </c>
      <c r="P532" s="7">
        <v>0</v>
      </c>
      <c r="Q532" s="6">
        <v>0</v>
      </c>
    </row>
    <row r="533" spans="1:17">
      <c r="A533">
        <v>532</v>
      </c>
      <c r="B533" s="5">
        <v>45741</v>
      </c>
      <c r="C533" t="s">
        <v>172</v>
      </c>
      <c r="D533" t="s">
        <v>173</v>
      </c>
      <c r="E533" t="s">
        <v>174</v>
      </c>
      <c r="F533">
        <v>8</v>
      </c>
      <c r="G533" t="s">
        <v>451</v>
      </c>
      <c r="I533" t="s">
        <v>17</v>
      </c>
      <c r="J533" t="s">
        <v>64</v>
      </c>
      <c r="K533" t="s">
        <v>35</v>
      </c>
      <c r="L533" s="6">
        <v>0</v>
      </c>
      <c r="M533" s="6">
        <v>300000</v>
      </c>
      <c r="N533" s="6">
        <v>300000</v>
      </c>
      <c r="O533" s="6">
        <v>359587.46</v>
      </c>
      <c r="P533" s="7">
        <v>0</v>
      </c>
      <c r="Q533" s="6">
        <v>0</v>
      </c>
    </row>
    <row r="534" spans="1:17">
      <c r="A534">
        <v>533</v>
      </c>
      <c r="B534" s="5">
        <v>45741</v>
      </c>
      <c r="C534" t="s">
        <v>172</v>
      </c>
      <c r="D534" t="s">
        <v>173</v>
      </c>
      <c r="E534" t="s">
        <v>174</v>
      </c>
      <c r="F534">
        <v>8</v>
      </c>
      <c r="G534" t="s">
        <v>201</v>
      </c>
      <c r="H534" t="s">
        <v>100</v>
      </c>
      <c r="I534" t="s">
        <v>16</v>
      </c>
      <c r="J534" t="s">
        <v>52</v>
      </c>
      <c r="K534" t="s">
        <v>35</v>
      </c>
      <c r="L534" s="6">
        <v>0</v>
      </c>
      <c r="M534" s="6">
        <v>2250</v>
      </c>
      <c r="N534" s="6">
        <v>2250</v>
      </c>
      <c r="O534" s="6">
        <v>361837.46</v>
      </c>
      <c r="P534" s="7">
        <v>0</v>
      </c>
      <c r="Q534" s="6">
        <v>0</v>
      </c>
    </row>
    <row r="535" spans="1:17">
      <c r="A535">
        <v>534</v>
      </c>
      <c r="B535" s="5">
        <v>45741</v>
      </c>
      <c r="C535" t="s">
        <v>172</v>
      </c>
      <c r="D535" t="s">
        <v>173</v>
      </c>
      <c r="E535" t="s">
        <v>174</v>
      </c>
      <c r="F535">
        <v>8</v>
      </c>
      <c r="G535" t="s">
        <v>199</v>
      </c>
      <c r="H535" t="s">
        <v>200</v>
      </c>
      <c r="I535" t="s">
        <v>16</v>
      </c>
      <c r="J535" t="s">
        <v>52</v>
      </c>
      <c r="K535" t="s">
        <v>35</v>
      </c>
      <c r="L535" s="6">
        <v>0</v>
      </c>
      <c r="M535" s="6">
        <v>2000</v>
      </c>
      <c r="N535" s="6">
        <v>2000</v>
      </c>
      <c r="O535" s="6">
        <v>363837.46</v>
      </c>
      <c r="P535" s="7">
        <v>0</v>
      </c>
      <c r="Q535" s="6">
        <v>0</v>
      </c>
    </row>
    <row r="536" spans="1:17">
      <c r="A536">
        <v>535</v>
      </c>
      <c r="B536" s="5">
        <v>45741</v>
      </c>
      <c r="C536" t="s">
        <v>172</v>
      </c>
      <c r="D536" t="s">
        <v>173</v>
      </c>
      <c r="E536" t="s">
        <v>174</v>
      </c>
      <c r="F536">
        <v>8</v>
      </c>
      <c r="G536" t="s">
        <v>452</v>
      </c>
      <c r="H536" t="s">
        <v>66</v>
      </c>
      <c r="I536" t="s">
        <v>22</v>
      </c>
      <c r="J536" t="s">
        <v>67</v>
      </c>
      <c r="K536" t="s">
        <v>34</v>
      </c>
      <c r="L536" s="6">
        <v>251772.17</v>
      </c>
      <c r="M536" s="6">
        <v>0</v>
      </c>
      <c r="N536" s="6">
        <v>-251772.17</v>
      </c>
      <c r="O536" s="6">
        <v>112065.29</v>
      </c>
      <c r="P536" s="7">
        <v>0</v>
      </c>
      <c r="Q536" s="6">
        <v>0</v>
      </c>
    </row>
    <row r="537" spans="1:17">
      <c r="A537">
        <v>536</v>
      </c>
      <c r="B537" s="5">
        <v>45741</v>
      </c>
      <c r="C537" t="s">
        <v>172</v>
      </c>
      <c r="D537" t="s">
        <v>173</v>
      </c>
      <c r="E537" t="s">
        <v>174</v>
      </c>
      <c r="F537">
        <v>8</v>
      </c>
      <c r="G537" t="s">
        <v>227</v>
      </c>
      <c r="H537" t="s">
        <v>228</v>
      </c>
      <c r="I537" t="s">
        <v>16</v>
      </c>
      <c r="J537" t="s">
        <v>52</v>
      </c>
      <c r="K537" t="s">
        <v>35</v>
      </c>
      <c r="L537" s="6">
        <v>0</v>
      </c>
      <c r="M537" s="6">
        <v>1000</v>
      </c>
      <c r="N537" s="6">
        <v>1000</v>
      </c>
      <c r="O537" s="6">
        <v>113065.29</v>
      </c>
      <c r="P537" s="7">
        <v>0</v>
      </c>
      <c r="Q537" s="6">
        <v>0</v>
      </c>
    </row>
    <row r="538" spans="1:17">
      <c r="A538">
        <v>537</v>
      </c>
      <c r="B538" s="5">
        <v>45741</v>
      </c>
      <c r="C538" t="s">
        <v>172</v>
      </c>
      <c r="D538" t="s">
        <v>173</v>
      </c>
      <c r="E538" t="s">
        <v>174</v>
      </c>
      <c r="F538">
        <v>8</v>
      </c>
      <c r="G538" t="s">
        <v>201</v>
      </c>
      <c r="H538" t="s">
        <v>100</v>
      </c>
      <c r="I538" t="s">
        <v>16</v>
      </c>
      <c r="J538" t="s">
        <v>52</v>
      </c>
      <c r="K538" t="s">
        <v>35</v>
      </c>
      <c r="L538" s="6">
        <v>0</v>
      </c>
      <c r="M538" s="6">
        <v>2250</v>
      </c>
      <c r="N538" s="6">
        <v>2250</v>
      </c>
      <c r="O538" s="6">
        <v>115315.29</v>
      </c>
      <c r="P538" s="7">
        <v>0</v>
      </c>
      <c r="Q538" s="6">
        <v>0</v>
      </c>
    </row>
    <row r="539" spans="1:17">
      <c r="A539">
        <v>538</v>
      </c>
      <c r="B539" s="5">
        <v>45741</v>
      </c>
      <c r="C539" t="s">
        <v>172</v>
      </c>
      <c r="D539" t="s">
        <v>173</v>
      </c>
      <c r="E539" t="s">
        <v>174</v>
      </c>
      <c r="F539">
        <v>8</v>
      </c>
      <c r="G539" t="s">
        <v>227</v>
      </c>
      <c r="H539" t="s">
        <v>228</v>
      </c>
      <c r="I539" t="s">
        <v>16</v>
      </c>
      <c r="J539" t="s">
        <v>52</v>
      </c>
      <c r="K539" t="s">
        <v>35</v>
      </c>
      <c r="L539" s="6">
        <v>0</v>
      </c>
      <c r="M539" s="6">
        <v>1000</v>
      </c>
      <c r="N539" s="6">
        <v>1000</v>
      </c>
      <c r="O539" s="6">
        <v>116315.29</v>
      </c>
      <c r="P539" s="7">
        <v>0</v>
      </c>
      <c r="Q539" s="6">
        <v>0</v>
      </c>
    </row>
    <row r="540" spans="1:17">
      <c r="A540">
        <v>539</v>
      </c>
      <c r="B540" s="5">
        <v>45741</v>
      </c>
      <c r="C540" t="s">
        <v>172</v>
      </c>
      <c r="D540" t="s">
        <v>173</v>
      </c>
      <c r="E540" t="s">
        <v>174</v>
      </c>
      <c r="F540">
        <v>8</v>
      </c>
      <c r="G540" t="s">
        <v>212</v>
      </c>
      <c r="H540" t="s">
        <v>213</v>
      </c>
      <c r="I540" t="s">
        <v>16</v>
      </c>
      <c r="J540" t="s">
        <v>52</v>
      </c>
      <c r="K540" t="s">
        <v>35</v>
      </c>
      <c r="L540" s="6">
        <v>0</v>
      </c>
      <c r="M540" s="6">
        <v>500</v>
      </c>
      <c r="N540" s="6">
        <v>500</v>
      </c>
      <c r="O540" s="6">
        <v>116815.29</v>
      </c>
      <c r="P540" s="7">
        <v>0</v>
      </c>
      <c r="Q540" s="6">
        <v>0</v>
      </c>
    </row>
    <row r="541" spans="1:17">
      <c r="A541">
        <v>540</v>
      </c>
      <c r="B541" s="5">
        <v>45741</v>
      </c>
      <c r="C541" t="s">
        <v>172</v>
      </c>
      <c r="D541" t="s">
        <v>173</v>
      </c>
      <c r="E541" t="s">
        <v>174</v>
      </c>
      <c r="F541">
        <v>9</v>
      </c>
      <c r="G541" t="s">
        <v>199</v>
      </c>
      <c r="H541" t="s">
        <v>200</v>
      </c>
      <c r="I541" t="s">
        <v>16</v>
      </c>
      <c r="J541" t="s">
        <v>52</v>
      </c>
      <c r="K541" t="s">
        <v>35</v>
      </c>
      <c r="L541" s="6">
        <v>0</v>
      </c>
      <c r="M541" s="6">
        <v>2000</v>
      </c>
      <c r="N541" s="6">
        <v>2000</v>
      </c>
      <c r="O541" s="6">
        <v>118815.29</v>
      </c>
      <c r="P541" s="7">
        <v>0</v>
      </c>
      <c r="Q541" s="6">
        <v>0</v>
      </c>
    </row>
    <row r="542" spans="1:17">
      <c r="A542">
        <v>541</v>
      </c>
      <c r="B542" s="5">
        <v>45741</v>
      </c>
      <c r="C542" t="s">
        <v>172</v>
      </c>
      <c r="D542" t="s">
        <v>173</v>
      </c>
      <c r="E542" t="s">
        <v>174</v>
      </c>
      <c r="F542">
        <v>9</v>
      </c>
      <c r="G542" t="s">
        <v>453</v>
      </c>
      <c r="H542" t="s">
        <v>66</v>
      </c>
      <c r="I542" t="s">
        <v>22</v>
      </c>
      <c r="J542" t="s">
        <v>67</v>
      </c>
      <c r="K542" t="s">
        <v>34</v>
      </c>
      <c r="L542" s="6">
        <v>8963.69</v>
      </c>
      <c r="M542" s="6">
        <v>0</v>
      </c>
      <c r="N542" s="6">
        <v>-8963.69</v>
      </c>
      <c r="O542" s="6">
        <v>109851.6</v>
      </c>
      <c r="P542" s="7">
        <v>0</v>
      </c>
      <c r="Q542" s="6">
        <v>0</v>
      </c>
    </row>
    <row r="543" spans="1:17">
      <c r="A543">
        <v>542</v>
      </c>
      <c r="B543" s="5">
        <v>45741</v>
      </c>
      <c r="C543" t="s">
        <v>172</v>
      </c>
      <c r="D543" t="s">
        <v>173</v>
      </c>
      <c r="E543" t="s">
        <v>174</v>
      </c>
      <c r="F543">
        <v>9</v>
      </c>
      <c r="G543" t="s">
        <v>454</v>
      </c>
      <c r="H543" t="s">
        <v>66</v>
      </c>
      <c r="I543" t="s">
        <v>22</v>
      </c>
      <c r="J543" t="s">
        <v>67</v>
      </c>
      <c r="K543" t="s">
        <v>34</v>
      </c>
      <c r="L543" s="6">
        <v>406</v>
      </c>
      <c r="M543" s="6">
        <v>0</v>
      </c>
      <c r="N543" s="6">
        <v>-406</v>
      </c>
      <c r="O543" s="6">
        <v>109445.6</v>
      </c>
      <c r="P543" s="7">
        <v>0</v>
      </c>
      <c r="Q543" s="6">
        <v>0</v>
      </c>
    </row>
    <row r="544" spans="1:17">
      <c r="A544">
        <v>543</v>
      </c>
      <c r="B544" s="5">
        <v>45741</v>
      </c>
      <c r="C544" t="s">
        <v>172</v>
      </c>
      <c r="D544" t="s">
        <v>173</v>
      </c>
      <c r="E544" t="s">
        <v>174</v>
      </c>
      <c r="F544">
        <v>9</v>
      </c>
      <c r="G544" t="s">
        <v>455</v>
      </c>
      <c r="H544" t="s">
        <v>66</v>
      </c>
      <c r="I544" t="s">
        <v>22</v>
      </c>
      <c r="J544" t="s">
        <v>67</v>
      </c>
      <c r="K544" t="s">
        <v>34</v>
      </c>
      <c r="L544" s="6">
        <v>6186.5</v>
      </c>
      <c r="M544" s="6">
        <v>0</v>
      </c>
      <c r="N544" s="6">
        <v>-6186.5</v>
      </c>
      <c r="O544" s="6">
        <v>103259.1</v>
      </c>
      <c r="P544" s="7">
        <v>0</v>
      </c>
      <c r="Q544" s="6">
        <v>0</v>
      </c>
    </row>
    <row r="545" spans="1:17">
      <c r="A545">
        <v>544</v>
      </c>
      <c r="B545" s="5">
        <v>45741</v>
      </c>
      <c r="C545" t="s">
        <v>172</v>
      </c>
      <c r="D545" t="s">
        <v>173</v>
      </c>
      <c r="E545" t="s">
        <v>174</v>
      </c>
      <c r="F545">
        <v>9</v>
      </c>
      <c r="G545" t="s">
        <v>456</v>
      </c>
      <c r="H545" t="s">
        <v>66</v>
      </c>
      <c r="I545" t="s">
        <v>22</v>
      </c>
      <c r="J545" t="s">
        <v>67</v>
      </c>
      <c r="K545" t="s">
        <v>34</v>
      </c>
      <c r="L545" s="6">
        <v>1750</v>
      </c>
      <c r="M545" s="6">
        <v>0</v>
      </c>
      <c r="N545" s="6">
        <v>-1750</v>
      </c>
      <c r="O545" s="6">
        <v>101509.1</v>
      </c>
      <c r="P545" s="7">
        <v>0</v>
      </c>
      <c r="Q545" s="6">
        <v>0</v>
      </c>
    </row>
    <row r="546" spans="1:17">
      <c r="A546">
        <v>545</v>
      </c>
      <c r="B546" s="5">
        <v>45741</v>
      </c>
      <c r="C546" t="s">
        <v>172</v>
      </c>
      <c r="D546" t="s">
        <v>173</v>
      </c>
      <c r="E546" t="s">
        <v>174</v>
      </c>
      <c r="F546">
        <v>9</v>
      </c>
      <c r="G546" t="s">
        <v>457</v>
      </c>
      <c r="H546" t="s">
        <v>66</v>
      </c>
      <c r="I546" t="s">
        <v>22</v>
      </c>
      <c r="J546" t="s">
        <v>67</v>
      </c>
      <c r="K546" t="s">
        <v>34</v>
      </c>
      <c r="L546" s="6">
        <v>200</v>
      </c>
      <c r="M546" s="6">
        <v>0</v>
      </c>
      <c r="N546" s="6">
        <v>-200</v>
      </c>
      <c r="O546" s="6">
        <v>101309.1</v>
      </c>
      <c r="P546" s="7">
        <v>0</v>
      </c>
      <c r="Q546" s="6">
        <v>0</v>
      </c>
    </row>
    <row r="547" spans="1:17">
      <c r="A547">
        <v>546</v>
      </c>
      <c r="B547" s="5">
        <v>45741</v>
      </c>
      <c r="C547" t="s">
        <v>172</v>
      </c>
      <c r="D547" t="s">
        <v>173</v>
      </c>
      <c r="E547" t="s">
        <v>174</v>
      </c>
      <c r="F547">
        <v>9</v>
      </c>
      <c r="G547" t="s">
        <v>458</v>
      </c>
      <c r="H547" t="s">
        <v>66</v>
      </c>
      <c r="I547" t="s">
        <v>22</v>
      </c>
      <c r="J547" t="s">
        <v>67</v>
      </c>
      <c r="K547" t="s">
        <v>34</v>
      </c>
      <c r="L547" s="6">
        <v>5000</v>
      </c>
      <c r="M547" s="6">
        <v>0</v>
      </c>
      <c r="N547" s="6">
        <v>-5000</v>
      </c>
      <c r="O547" s="6">
        <v>96309.1</v>
      </c>
      <c r="P547" s="7">
        <v>0</v>
      </c>
      <c r="Q547" s="6">
        <v>0</v>
      </c>
    </row>
    <row r="548" spans="1:17">
      <c r="A548">
        <v>547</v>
      </c>
      <c r="B548" s="5">
        <v>45741</v>
      </c>
      <c r="C548" t="s">
        <v>172</v>
      </c>
      <c r="D548" t="s">
        <v>173</v>
      </c>
      <c r="E548" t="s">
        <v>174</v>
      </c>
      <c r="F548">
        <v>9</v>
      </c>
      <c r="G548" t="s">
        <v>459</v>
      </c>
      <c r="H548" t="s">
        <v>460</v>
      </c>
      <c r="I548" t="s">
        <v>16</v>
      </c>
      <c r="J548" t="s">
        <v>52</v>
      </c>
      <c r="K548" t="s">
        <v>35</v>
      </c>
      <c r="L548" s="6">
        <v>0</v>
      </c>
      <c r="M548" s="6">
        <v>50</v>
      </c>
      <c r="N548" s="6">
        <v>50</v>
      </c>
      <c r="O548" s="6">
        <v>96359.1</v>
      </c>
      <c r="P548" s="7">
        <v>0</v>
      </c>
      <c r="Q548" s="6">
        <v>0</v>
      </c>
    </row>
    <row r="549" spans="1:17">
      <c r="A549">
        <v>548</v>
      </c>
      <c r="B549" s="5">
        <v>45741</v>
      </c>
      <c r="C549" t="s">
        <v>172</v>
      </c>
      <c r="D549" t="s">
        <v>173</v>
      </c>
      <c r="E549" t="s">
        <v>174</v>
      </c>
      <c r="F549">
        <v>9</v>
      </c>
      <c r="G549" t="s">
        <v>461</v>
      </c>
      <c r="H549" t="s">
        <v>66</v>
      </c>
      <c r="I549" t="s">
        <v>22</v>
      </c>
      <c r="J549" t="s">
        <v>67</v>
      </c>
      <c r="K549" t="s">
        <v>34</v>
      </c>
      <c r="L549" s="6">
        <v>98</v>
      </c>
      <c r="M549" s="6">
        <v>0</v>
      </c>
      <c r="N549" s="6">
        <v>-98</v>
      </c>
      <c r="O549" s="6">
        <v>96261.1</v>
      </c>
      <c r="P549" s="7">
        <v>0</v>
      </c>
      <c r="Q549" s="6">
        <v>0</v>
      </c>
    </row>
    <row r="550" spans="1:17">
      <c r="A550">
        <v>549</v>
      </c>
      <c r="B550" s="5">
        <v>45741</v>
      </c>
      <c r="C550" t="s">
        <v>172</v>
      </c>
      <c r="D550" t="s">
        <v>173</v>
      </c>
      <c r="E550" t="s">
        <v>174</v>
      </c>
      <c r="F550">
        <v>9</v>
      </c>
      <c r="G550" t="s">
        <v>462</v>
      </c>
      <c r="H550" t="s">
        <v>66</v>
      </c>
      <c r="I550" t="s">
        <v>22</v>
      </c>
      <c r="J550" t="s">
        <v>67</v>
      </c>
      <c r="K550" t="s">
        <v>34</v>
      </c>
      <c r="L550" s="6">
        <v>200</v>
      </c>
      <c r="M550" s="6">
        <v>0</v>
      </c>
      <c r="N550" s="6">
        <v>-200</v>
      </c>
      <c r="O550" s="6">
        <v>96061.1</v>
      </c>
      <c r="P550" s="7">
        <v>0</v>
      </c>
      <c r="Q550" s="6">
        <v>0</v>
      </c>
    </row>
    <row r="551" spans="1:17">
      <c r="A551">
        <v>550</v>
      </c>
      <c r="B551" s="5">
        <v>45741</v>
      </c>
      <c r="C551" t="s">
        <v>172</v>
      </c>
      <c r="D551" t="s">
        <v>173</v>
      </c>
      <c r="E551" t="s">
        <v>174</v>
      </c>
      <c r="F551">
        <v>9</v>
      </c>
      <c r="G551" t="s">
        <v>463</v>
      </c>
      <c r="H551" t="s">
        <v>66</v>
      </c>
      <c r="I551" t="s">
        <v>22</v>
      </c>
      <c r="J551" t="s">
        <v>67</v>
      </c>
      <c r="K551" t="s">
        <v>34</v>
      </c>
      <c r="L551" s="6">
        <v>551</v>
      </c>
      <c r="M551" s="6">
        <v>0</v>
      </c>
      <c r="N551" s="6">
        <v>-551</v>
      </c>
      <c r="O551" s="6">
        <v>95510.1</v>
      </c>
      <c r="P551" s="7">
        <v>0</v>
      </c>
      <c r="Q551" s="6">
        <v>0</v>
      </c>
    </row>
    <row r="552" spans="1:17">
      <c r="A552">
        <v>551</v>
      </c>
      <c r="B552" s="5">
        <v>45741</v>
      </c>
      <c r="C552" t="s">
        <v>172</v>
      </c>
      <c r="D552" t="s">
        <v>173</v>
      </c>
      <c r="E552" t="s">
        <v>174</v>
      </c>
      <c r="F552">
        <v>9</v>
      </c>
      <c r="G552" t="s">
        <v>464</v>
      </c>
      <c r="H552" t="s">
        <v>66</v>
      </c>
      <c r="I552" t="s">
        <v>22</v>
      </c>
      <c r="J552" t="s">
        <v>67</v>
      </c>
      <c r="K552" t="s">
        <v>34</v>
      </c>
      <c r="L552" s="6">
        <v>2500</v>
      </c>
      <c r="M552" s="6">
        <v>0</v>
      </c>
      <c r="N552" s="6">
        <v>-2500</v>
      </c>
      <c r="O552" s="6">
        <v>93010.1</v>
      </c>
      <c r="P552" s="7">
        <v>0</v>
      </c>
      <c r="Q552" s="6">
        <v>0</v>
      </c>
    </row>
    <row r="553" spans="1:17">
      <c r="A553">
        <v>552</v>
      </c>
      <c r="B553" s="5">
        <v>45741</v>
      </c>
      <c r="C553" t="s">
        <v>172</v>
      </c>
      <c r="D553" t="s">
        <v>173</v>
      </c>
      <c r="E553" t="s">
        <v>174</v>
      </c>
      <c r="F553">
        <v>9</v>
      </c>
      <c r="G553" t="s">
        <v>465</v>
      </c>
      <c r="H553" t="s">
        <v>66</v>
      </c>
      <c r="I553" t="s">
        <v>22</v>
      </c>
      <c r="J553" t="s">
        <v>67</v>
      </c>
      <c r="K553" t="s">
        <v>34</v>
      </c>
      <c r="L553" s="6">
        <v>5000</v>
      </c>
      <c r="M553" s="6">
        <v>0</v>
      </c>
      <c r="N553" s="6">
        <v>-5000</v>
      </c>
      <c r="O553" s="6">
        <v>88010.1</v>
      </c>
      <c r="P553" s="7">
        <v>0</v>
      </c>
      <c r="Q553" s="6">
        <v>0</v>
      </c>
    </row>
    <row r="554" spans="1:17">
      <c r="A554">
        <v>553</v>
      </c>
      <c r="B554" s="5">
        <v>45741</v>
      </c>
      <c r="C554" t="s">
        <v>172</v>
      </c>
      <c r="D554" t="s">
        <v>173</v>
      </c>
      <c r="E554" t="s">
        <v>174</v>
      </c>
      <c r="F554">
        <v>9</v>
      </c>
      <c r="G554" t="s">
        <v>466</v>
      </c>
      <c r="H554" t="s">
        <v>66</v>
      </c>
      <c r="I554" t="s">
        <v>22</v>
      </c>
      <c r="J554" t="s">
        <v>67</v>
      </c>
      <c r="K554" t="s">
        <v>34</v>
      </c>
      <c r="L554" s="6">
        <v>8000</v>
      </c>
      <c r="M554" s="6">
        <v>0</v>
      </c>
      <c r="N554" s="6">
        <v>-8000</v>
      </c>
      <c r="O554" s="6">
        <v>80010.100000000006</v>
      </c>
      <c r="P554" s="7">
        <v>0</v>
      </c>
      <c r="Q554" s="6">
        <v>0</v>
      </c>
    </row>
    <row r="555" spans="1:17">
      <c r="A555">
        <v>554</v>
      </c>
      <c r="B555" s="5">
        <v>45742</v>
      </c>
      <c r="C555" t="s">
        <v>172</v>
      </c>
      <c r="D555" t="s">
        <v>173</v>
      </c>
      <c r="E555" t="s">
        <v>174</v>
      </c>
      <c r="F555">
        <v>9</v>
      </c>
      <c r="G555" t="s">
        <v>227</v>
      </c>
      <c r="H555" t="s">
        <v>228</v>
      </c>
      <c r="I555" t="s">
        <v>16</v>
      </c>
      <c r="J555" t="s">
        <v>52</v>
      </c>
      <c r="K555" t="s">
        <v>35</v>
      </c>
      <c r="L555" s="6">
        <v>0</v>
      </c>
      <c r="M555" s="6">
        <v>1000</v>
      </c>
      <c r="N555" s="6">
        <v>1000</v>
      </c>
      <c r="O555" s="6">
        <v>81010.100000000006</v>
      </c>
      <c r="P555" s="7">
        <v>0</v>
      </c>
      <c r="Q555" s="6">
        <v>0</v>
      </c>
    </row>
    <row r="556" spans="1:17">
      <c r="A556">
        <v>555</v>
      </c>
      <c r="B556" s="5">
        <v>45742</v>
      </c>
      <c r="C556" t="s">
        <v>172</v>
      </c>
      <c r="D556" t="s">
        <v>173</v>
      </c>
      <c r="E556" t="s">
        <v>174</v>
      </c>
      <c r="F556">
        <v>9</v>
      </c>
      <c r="G556" t="s">
        <v>415</v>
      </c>
      <c r="H556" t="s">
        <v>416</v>
      </c>
      <c r="I556" t="s">
        <v>16</v>
      </c>
      <c r="J556" t="s">
        <v>52</v>
      </c>
      <c r="K556" t="s">
        <v>35</v>
      </c>
      <c r="L556" s="6">
        <v>0</v>
      </c>
      <c r="M556" s="6">
        <v>1708</v>
      </c>
      <c r="N556" s="6">
        <v>1708</v>
      </c>
      <c r="O556" s="6">
        <v>82718.100000000006</v>
      </c>
      <c r="P556" s="7">
        <v>0</v>
      </c>
      <c r="Q556" s="6">
        <v>0</v>
      </c>
    </row>
    <row r="557" spans="1:17">
      <c r="A557">
        <v>556</v>
      </c>
      <c r="B557" s="5">
        <v>45742</v>
      </c>
      <c r="C557" t="s">
        <v>172</v>
      </c>
      <c r="D557" t="s">
        <v>173</v>
      </c>
      <c r="E557" t="s">
        <v>174</v>
      </c>
      <c r="F557">
        <v>9</v>
      </c>
      <c r="G557" t="s">
        <v>227</v>
      </c>
      <c r="H557" t="s">
        <v>228</v>
      </c>
      <c r="I557" t="s">
        <v>16</v>
      </c>
      <c r="J557" t="s">
        <v>52</v>
      </c>
      <c r="K557" t="s">
        <v>35</v>
      </c>
      <c r="L557" s="6">
        <v>0</v>
      </c>
      <c r="M557" s="6">
        <v>1000</v>
      </c>
      <c r="N557" s="6">
        <v>1000</v>
      </c>
      <c r="O557" s="6">
        <v>83718.100000000006</v>
      </c>
      <c r="P557" s="7">
        <v>0</v>
      </c>
      <c r="Q557" s="6">
        <v>0</v>
      </c>
    </row>
    <row r="558" spans="1:17">
      <c r="A558">
        <v>557</v>
      </c>
      <c r="B558" s="5">
        <v>45742</v>
      </c>
      <c r="C558" t="s">
        <v>172</v>
      </c>
      <c r="D558" t="s">
        <v>173</v>
      </c>
      <c r="E558" t="s">
        <v>174</v>
      </c>
      <c r="F558">
        <v>9</v>
      </c>
      <c r="G558" t="s">
        <v>191</v>
      </c>
      <c r="H558" t="s">
        <v>102</v>
      </c>
      <c r="I558" t="s">
        <v>16</v>
      </c>
      <c r="J558" t="s">
        <v>52</v>
      </c>
      <c r="K558" t="s">
        <v>35</v>
      </c>
      <c r="L558" s="6">
        <v>0</v>
      </c>
      <c r="M558" s="6">
        <v>4000</v>
      </c>
      <c r="N558" s="6">
        <v>4000</v>
      </c>
      <c r="O558" s="6">
        <v>87718.1</v>
      </c>
      <c r="P558" s="7">
        <v>0</v>
      </c>
      <c r="Q558" s="6">
        <v>0</v>
      </c>
    </row>
    <row r="559" spans="1:17">
      <c r="A559">
        <v>558</v>
      </c>
      <c r="B559" s="5">
        <v>45742</v>
      </c>
      <c r="C559" t="s">
        <v>172</v>
      </c>
      <c r="D559" t="s">
        <v>173</v>
      </c>
      <c r="E559" t="s">
        <v>174</v>
      </c>
      <c r="F559">
        <v>9</v>
      </c>
      <c r="G559" t="s">
        <v>467</v>
      </c>
      <c r="H559" t="s">
        <v>66</v>
      </c>
      <c r="I559" t="s">
        <v>22</v>
      </c>
      <c r="J559" t="s">
        <v>67</v>
      </c>
      <c r="K559" t="s">
        <v>34</v>
      </c>
      <c r="L559" s="6">
        <v>3000</v>
      </c>
      <c r="M559" s="6">
        <v>0</v>
      </c>
      <c r="N559" s="6">
        <v>-3000</v>
      </c>
      <c r="O559" s="6">
        <v>84718.1</v>
      </c>
      <c r="P559" s="7">
        <v>0</v>
      </c>
      <c r="Q559" s="6">
        <v>0</v>
      </c>
    </row>
    <row r="560" spans="1:17">
      <c r="A560">
        <v>559</v>
      </c>
      <c r="B560" s="5">
        <v>45742</v>
      </c>
      <c r="C560" t="s">
        <v>172</v>
      </c>
      <c r="D560" t="s">
        <v>173</v>
      </c>
      <c r="E560" t="s">
        <v>174</v>
      </c>
      <c r="F560">
        <v>9</v>
      </c>
      <c r="G560" t="s">
        <v>468</v>
      </c>
      <c r="H560" t="s">
        <v>66</v>
      </c>
      <c r="I560" t="s">
        <v>22</v>
      </c>
      <c r="J560" t="s">
        <v>67</v>
      </c>
      <c r="K560" t="s">
        <v>34</v>
      </c>
      <c r="L560" s="6">
        <v>152</v>
      </c>
      <c r="M560" s="6">
        <v>0</v>
      </c>
      <c r="N560" s="6">
        <v>-152</v>
      </c>
      <c r="O560" s="6">
        <v>84566.1</v>
      </c>
      <c r="P560" s="7">
        <v>0</v>
      </c>
      <c r="Q560" s="6">
        <v>0</v>
      </c>
    </row>
    <row r="561" spans="1:17">
      <c r="A561">
        <v>560</v>
      </c>
      <c r="B561" s="5">
        <v>45742</v>
      </c>
      <c r="C561" t="s">
        <v>172</v>
      </c>
      <c r="D561" t="s">
        <v>173</v>
      </c>
      <c r="E561" t="s">
        <v>174</v>
      </c>
      <c r="F561">
        <v>9</v>
      </c>
      <c r="G561" t="s">
        <v>469</v>
      </c>
      <c r="H561" t="s">
        <v>66</v>
      </c>
      <c r="I561" t="s">
        <v>22</v>
      </c>
      <c r="J561" t="s">
        <v>67</v>
      </c>
      <c r="K561" t="s">
        <v>34</v>
      </c>
      <c r="L561" s="6">
        <v>340</v>
      </c>
      <c r="M561" s="6">
        <v>0</v>
      </c>
      <c r="N561" s="6">
        <v>-340</v>
      </c>
      <c r="O561" s="6">
        <v>84226.1</v>
      </c>
      <c r="P561" s="7">
        <v>0</v>
      </c>
      <c r="Q561" s="6">
        <v>0</v>
      </c>
    </row>
    <row r="562" spans="1:17">
      <c r="A562">
        <v>561</v>
      </c>
      <c r="B562" s="5">
        <v>45742</v>
      </c>
      <c r="C562" t="s">
        <v>172</v>
      </c>
      <c r="D562" t="s">
        <v>173</v>
      </c>
      <c r="E562" t="s">
        <v>174</v>
      </c>
      <c r="F562">
        <v>9</v>
      </c>
      <c r="G562" t="s">
        <v>470</v>
      </c>
      <c r="H562" t="s">
        <v>66</v>
      </c>
      <c r="I562" t="s">
        <v>22</v>
      </c>
      <c r="J562" t="s">
        <v>67</v>
      </c>
      <c r="K562" t="s">
        <v>34</v>
      </c>
      <c r="L562" s="6">
        <v>4285</v>
      </c>
      <c r="M562" s="6">
        <v>0</v>
      </c>
      <c r="N562" s="6">
        <v>-4285</v>
      </c>
      <c r="O562" s="6">
        <v>79941.100000000006</v>
      </c>
      <c r="P562" s="7">
        <v>0</v>
      </c>
      <c r="Q562" s="6">
        <v>0</v>
      </c>
    </row>
    <row r="563" spans="1:17">
      <c r="A563">
        <v>562</v>
      </c>
      <c r="B563" s="5">
        <v>45742</v>
      </c>
      <c r="C563" t="s">
        <v>172</v>
      </c>
      <c r="D563" t="s">
        <v>173</v>
      </c>
      <c r="E563" t="s">
        <v>174</v>
      </c>
      <c r="F563">
        <v>9</v>
      </c>
      <c r="G563" t="s">
        <v>471</v>
      </c>
      <c r="H563" t="s">
        <v>66</v>
      </c>
      <c r="I563" t="s">
        <v>22</v>
      </c>
      <c r="J563" t="s">
        <v>67</v>
      </c>
      <c r="K563" t="s">
        <v>34</v>
      </c>
      <c r="L563" s="6">
        <v>50</v>
      </c>
      <c r="M563" s="6">
        <v>0</v>
      </c>
      <c r="N563" s="6">
        <v>-50</v>
      </c>
      <c r="O563" s="6">
        <v>79891.100000000006</v>
      </c>
      <c r="P563" s="7">
        <v>0</v>
      </c>
      <c r="Q563" s="6">
        <v>0</v>
      </c>
    </row>
    <row r="564" spans="1:17">
      <c r="A564">
        <v>563</v>
      </c>
      <c r="B564" s="5">
        <v>45742</v>
      </c>
      <c r="C564" t="s">
        <v>172</v>
      </c>
      <c r="D564" t="s">
        <v>173</v>
      </c>
      <c r="E564" t="s">
        <v>174</v>
      </c>
      <c r="F564">
        <v>9</v>
      </c>
      <c r="G564" t="s">
        <v>472</v>
      </c>
      <c r="H564" t="s">
        <v>473</v>
      </c>
      <c r="I564" t="s">
        <v>16</v>
      </c>
      <c r="J564" t="s">
        <v>52</v>
      </c>
      <c r="K564" t="s">
        <v>35</v>
      </c>
      <c r="L564" s="6">
        <v>0</v>
      </c>
      <c r="M564" s="6">
        <v>100</v>
      </c>
      <c r="N564" s="6">
        <v>100</v>
      </c>
      <c r="O564" s="6">
        <v>79991.100000000006</v>
      </c>
      <c r="P564" s="7">
        <v>0</v>
      </c>
      <c r="Q564" s="6">
        <v>0</v>
      </c>
    </row>
    <row r="565" spans="1:17">
      <c r="A565">
        <v>564</v>
      </c>
      <c r="B565" s="5">
        <v>45742</v>
      </c>
      <c r="C565" t="s">
        <v>172</v>
      </c>
      <c r="D565" t="s">
        <v>173</v>
      </c>
      <c r="E565" t="s">
        <v>174</v>
      </c>
      <c r="F565">
        <v>9</v>
      </c>
      <c r="G565" t="s">
        <v>474</v>
      </c>
      <c r="H565" t="s">
        <v>66</v>
      </c>
      <c r="I565" t="s">
        <v>22</v>
      </c>
      <c r="J565" t="s">
        <v>67</v>
      </c>
      <c r="K565" t="s">
        <v>34</v>
      </c>
      <c r="L565" s="6">
        <v>1000</v>
      </c>
      <c r="M565" s="6">
        <v>0</v>
      </c>
      <c r="N565" s="6">
        <v>-1000</v>
      </c>
      <c r="O565" s="6">
        <v>78991.100000000006</v>
      </c>
      <c r="P565" s="7">
        <v>0</v>
      </c>
      <c r="Q565" s="6">
        <v>0</v>
      </c>
    </row>
    <row r="566" spans="1:17">
      <c r="A566">
        <v>565</v>
      </c>
      <c r="B566" s="5">
        <v>45742</v>
      </c>
      <c r="C566" t="s">
        <v>172</v>
      </c>
      <c r="D566" t="s">
        <v>173</v>
      </c>
      <c r="E566" t="s">
        <v>174</v>
      </c>
      <c r="F566">
        <v>9</v>
      </c>
      <c r="G566" t="s">
        <v>475</v>
      </c>
      <c r="H566" t="s">
        <v>66</v>
      </c>
      <c r="I566" t="s">
        <v>22</v>
      </c>
      <c r="J566" t="s">
        <v>67</v>
      </c>
      <c r="K566" t="s">
        <v>34</v>
      </c>
      <c r="L566" s="6">
        <v>5000</v>
      </c>
      <c r="M566" s="6">
        <v>0</v>
      </c>
      <c r="N566" s="6">
        <v>-5000</v>
      </c>
      <c r="O566" s="6">
        <v>73991.100000000006</v>
      </c>
      <c r="P566" s="7">
        <v>0</v>
      </c>
      <c r="Q566" s="6">
        <v>0</v>
      </c>
    </row>
    <row r="567" spans="1:17">
      <c r="A567">
        <v>566</v>
      </c>
      <c r="B567" s="5">
        <v>45742</v>
      </c>
      <c r="C567" t="s">
        <v>172</v>
      </c>
      <c r="D567" t="s">
        <v>173</v>
      </c>
      <c r="E567" t="s">
        <v>174</v>
      </c>
      <c r="F567">
        <v>9</v>
      </c>
      <c r="G567" t="s">
        <v>476</v>
      </c>
      <c r="H567" t="s">
        <v>66</v>
      </c>
      <c r="I567" t="s">
        <v>22</v>
      </c>
      <c r="J567" t="s">
        <v>67</v>
      </c>
      <c r="K567" t="s">
        <v>34</v>
      </c>
      <c r="L567" s="6">
        <v>172.64</v>
      </c>
      <c r="M567" s="6">
        <v>0</v>
      </c>
      <c r="N567" s="6">
        <v>-172.64</v>
      </c>
      <c r="O567" s="6">
        <v>73818.460000000006</v>
      </c>
      <c r="P567" s="7">
        <v>0</v>
      </c>
      <c r="Q567" s="6">
        <v>0</v>
      </c>
    </row>
    <row r="568" spans="1:17">
      <c r="A568">
        <v>567</v>
      </c>
      <c r="B568" s="5">
        <v>45742</v>
      </c>
      <c r="C568" t="s">
        <v>172</v>
      </c>
      <c r="D568" t="s">
        <v>173</v>
      </c>
      <c r="E568" t="s">
        <v>174</v>
      </c>
      <c r="F568">
        <v>9</v>
      </c>
      <c r="G568" t="s">
        <v>227</v>
      </c>
      <c r="H568" t="s">
        <v>228</v>
      </c>
      <c r="I568" t="s">
        <v>16</v>
      </c>
      <c r="J568" t="s">
        <v>52</v>
      </c>
      <c r="K568" t="s">
        <v>35</v>
      </c>
      <c r="L568" s="6">
        <v>0</v>
      </c>
      <c r="M568" s="6">
        <v>750</v>
      </c>
      <c r="N568" s="6">
        <v>750</v>
      </c>
      <c r="O568" s="6">
        <v>74568.460000000006</v>
      </c>
      <c r="P568" s="7">
        <v>0</v>
      </c>
      <c r="Q568" s="6">
        <v>0</v>
      </c>
    </row>
    <row r="569" spans="1:17">
      <c r="A569">
        <v>568</v>
      </c>
      <c r="B569" s="5">
        <v>45742</v>
      </c>
      <c r="C569" t="s">
        <v>172</v>
      </c>
      <c r="D569" t="s">
        <v>173</v>
      </c>
      <c r="E569" t="s">
        <v>174</v>
      </c>
      <c r="F569">
        <v>9</v>
      </c>
      <c r="G569" t="s">
        <v>199</v>
      </c>
      <c r="H569" t="s">
        <v>200</v>
      </c>
      <c r="I569" t="s">
        <v>16</v>
      </c>
      <c r="J569" t="s">
        <v>52</v>
      </c>
      <c r="K569" t="s">
        <v>35</v>
      </c>
      <c r="L569" s="6">
        <v>0</v>
      </c>
      <c r="M569" s="6">
        <v>3000</v>
      </c>
      <c r="N569" s="6">
        <v>3000</v>
      </c>
      <c r="O569" s="6">
        <v>77568.460000000006</v>
      </c>
      <c r="P569" s="7">
        <v>0</v>
      </c>
      <c r="Q569" s="6">
        <v>0</v>
      </c>
    </row>
    <row r="570" spans="1:17">
      <c r="A570">
        <v>569</v>
      </c>
      <c r="B570" s="5">
        <v>45742</v>
      </c>
      <c r="C570" t="s">
        <v>172</v>
      </c>
      <c r="D570" t="s">
        <v>173</v>
      </c>
      <c r="E570" t="s">
        <v>174</v>
      </c>
      <c r="F570">
        <v>9</v>
      </c>
      <c r="G570" t="s">
        <v>199</v>
      </c>
      <c r="H570" t="s">
        <v>200</v>
      </c>
      <c r="I570" t="s">
        <v>16</v>
      </c>
      <c r="J570" t="s">
        <v>52</v>
      </c>
      <c r="K570" t="s">
        <v>35</v>
      </c>
      <c r="L570" s="6">
        <v>0</v>
      </c>
      <c r="M570" s="6">
        <v>2500</v>
      </c>
      <c r="N570" s="6">
        <v>2500</v>
      </c>
      <c r="O570" s="6">
        <v>80068.460000000006</v>
      </c>
      <c r="P570" s="7">
        <v>0</v>
      </c>
      <c r="Q570" s="6">
        <v>0</v>
      </c>
    </row>
    <row r="571" spans="1:17">
      <c r="A571">
        <v>570</v>
      </c>
      <c r="B571" s="5">
        <v>45742</v>
      </c>
      <c r="C571" t="s">
        <v>172</v>
      </c>
      <c r="D571" t="s">
        <v>173</v>
      </c>
      <c r="E571" t="s">
        <v>174</v>
      </c>
      <c r="F571">
        <v>9</v>
      </c>
      <c r="G571" t="s">
        <v>227</v>
      </c>
      <c r="H571" t="s">
        <v>228</v>
      </c>
      <c r="I571" t="s">
        <v>16</v>
      </c>
      <c r="J571" t="s">
        <v>52</v>
      </c>
      <c r="K571" t="s">
        <v>35</v>
      </c>
      <c r="L571" s="6">
        <v>0</v>
      </c>
      <c r="M571" s="6">
        <v>1000</v>
      </c>
      <c r="N571" s="6">
        <v>1000</v>
      </c>
      <c r="O571" s="6">
        <v>81068.460000000006</v>
      </c>
      <c r="P571" s="7">
        <v>0</v>
      </c>
      <c r="Q571" s="6">
        <v>0</v>
      </c>
    </row>
    <row r="572" spans="1:17">
      <c r="A572">
        <v>571</v>
      </c>
      <c r="B572" s="5">
        <v>45742</v>
      </c>
      <c r="C572" t="s">
        <v>172</v>
      </c>
      <c r="D572" t="s">
        <v>173</v>
      </c>
      <c r="E572" t="s">
        <v>174</v>
      </c>
      <c r="F572">
        <v>9</v>
      </c>
      <c r="G572" t="s">
        <v>199</v>
      </c>
      <c r="H572" t="s">
        <v>200</v>
      </c>
      <c r="I572" t="s">
        <v>16</v>
      </c>
      <c r="J572" t="s">
        <v>52</v>
      </c>
      <c r="K572" t="s">
        <v>35</v>
      </c>
      <c r="L572" s="6">
        <v>0</v>
      </c>
      <c r="M572" s="6">
        <v>2500</v>
      </c>
      <c r="N572" s="6">
        <v>2500</v>
      </c>
      <c r="O572" s="6">
        <v>83568.460000000006</v>
      </c>
      <c r="P572" s="7">
        <v>0</v>
      </c>
      <c r="Q572" s="6">
        <v>0</v>
      </c>
    </row>
    <row r="573" spans="1:17">
      <c r="A573">
        <v>572</v>
      </c>
      <c r="B573" s="5">
        <v>45742</v>
      </c>
      <c r="C573" t="s">
        <v>172</v>
      </c>
      <c r="D573" t="s">
        <v>173</v>
      </c>
      <c r="E573" t="s">
        <v>174</v>
      </c>
      <c r="F573">
        <v>9</v>
      </c>
      <c r="G573" t="s">
        <v>477</v>
      </c>
      <c r="H573" t="s">
        <v>66</v>
      </c>
      <c r="I573" t="s">
        <v>22</v>
      </c>
      <c r="J573" t="s">
        <v>67</v>
      </c>
      <c r="K573" t="s">
        <v>34</v>
      </c>
      <c r="L573" s="6">
        <v>892</v>
      </c>
      <c r="M573" s="6">
        <v>0</v>
      </c>
      <c r="N573" s="6">
        <v>-892</v>
      </c>
      <c r="O573" s="6">
        <v>82676.460000000006</v>
      </c>
      <c r="P573" s="7">
        <v>0</v>
      </c>
      <c r="Q573" s="6">
        <v>0</v>
      </c>
    </row>
    <row r="574" spans="1:17">
      <c r="A574">
        <v>573</v>
      </c>
      <c r="B574" s="5">
        <v>45742</v>
      </c>
      <c r="C574" t="s">
        <v>172</v>
      </c>
      <c r="D574" t="s">
        <v>173</v>
      </c>
      <c r="E574" t="s">
        <v>174</v>
      </c>
      <c r="F574">
        <v>9</v>
      </c>
      <c r="G574" t="s">
        <v>478</v>
      </c>
      <c r="H574" t="s">
        <v>66</v>
      </c>
      <c r="I574" t="s">
        <v>22</v>
      </c>
      <c r="J574" t="s">
        <v>67</v>
      </c>
      <c r="K574" t="s">
        <v>34</v>
      </c>
      <c r="L574" s="6">
        <v>15000</v>
      </c>
      <c r="M574" s="6">
        <v>0</v>
      </c>
      <c r="N574" s="6">
        <v>-15000</v>
      </c>
      <c r="O574" s="6">
        <v>67676.460000000006</v>
      </c>
      <c r="P574" s="7">
        <v>0</v>
      </c>
      <c r="Q574" s="6">
        <v>0</v>
      </c>
    </row>
    <row r="575" spans="1:17">
      <c r="A575">
        <v>574</v>
      </c>
      <c r="B575" s="5">
        <v>45742</v>
      </c>
      <c r="C575" t="s">
        <v>172</v>
      </c>
      <c r="D575" t="s">
        <v>173</v>
      </c>
      <c r="E575" t="s">
        <v>174</v>
      </c>
      <c r="F575">
        <v>9</v>
      </c>
      <c r="G575" t="s">
        <v>194</v>
      </c>
      <c r="H575" t="s">
        <v>195</v>
      </c>
      <c r="I575" t="s">
        <v>16</v>
      </c>
      <c r="J575" t="s">
        <v>52</v>
      </c>
      <c r="K575" t="s">
        <v>35</v>
      </c>
      <c r="L575" s="6">
        <v>0</v>
      </c>
      <c r="M575" s="6">
        <v>800</v>
      </c>
      <c r="N575" s="6">
        <v>800</v>
      </c>
      <c r="O575" s="6">
        <v>68476.460000000006</v>
      </c>
      <c r="P575" s="7">
        <v>0</v>
      </c>
      <c r="Q575" s="6">
        <v>0</v>
      </c>
    </row>
    <row r="576" spans="1:17">
      <c r="A576">
        <v>575</v>
      </c>
      <c r="B576" s="5">
        <v>45742</v>
      </c>
      <c r="C576" t="s">
        <v>172</v>
      </c>
      <c r="D576" t="s">
        <v>173</v>
      </c>
      <c r="E576" t="s">
        <v>174</v>
      </c>
      <c r="F576">
        <v>9</v>
      </c>
      <c r="G576" t="s">
        <v>199</v>
      </c>
      <c r="H576" t="s">
        <v>200</v>
      </c>
      <c r="I576" t="s">
        <v>16</v>
      </c>
      <c r="J576" t="s">
        <v>52</v>
      </c>
      <c r="K576" t="s">
        <v>35</v>
      </c>
      <c r="L576" s="6">
        <v>0</v>
      </c>
      <c r="M576" s="6">
        <v>2000</v>
      </c>
      <c r="N576" s="6">
        <v>2000</v>
      </c>
      <c r="O576" s="6">
        <v>70476.460000000006</v>
      </c>
      <c r="P576" s="7">
        <v>0</v>
      </c>
      <c r="Q576" s="6">
        <v>0</v>
      </c>
    </row>
    <row r="577" spans="1:17">
      <c r="A577">
        <v>576</v>
      </c>
      <c r="B577" s="5">
        <v>45743</v>
      </c>
      <c r="C577" t="s">
        <v>172</v>
      </c>
      <c r="D577" t="s">
        <v>173</v>
      </c>
      <c r="E577" t="s">
        <v>174</v>
      </c>
      <c r="F577">
        <v>9</v>
      </c>
      <c r="G577" t="s">
        <v>479</v>
      </c>
      <c r="H577" t="s">
        <v>66</v>
      </c>
      <c r="I577" t="s">
        <v>22</v>
      </c>
      <c r="J577" t="s">
        <v>67</v>
      </c>
      <c r="K577" t="s">
        <v>34</v>
      </c>
      <c r="L577" s="6">
        <v>108.96</v>
      </c>
      <c r="M577" s="6">
        <v>0</v>
      </c>
      <c r="N577" s="6">
        <v>-108.96</v>
      </c>
      <c r="O577" s="6">
        <v>70367.5</v>
      </c>
      <c r="P577" s="7">
        <v>0</v>
      </c>
      <c r="Q577" s="6">
        <v>0</v>
      </c>
    </row>
    <row r="578" spans="1:17">
      <c r="A578">
        <v>577</v>
      </c>
      <c r="B578" s="5">
        <v>45743</v>
      </c>
      <c r="C578" t="s">
        <v>172</v>
      </c>
      <c r="D578" t="s">
        <v>173</v>
      </c>
      <c r="E578" t="s">
        <v>174</v>
      </c>
      <c r="F578">
        <v>9</v>
      </c>
      <c r="G578" t="s">
        <v>480</v>
      </c>
      <c r="H578" t="s">
        <v>66</v>
      </c>
      <c r="I578" t="s">
        <v>22</v>
      </c>
      <c r="J578" t="s">
        <v>67</v>
      </c>
      <c r="K578" t="s">
        <v>34</v>
      </c>
      <c r="L578" s="6">
        <v>3670</v>
      </c>
      <c r="M578" s="6">
        <v>0</v>
      </c>
      <c r="N578" s="6">
        <v>-3670</v>
      </c>
      <c r="O578" s="6">
        <v>66697.5</v>
      </c>
      <c r="P578" s="7">
        <v>0</v>
      </c>
      <c r="Q578" s="6">
        <v>0</v>
      </c>
    </row>
    <row r="579" spans="1:17">
      <c r="A579">
        <v>578</v>
      </c>
      <c r="B579" s="5">
        <v>45743</v>
      </c>
      <c r="C579" t="s">
        <v>172</v>
      </c>
      <c r="D579" t="s">
        <v>173</v>
      </c>
      <c r="E579" t="s">
        <v>174</v>
      </c>
      <c r="F579">
        <v>9</v>
      </c>
      <c r="G579" t="s">
        <v>481</v>
      </c>
      <c r="H579" t="s">
        <v>66</v>
      </c>
      <c r="I579" t="s">
        <v>22</v>
      </c>
      <c r="J579" t="s">
        <v>67</v>
      </c>
      <c r="K579" t="s">
        <v>34</v>
      </c>
      <c r="L579" s="6">
        <v>9000</v>
      </c>
      <c r="M579" s="6">
        <v>0</v>
      </c>
      <c r="N579" s="6">
        <v>-9000</v>
      </c>
      <c r="O579" s="6">
        <v>57697.5</v>
      </c>
      <c r="P579" s="7">
        <v>0</v>
      </c>
      <c r="Q579" s="6">
        <v>0</v>
      </c>
    </row>
    <row r="580" spans="1:17">
      <c r="A580">
        <v>579</v>
      </c>
      <c r="B580" s="5">
        <v>45743</v>
      </c>
      <c r="C580" t="s">
        <v>172</v>
      </c>
      <c r="D580" t="s">
        <v>173</v>
      </c>
      <c r="E580" t="s">
        <v>174</v>
      </c>
      <c r="F580">
        <v>9</v>
      </c>
      <c r="G580" t="s">
        <v>482</v>
      </c>
      <c r="H580" t="s">
        <v>66</v>
      </c>
      <c r="I580" t="s">
        <v>22</v>
      </c>
      <c r="J580" t="s">
        <v>67</v>
      </c>
      <c r="K580" t="s">
        <v>34</v>
      </c>
      <c r="L580" s="6">
        <v>1175.53</v>
      </c>
      <c r="M580" s="6">
        <v>0</v>
      </c>
      <c r="N580" s="6">
        <v>-1175.53</v>
      </c>
      <c r="O580" s="6">
        <v>56521.97</v>
      </c>
      <c r="P580" s="7">
        <v>0</v>
      </c>
      <c r="Q580" s="6">
        <v>0</v>
      </c>
    </row>
    <row r="581" spans="1:17">
      <c r="A581">
        <v>580</v>
      </c>
      <c r="B581" s="5">
        <v>45743</v>
      </c>
      <c r="C581" t="s">
        <v>172</v>
      </c>
      <c r="D581" t="s">
        <v>173</v>
      </c>
      <c r="E581" t="s">
        <v>174</v>
      </c>
      <c r="F581">
        <v>9</v>
      </c>
      <c r="G581" t="s">
        <v>483</v>
      </c>
      <c r="H581" t="s">
        <v>484</v>
      </c>
      <c r="I581" t="s">
        <v>16</v>
      </c>
      <c r="J581" t="s">
        <v>52</v>
      </c>
      <c r="K581" t="s">
        <v>35</v>
      </c>
      <c r="L581" s="6">
        <v>0</v>
      </c>
      <c r="M581" s="6">
        <v>100</v>
      </c>
      <c r="N581" s="6">
        <v>100</v>
      </c>
      <c r="O581" s="6">
        <v>56621.97</v>
      </c>
      <c r="P581" s="7">
        <v>0</v>
      </c>
      <c r="Q581" s="6">
        <v>0</v>
      </c>
    </row>
    <row r="582" spans="1:17">
      <c r="A582">
        <v>581</v>
      </c>
      <c r="B582" s="5">
        <v>45743</v>
      </c>
      <c r="C582" t="s">
        <v>172</v>
      </c>
      <c r="D582" t="s">
        <v>173</v>
      </c>
      <c r="E582" t="s">
        <v>174</v>
      </c>
      <c r="F582">
        <v>9</v>
      </c>
      <c r="G582" t="s">
        <v>254</v>
      </c>
      <c r="H582" t="s">
        <v>255</v>
      </c>
      <c r="I582" t="s">
        <v>16</v>
      </c>
      <c r="J582" t="s">
        <v>52</v>
      </c>
      <c r="K582" t="s">
        <v>35</v>
      </c>
      <c r="L582" s="6">
        <v>0</v>
      </c>
      <c r="M582" s="6">
        <v>80</v>
      </c>
      <c r="N582" s="6">
        <v>80</v>
      </c>
      <c r="O582" s="6">
        <v>56701.97</v>
      </c>
      <c r="P582" s="7">
        <v>0</v>
      </c>
      <c r="Q582" s="6">
        <v>0</v>
      </c>
    </row>
    <row r="583" spans="1:17">
      <c r="A583">
        <v>582</v>
      </c>
      <c r="B583" s="5">
        <v>45743</v>
      </c>
      <c r="C583" t="s">
        <v>172</v>
      </c>
      <c r="D583" t="s">
        <v>173</v>
      </c>
      <c r="E583" t="s">
        <v>174</v>
      </c>
      <c r="F583">
        <v>9</v>
      </c>
      <c r="G583" t="s">
        <v>415</v>
      </c>
      <c r="H583" t="s">
        <v>416</v>
      </c>
      <c r="I583" t="s">
        <v>16</v>
      </c>
      <c r="J583" t="s">
        <v>52</v>
      </c>
      <c r="K583" t="s">
        <v>35</v>
      </c>
      <c r="L583" s="6">
        <v>0</v>
      </c>
      <c r="M583" s="6">
        <v>152</v>
      </c>
      <c r="N583" s="6">
        <v>152</v>
      </c>
      <c r="O583" s="6">
        <v>56853.97</v>
      </c>
      <c r="P583" s="7">
        <v>0</v>
      </c>
      <c r="Q583" s="6">
        <v>0</v>
      </c>
    </row>
    <row r="584" spans="1:17">
      <c r="A584">
        <v>583</v>
      </c>
      <c r="B584" s="5">
        <v>45743</v>
      </c>
      <c r="C584" t="s">
        <v>172</v>
      </c>
      <c r="D584" t="s">
        <v>173</v>
      </c>
      <c r="E584" t="s">
        <v>174</v>
      </c>
      <c r="F584">
        <v>9</v>
      </c>
      <c r="G584" t="s">
        <v>312</v>
      </c>
      <c r="H584" t="s">
        <v>313</v>
      </c>
      <c r="I584" t="s">
        <v>16</v>
      </c>
      <c r="J584" t="s">
        <v>52</v>
      </c>
      <c r="K584" t="s">
        <v>35</v>
      </c>
      <c r="L584" s="6">
        <v>0</v>
      </c>
      <c r="M584" s="6">
        <v>1500</v>
      </c>
      <c r="N584" s="6">
        <v>1500</v>
      </c>
      <c r="O584" s="6">
        <v>58353.97</v>
      </c>
      <c r="P584" s="7">
        <v>0</v>
      </c>
      <c r="Q584" s="6">
        <v>0</v>
      </c>
    </row>
    <row r="585" spans="1:17">
      <c r="A585">
        <v>584</v>
      </c>
      <c r="B585" s="5">
        <v>45743</v>
      </c>
      <c r="C585" t="s">
        <v>172</v>
      </c>
      <c r="D585" t="s">
        <v>173</v>
      </c>
      <c r="E585" t="s">
        <v>174</v>
      </c>
      <c r="F585">
        <v>9</v>
      </c>
      <c r="G585" t="s">
        <v>440</v>
      </c>
      <c r="H585" t="s">
        <v>441</v>
      </c>
      <c r="I585" t="s">
        <v>16</v>
      </c>
      <c r="J585" t="s">
        <v>52</v>
      </c>
      <c r="K585" t="s">
        <v>35</v>
      </c>
      <c r="L585" s="6">
        <v>0</v>
      </c>
      <c r="M585" s="6">
        <v>3000</v>
      </c>
      <c r="N585" s="6">
        <v>3000</v>
      </c>
      <c r="O585" s="6">
        <v>61353.97</v>
      </c>
      <c r="P585" s="7">
        <v>0</v>
      </c>
      <c r="Q585" s="6">
        <v>0</v>
      </c>
    </row>
    <row r="586" spans="1:17">
      <c r="A586">
        <v>585</v>
      </c>
      <c r="B586" s="5">
        <v>45744</v>
      </c>
      <c r="C586" t="s">
        <v>172</v>
      </c>
      <c r="D586" t="s">
        <v>173</v>
      </c>
      <c r="E586" t="s">
        <v>174</v>
      </c>
      <c r="F586">
        <v>9</v>
      </c>
      <c r="G586" t="s">
        <v>485</v>
      </c>
      <c r="H586" t="s">
        <v>66</v>
      </c>
      <c r="I586" t="s">
        <v>22</v>
      </c>
      <c r="J586" t="s">
        <v>67</v>
      </c>
      <c r="K586" t="s">
        <v>34</v>
      </c>
      <c r="L586" s="6">
        <v>380</v>
      </c>
      <c r="M586" s="6">
        <v>0</v>
      </c>
      <c r="N586" s="6">
        <v>-380</v>
      </c>
      <c r="O586" s="6">
        <v>60973.97</v>
      </c>
      <c r="P586" s="7">
        <v>0</v>
      </c>
      <c r="Q586" s="6">
        <v>0</v>
      </c>
    </row>
    <row r="587" spans="1:17">
      <c r="A587">
        <v>586</v>
      </c>
      <c r="B587" s="5">
        <v>45744</v>
      </c>
      <c r="C587" t="s">
        <v>172</v>
      </c>
      <c r="D587" t="s">
        <v>173</v>
      </c>
      <c r="E587" t="s">
        <v>174</v>
      </c>
      <c r="F587">
        <v>9</v>
      </c>
      <c r="G587" t="s">
        <v>486</v>
      </c>
      <c r="H587" t="s">
        <v>66</v>
      </c>
      <c r="I587" t="s">
        <v>22</v>
      </c>
      <c r="J587" t="s">
        <v>67</v>
      </c>
      <c r="K587" t="s">
        <v>34</v>
      </c>
      <c r="L587" s="6">
        <v>5052.46</v>
      </c>
      <c r="M587" s="6">
        <v>0</v>
      </c>
      <c r="N587" s="6">
        <v>-5052.46</v>
      </c>
      <c r="O587" s="6">
        <v>55921.51</v>
      </c>
      <c r="P587" s="7">
        <v>0</v>
      </c>
      <c r="Q587" s="6">
        <v>0</v>
      </c>
    </row>
    <row r="588" spans="1:17">
      <c r="A588">
        <v>587</v>
      </c>
      <c r="B588" s="5">
        <v>45744</v>
      </c>
      <c r="C588" t="s">
        <v>172</v>
      </c>
      <c r="D588" t="s">
        <v>173</v>
      </c>
      <c r="E588" t="s">
        <v>174</v>
      </c>
      <c r="F588">
        <v>9</v>
      </c>
      <c r="G588" t="s">
        <v>487</v>
      </c>
      <c r="H588" t="s">
        <v>66</v>
      </c>
      <c r="I588" t="s">
        <v>22</v>
      </c>
      <c r="J588" t="s">
        <v>67</v>
      </c>
      <c r="K588" t="s">
        <v>34</v>
      </c>
      <c r="L588" s="6">
        <v>17474.22</v>
      </c>
      <c r="M588" s="6">
        <v>0</v>
      </c>
      <c r="N588" s="6">
        <v>-17474.22</v>
      </c>
      <c r="O588" s="6">
        <v>38447.29</v>
      </c>
      <c r="P588" s="7">
        <v>0</v>
      </c>
      <c r="Q588" s="6">
        <v>0</v>
      </c>
    </row>
    <row r="589" spans="1:17">
      <c r="A589">
        <v>588</v>
      </c>
      <c r="B589" s="5">
        <v>45744</v>
      </c>
      <c r="C589" t="s">
        <v>172</v>
      </c>
      <c r="D589" t="s">
        <v>173</v>
      </c>
      <c r="E589" t="s">
        <v>174</v>
      </c>
      <c r="F589">
        <v>9</v>
      </c>
      <c r="G589" t="s">
        <v>488</v>
      </c>
      <c r="H589" t="s">
        <v>66</v>
      </c>
      <c r="I589" t="s">
        <v>22</v>
      </c>
      <c r="J589" t="s">
        <v>67</v>
      </c>
      <c r="K589" t="s">
        <v>34</v>
      </c>
      <c r="L589" s="6">
        <v>15000</v>
      </c>
      <c r="M589" s="6">
        <v>0</v>
      </c>
      <c r="N589" s="6">
        <v>-15000</v>
      </c>
      <c r="O589" s="6">
        <v>23447.29</v>
      </c>
      <c r="P589" s="7">
        <v>0</v>
      </c>
      <c r="Q589" s="6">
        <v>0</v>
      </c>
    </row>
    <row r="590" spans="1:17">
      <c r="A590">
        <v>589</v>
      </c>
      <c r="B590" s="5">
        <v>45744</v>
      </c>
      <c r="C590" t="s">
        <v>172</v>
      </c>
      <c r="D590" t="s">
        <v>173</v>
      </c>
      <c r="E590" t="s">
        <v>174</v>
      </c>
      <c r="F590">
        <v>9</v>
      </c>
      <c r="G590" t="s">
        <v>489</v>
      </c>
      <c r="H590" t="s">
        <v>66</v>
      </c>
      <c r="I590" t="s">
        <v>22</v>
      </c>
      <c r="J590" t="s">
        <v>67</v>
      </c>
      <c r="K590" t="s">
        <v>34</v>
      </c>
      <c r="L590" s="6">
        <v>301</v>
      </c>
      <c r="M590" s="6">
        <v>0</v>
      </c>
      <c r="N590" s="6">
        <v>-301</v>
      </c>
      <c r="O590" s="6">
        <v>23146.29</v>
      </c>
      <c r="P590" s="7">
        <v>0</v>
      </c>
      <c r="Q590" s="6">
        <v>0</v>
      </c>
    </row>
    <row r="591" spans="1:17">
      <c r="A591">
        <v>590</v>
      </c>
      <c r="B591" s="5">
        <v>45744</v>
      </c>
      <c r="C591" t="s">
        <v>172</v>
      </c>
      <c r="D591" t="s">
        <v>173</v>
      </c>
      <c r="E591" t="s">
        <v>174</v>
      </c>
      <c r="F591">
        <v>10</v>
      </c>
      <c r="G591" t="s">
        <v>440</v>
      </c>
      <c r="H591" t="s">
        <v>441</v>
      </c>
      <c r="I591" t="s">
        <v>16</v>
      </c>
      <c r="J591" t="s">
        <v>52</v>
      </c>
      <c r="K591" t="s">
        <v>35</v>
      </c>
      <c r="L591" s="6">
        <v>0</v>
      </c>
      <c r="M591" s="6">
        <v>2600</v>
      </c>
      <c r="N591" s="6">
        <v>2600</v>
      </c>
      <c r="O591" s="6">
        <v>25746.29</v>
      </c>
      <c r="P591" s="7">
        <v>0</v>
      </c>
      <c r="Q591" s="6">
        <v>0</v>
      </c>
    </row>
    <row r="592" spans="1:17">
      <c r="A592">
        <v>591</v>
      </c>
      <c r="B592" s="5">
        <v>45744</v>
      </c>
      <c r="C592" t="s">
        <v>172</v>
      </c>
      <c r="D592" t="s">
        <v>173</v>
      </c>
      <c r="E592" t="s">
        <v>174</v>
      </c>
      <c r="F592">
        <v>10</v>
      </c>
      <c r="G592" t="s">
        <v>490</v>
      </c>
      <c r="H592" t="s">
        <v>66</v>
      </c>
      <c r="I592" t="s">
        <v>22</v>
      </c>
      <c r="J592" t="s">
        <v>67</v>
      </c>
      <c r="K592" t="s">
        <v>34</v>
      </c>
      <c r="L592" s="6">
        <v>3060</v>
      </c>
      <c r="M592" s="6">
        <v>0</v>
      </c>
      <c r="N592" s="6">
        <v>-3060</v>
      </c>
      <c r="O592" s="6">
        <v>22686.29</v>
      </c>
      <c r="P592" s="7">
        <v>0</v>
      </c>
      <c r="Q592" s="6">
        <v>0</v>
      </c>
    </row>
    <row r="593" spans="1:17">
      <c r="A593">
        <v>592</v>
      </c>
      <c r="B593" s="5">
        <v>45744</v>
      </c>
      <c r="C593" t="s">
        <v>172</v>
      </c>
      <c r="D593" t="s">
        <v>173</v>
      </c>
      <c r="E593" t="s">
        <v>174</v>
      </c>
      <c r="F593">
        <v>10</v>
      </c>
      <c r="G593" t="s">
        <v>491</v>
      </c>
      <c r="H593" t="s">
        <v>66</v>
      </c>
      <c r="I593" t="s">
        <v>22</v>
      </c>
      <c r="J593" t="s">
        <v>67</v>
      </c>
      <c r="K593" t="s">
        <v>34</v>
      </c>
      <c r="L593" s="6">
        <v>114.94</v>
      </c>
      <c r="M593" s="6">
        <v>0</v>
      </c>
      <c r="N593" s="6">
        <v>-114.94</v>
      </c>
      <c r="O593" s="6">
        <v>22571.35</v>
      </c>
      <c r="P593" s="7">
        <v>0</v>
      </c>
      <c r="Q593" s="6">
        <v>0</v>
      </c>
    </row>
    <row r="594" spans="1:17">
      <c r="A594">
        <v>593</v>
      </c>
      <c r="B594" s="5">
        <v>45744</v>
      </c>
      <c r="C594" t="s">
        <v>172</v>
      </c>
      <c r="D594" t="s">
        <v>173</v>
      </c>
      <c r="E594" t="s">
        <v>174</v>
      </c>
      <c r="F594">
        <v>10</v>
      </c>
      <c r="G594" t="s">
        <v>492</v>
      </c>
      <c r="H594" t="s">
        <v>66</v>
      </c>
      <c r="I594" t="s">
        <v>22</v>
      </c>
      <c r="J594" t="s">
        <v>67</v>
      </c>
      <c r="K594" t="s">
        <v>34</v>
      </c>
      <c r="L594" s="6">
        <v>2300</v>
      </c>
      <c r="M594" s="6">
        <v>0</v>
      </c>
      <c r="N594" s="6">
        <v>-2300</v>
      </c>
      <c r="O594" s="6">
        <v>20271.349999999999</v>
      </c>
      <c r="P594" s="7">
        <v>0</v>
      </c>
      <c r="Q594" s="6">
        <v>0</v>
      </c>
    </row>
    <row r="595" spans="1:17">
      <c r="A595">
        <v>594</v>
      </c>
      <c r="B595" s="5">
        <v>45744</v>
      </c>
      <c r="C595" t="s">
        <v>172</v>
      </c>
      <c r="D595" t="s">
        <v>173</v>
      </c>
      <c r="E595" t="s">
        <v>174</v>
      </c>
      <c r="F595">
        <v>10</v>
      </c>
      <c r="G595" t="s">
        <v>493</v>
      </c>
      <c r="H595" t="s">
        <v>66</v>
      </c>
      <c r="I595" t="s">
        <v>22</v>
      </c>
      <c r="J595" t="s">
        <v>67</v>
      </c>
      <c r="K595" t="s">
        <v>34</v>
      </c>
      <c r="L595" s="6">
        <v>890</v>
      </c>
      <c r="M595" s="6">
        <v>0</v>
      </c>
      <c r="N595" s="6">
        <v>-890</v>
      </c>
      <c r="O595" s="6">
        <v>19381.349999999999</v>
      </c>
      <c r="P595" s="7">
        <v>0</v>
      </c>
      <c r="Q595" s="6">
        <v>0</v>
      </c>
    </row>
    <row r="596" spans="1:17">
      <c r="A596">
        <v>595</v>
      </c>
      <c r="B596" s="5">
        <v>45744</v>
      </c>
      <c r="C596" t="s">
        <v>172</v>
      </c>
      <c r="D596" t="s">
        <v>173</v>
      </c>
      <c r="E596" t="s">
        <v>174</v>
      </c>
      <c r="F596">
        <v>10</v>
      </c>
      <c r="G596" t="s">
        <v>494</v>
      </c>
      <c r="H596" t="s">
        <v>66</v>
      </c>
      <c r="I596" t="s">
        <v>22</v>
      </c>
      <c r="J596" t="s">
        <v>67</v>
      </c>
      <c r="K596" t="s">
        <v>34</v>
      </c>
      <c r="L596" s="6">
        <v>600</v>
      </c>
      <c r="M596" s="6">
        <v>0</v>
      </c>
      <c r="N596" s="6">
        <v>-600</v>
      </c>
      <c r="O596" s="6">
        <v>18781.349999999999</v>
      </c>
      <c r="P596" s="7">
        <v>0</v>
      </c>
      <c r="Q596" s="6">
        <v>0</v>
      </c>
    </row>
    <row r="597" spans="1:17">
      <c r="A597">
        <v>596</v>
      </c>
      <c r="B597" s="5">
        <v>45744</v>
      </c>
      <c r="C597" t="s">
        <v>172</v>
      </c>
      <c r="D597" t="s">
        <v>173</v>
      </c>
      <c r="E597" t="s">
        <v>174</v>
      </c>
      <c r="F597">
        <v>10</v>
      </c>
      <c r="G597" t="s">
        <v>495</v>
      </c>
      <c r="H597" t="s">
        <v>66</v>
      </c>
      <c r="I597" t="s">
        <v>22</v>
      </c>
      <c r="J597" t="s">
        <v>67</v>
      </c>
      <c r="K597" t="s">
        <v>34</v>
      </c>
      <c r="L597" s="6">
        <v>5000</v>
      </c>
      <c r="M597" s="6">
        <v>0</v>
      </c>
      <c r="N597" s="6">
        <v>-5000</v>
      </c>
      <c r="O597" s="6">
        <v>13781.35</v>
      </c>
      <c r="P597" s="7">
        <v>0</v>
      </c>
      <c r="Q597" s="6">
        <v>0</v>
      </c>
    </row>
    <row r="598" spans="1:17">
      <c r="A598">
        <v>597</v>
      </c>
      <c r="B598" s="5">
        <v>45744</v>
      </c>
      <c r="C598" t="s">
        <v>172</v>
      </c>
      <c r="D598" t="s">
        <v>173</v>
      </c>
      <c r="E598" t="s">
        <v>174</v>
      </c>
      <c r="F598">
        <v>10</v>
      </c>
      <c r="G598" t="s">
        <v>314</v>
      </c>
      <c r="H598" t="s">
        <v>315</v>
      </c>
      <c r="I598" t="s">
        <v>16</v>
      </c>
      <c r="J598" t="s">
        <v>52</v>
      </c>
      <c r="K598" t="s">
        <v>35</v>
      </c>
      <c r="L598" s="6">
        <v>0</v>
      </c>
      <c r="M598" s="6">
        <v>100</v>
      </c>
      <c r="N598" s="6">
        <v>100</v>
      </c>
      <c r="O598" s="6">
        <v>13881.35</v>
      </c>
      <c r="P598" s="7">
        <v>0</v>
      </c>
      <c r="Q598" s="6">
        <v>0</v>
      </c>
    </row>
    <row r="599" spans="1:17">
      <c r="A599">
        <v>598</v>
      </c>
      <c r="B599" s="5">
        <v>45744</v>
      </c>
      <c r="C599" t="s">
        <v>172</v>
      </c>
      <c r="D599" t="s">
        <v>173</v>
      </c>
      <c r="E599" t="s">
        <v>174</v>
      </c>
      <c r="F599">
        <v>10</v>
      </c>
      <c r="G599" t="s">
        <v>496</v>
      </c>
      <c r="H599" t="s">
        <v>497</v>
      </c>
      <c r="I599" t="s">
        <v>16</v>
      </c>
      <c r="J599" t="s">
        <v>52</v>
      </c>
      <c r="K599" t="s">
        <v>35</v>
      </c>
      <c r="L599" s="6">
        <v>0</v>
      </c>
      <c r="M599" s="6">
        <v>200</v>
      </c>
      <c r="N599" s="6">
        <v>200</v>
      </c>
      <c r="O599" s="6">
        <v>14081.35</v>
      </c>
      <c r="P599" s="7">
        <v>0</v>
      </c>
      <c r="Q599" s="6">
        <v>0</v>
      </c>
    </row>
    <row r="600" spans="1:17">
      <c r="A600">
        <v>599</v>
      </c>
      <c r="B600" s="5">
        <v>45744</v>
      </c>
      <c r="C600" t="s">
        <v>172</v>
      </c>
      <c r="D600" t="s">
        <v>173</v>
      </c>
      <c r="E600" t="s">
        <v>174</v>
      </c>
      <c r="F600">
        <v>10</v>
      </c>
      <c r="G600" t="s">
        <v>312</v>
      </c>
      <c r="H600" t="s">
        <v>313</v>
      </c>
      <c r="I600" t="s">
        <v>16</v>
      </c>
      <c r="J600" t="s">
        <v>52</v>
      </c>
      <c r="K600" t="s">
        <v>35</v>
      </c>
      <c r="L600" s="6">
        <v>0</v>
      </c>
      <c r="M600" s="6">
        <v>2000</v>
      </c>
      <c r="N600" s="6">
        <v>2000</v>
      </c>
      <c r="O600" s="6">
        <v>16081.35</v>
      </c>
      <c r="P600" s="7">
        <v>0</v>
      </c>
      <c r="Q600" s="6">
        <v>0</v>
      </c>
    </row>
    <row r="601" spans="1:17">
      <c r="A601">
        <v>600</v>
      </c>
      <c r="B601" s="5">
        <v>45744</v>
      </c>
      <c r="C601" t="s">
        <v>172</v>
      </c>
      <c r="D601" t="s">
        <v>173</v>
      </c>
      <c r="E601" t="s">
        <v>174</v>
      </c>
      <c r="F601">
        <v>10</v>
      </c>
      <c r="G601" t="s">
        <v>415</v>
      </c>
      <c r="H601" t="s">
        <v>416</v>
      </c>
      <c r="I601" t="s">
        <v>16</v>
      </c>
      <c r="J601" t="s">
        <v>52</v>
      </c>
      <c r="K601" t="s">
        <v>35</v>
      </c>
      <c r="L601" s="6">
        <v>0</v>
      </c>
      <c r="M601" s="6">
        <v>500</v>
      </c>
      <c r="N601" s="6">
        <v>500</v>
      </c>
      <c r="O601" s="6">
        <v>16581.349999999999</v>
      </c>
      <c r="P601" s="7">
        <v>0</v>
      </c>
      <c r="Q601" s="6">
        <v>0</v>
      </c>
    </row>
    <row r="602" spans="1:17">
      <c r="A602">
        <v>601</v>
      </c>
      <c r="B602" s="5">
        <v>45744</v>
      </c>
      <c r="C602" t="s">
        <v>172</v>
      </c>
      <c r="D602" t="s">
        <v>173</v>
      </c>
      <c r="E602" t="s">
        <v>174</v>
      </c>
      <c r="F602">
        <v>10</v>
      </c>
      <c r="G602" t="s">
        <v>254</v>
      </c>
      <c r="H602" t="s">
        <v>255</v>
      </c>
      <c r="I602" t="s">
        <v>16</v>
      </c>
      <c r="J602" t="s">
        <v>52</v>
      </c>
      <c r="K602" t="s">
        <v>35</v>
      </c>
      <c r="L602" s="6">
        <v>0</v>
      </c>
      <c r="M602" s="6">
        <v>300</v>
      </c>
      <c r="N602" s="6">
        <v>300</v>
      </c>
      <c r="O602" s="6">
        <v>16881.349999999999</v>
      </c>
      <c r="P602" s="7">
        <v>0</v>
      </c>
      <c r="Q602" s="6">
        <v>0</v>
      </c>
    </row>
    <row r="603" spans="1:17">
      <c r="A603">
        <v>602</v>
      </c>
      <c r="B603" s="5">
        <v>45744</v>
      </c>
      <c r="C603" t="s">
        <v>172</v>
      </c>
      <c r="D603" t="s">
        <v>173</v>
      </c>
      <c r="E603" t="s">
        <v>174</v>
      </c>
      <c r="F603">
        <v>10</v>
      </c>
      <c r="G603" t="s">
        <v>498</v>
      </c>
      <c r="H603" t="s">
        <v>66</v>
      </c>
      <c r="I603" t="s">
        <v>22</v>
      </c>
      <c r="J603" t="s">
        <v>67</v>
      </c>
      <c r="K603" t="s">
        <v>34</v>
      </c>
      <c r="L603" s="6">
        <v>408.82</v>
      </c>
      <c r="M603" s="6">
        <v>0</v>
      </c>
      <c r="N603" s="6">
        <v>-408.82</v>
      </c>
      <c r="O603" s="6">
        <v>16472.53</v>
      </c>
      <c r="P603" s="7">
        <v>0</v>
      </c>
      <c r="Q603" s="6">
        <v>0</v>
      </c>
    </row>
    <row r="604" spans="1:17">
      <c r="A604">
        <v>603</v>
      </c>
      <c r="B604" s="5">
        <v>45744</v>
      </c>
      <c r="C604" t="s">
        <v>172</v>
      </c>
      <c r="D604" t="s">
        <v>173</v>
      </c>
      <c r="E604" t="s">
        <v>174</v>
      </c>
      <c r="F604">
        <v>10</v>
      </c>
      <c r="G604" t="s">
        <v>499</v>
      </c>
      <c r="H604" t="s">
        <v>66</v>
      </c>
      <c r="I604" t="s">
        <v>22</v>
      </c>
      <c r="J604" t="s">
        <v>67</v>
      </c>
      <c r="K604" t="s">
        <v>34</v>
      </c>
      <c r="L604" s="6">
        <v>5000</v>
      </c>
      <c r="M604" s="6">
        <v>0</v>
      </c>
      <c r="N604" s="6">
        <v>-5000</v>
      </c>
      <c r="O604" s="6">
        <v>11472.53</v>
      </c>
      <c r="P604" s="7">
        <v>0</v>
      </c>
      <c r="Q604" s="6">
        <v>0</v>
      </c>
    </row>
    <row r="605" spans="1:17">
      <c r="A605">
        <v>604</v>
      </c>
      <c r="B605" s="5">
        <v>45744</v>
      </c>
      <c r="C605" t="s">
        <v>172</v>
      </c>
      <c r="D605" t="s">
        <v>173</v>
      </c>
      <c r="E605" t="s">
        <v>174</v>
      </c>
      <c r="F605">
        <v>10</v>
      </c>
      <c r="G605" t="s">
        <v>500</v>
      </c>
      <c r="H605" t="s">
        <v>501</v>
      </c>
      <c r="I605" t="s">
        <v>16</v>
      </c>
      <c r="J605" t="s">
        <v>52</v>
      </c>
      <c r="K605" t="s">
        <v>35</v>
      </c>
      <c r="L605" s="6">
        <v>0</v>
      </c>
      <c r="M605" s="6">
        <v>50</v>
      </c>
      <c r="N605" s="6">
        <v>50</v>
      </c>
      <c r="O605" s="6">
        <v>11522.53</v>
      </c>
      <c r="P605" s="7">
        <v>0</v>
      </c>
      <c r="Q605" s="6">
        <v>0</v>
      </c>
    </row>
    <row r="606" spans="1:17">
      <c r="A606">
        <v>605</v>
      </c>
      <c r="B606" s="5">
        <v>45744</v>
      </c>
      <c r="C606" t="s">
        <v>172</v>
      </c>
      <c r="D606" t="s">
        <v>173</v>
      </c>
      <c r="E606" t="s">
        <v>174</v>
      </c>
      <c r="F606">
        <v>10</v>
      </c>
      <c r="G606" t="s">
        <v>500</v>
      </c>
      <c r="H606" t="s">
        <v>501</v>
      </c>
      <c r="I606" t="s">
        <v>16</v>
      </c>
      <c r="J606" t="s">
        <v>52</v>
      </c>
      <c r="K606" t="s">
        <v>35</v>
      </c>
      <c r="L606" s="6">
        <v>0</v>
      </c>
      <c r="M606" s="6">
        <v>50</v>
      </c>
      <c r="N606" s="6">
        <v>50</v>
      </c>
      <c r="O606" s="6">
        <v>11572.53</v>
      </c>
      <c r="P606" s="7">
        <v>0</v>
      </c>
      <c r="Q606" s="6">
        <v>0</v>
      </c>
    </row>
    <row r="607" spans="1:17">
      <c r="A607">
        <v>606</v>
      </c>
      <c r="B607" s="5">
        <v>45744</v>
      </c>
      <c r="C607" t="s">
        <v>172</v>
      </c>
      <c r="D607" t="s">
        <v>173</v>
      </c>
      <c r="E607" t="s">
        <v>174</v>
      </c>
      <c r="F607">
        <v>10</v>
      </c>
      <c r="G607" t="s">
        <v>502</v>
      </c>
      <c r="H607" t="s">
        <v>503</v>
      </c>
      <c r="I607" t="s">
        <v>16</v>
      </c>
      <c r="J607" t="s">
        <v>52</v>
      </c>
      <c r="K607" t="s">
        <v>35</v>
      </c>
      <c r="L607" s="6">
        <v>0</v>
      </c>
      <c r="M607" s="6">
        <v>301</v>
      </c>
      <c r="N607" s="6">
        <v>301</v>
      </c>
      <c r="O607" s="6">
        <v>11873.53</v>
      </c>
      <c r="P607" s="7">
        <v>0</v>
      </c>
      <c r="Q607" s="6">
        <v>0</v>
      </c>
    </row>
    <row r="608" spans="1:17">
      <c r="A608">
        <v>607</v>
      </c>
      <c r="B608" s="5">
        <v>45744</v>
      </c>
      <c r="C608" t="s">
        <v>172</v>
      </c>
      <c r="D608" t="s">
        <v>173</v>
      </c>
      <c r="E608" t="s">
        <v>174</v>
      </c>
      <c r="F608">
        <v>10</v>
      </c>
      <c r="G608" t="s">
        <v>435</v>
      </c>
      <c r="H608" t="s">
        <v>436</v>
      </c>
      <c r="I608" t="s">
        <v>16</v>
      </c>
      <c r="J608" t="s">
        <v>52</v>
      </c>
      <c r="K608" t="s">
        <v>35</v>
      </c>
      <c r="L608" s="6">
        <v>0</v>
      </c>
      <c r="M608" s="6">
        <v>500</v>
      </c>
      <c r="N608" s="6">
        <v>500</v>
      </c>
      <c r="O608" s="6">
        <v>12373.53</v>
      </c>
      <c r="P608" s="7">
        <v>0</v>
      </c>
      <c r="Q608" s="6">
        <v>0</v>
      </c>
    </row>
    <row r="609" spans="1:17">
      <c r="A609">
        <v>608</v>
      </c>
      <c r="B609" s="5">
        <v>45747</v>
      </c>
      <c r="C609" t="s">
        <v>172</v>
      </c>
      <c r="D609" t="s">
        <v>173</v>
      </c>
      <c r="E609" t="s">
        <v>174</v>
      </c>
      <c r="F609">
        <v>10</v>
      </c>
      <c r="G609" t="s">
        <v>504</v>
      </c>
      <c r="H609" t="s">
        <v>505</v>
      </c>
      <c r="I609" t="s">
        <v>16</v>
      </c>
      <c r="J609" t="s">
        <v>52</v>
      </c>
      <c r="K609" t="s">
        <v>35</v>
      </c>
      <c r="L609" s="6">
        <v>0</v>
      </c>
      <c r="M609" s="6">
        <v>200</v>
      </c>
      <c r="N609" s="6">
        <v>200</v>
      </c>
      <c r="O609" s="6">
        <v>12573.53</v>
      </c>
      <c r="P609" s="7">
        <v>0</v>
      </c>
      <c r="Q609" s="6">
        <v>0</v>
      </c>
    </row>
    <row r="610" spans="1:17">
      <c r="A610">
        <v>609</v>
      </c>
      <c r="B610" s="5">
        <v>45747</v>
      </c>
      <c r="C610" t="s">
        <v>172</v>
      </c>
      <c r="D610" t="s">
        <v>173</v>
      </c>
      <c r="E610" t="s">
        <v>174</v>
      </c>
      <c r="F610">
        <v>10</v>
      </c>
      <c r="G610" t="s">
        <v>504</v>
      </c>
      <c r="H610" t="s">
        <v>505</v>
      </c>
      <c r="I610" t="s">
        <v>16</v>
      </c>
      <c r="J610" t="s">
        <v>52</v>
      </c>
      <c r="K610" t="s">
        <v>35</v>
      </c>
      <c r="L610" s="6">
        <v>0</v>
      </c>
      <c r="M610" s="6">
        <v>50</v>
      </c>
      <c r="N610" s="6">
        <v>50</v>
      </c>
      <c r="O610" s="6">
        <v>12623.53</v>
      </c>
      <c r="P610" s="7">
        <v>0</v>
      </c>
      <c r="Q610" s="6">
        <v>0</v>
      </c>
    </row>
    <row r="611" spans="1:17">
      <c r="A611">
        <v>610</v>
      </c>
      <c r="B611" s="5">
        <v>45747</v>
      </c>
      <c r="C611" t="s">
        <v>172</v>
      </c>
      <c r="D611" t="s">
        <v>173</v>
      </c>
      <c r="E611" t="s">
        <v>174</v>
      </c>
      <c r="F611">
        <v>10</v>
      </c>
      <c r="G611" t="s">
        <v>435</v>
      </c>
      <c r="H611" t="s">
        <v>436</v>
      </c>
      <c r="I611" t="s">
        <v>16</v>
      </c>
      <c r="J611" t="s">
        <v>52</v>
      </c>
      <c r="K611" t="s">
        <v>35</v>
      </c>
      <c r="L611" s="6">
        <v>0</v>
      </c>
      <c r="M611" s="6">
        <v>250</v>
      </c>
      <c r="N611" s="6">
        <v>250</v>
      </c>
      <c r="O611" s="6">
        <v>12873.53</v>
      </c>
      <c r="P611" s="7">
        <v>0</v>
      </c>
      <c r="Q611" s="6">
        <v>0</v>
      </c>
    </row>
    <row r="612" spans="1:17">
      <c r="A612">
        <v>611</v>
      </c>
      <c r="B612" s="5">
        <v>45747</v>
      </c>
      <c r="C612" t="s">
        <v>172</v>
      </c>
      <c r="D612" t="s">
        <v>173</v>
      </c>
      <c r="E612" t="s">
        <v>174</v>
      </c>
      <c r="F612">
        <v>10</v>
      </c>
      <c r="G612" t="s">
        <v>372</v>
      </c>
      <c r="H612" t="s">
        <v>373</v>
      </c>
      <c r="I612" t="s">
        <v>16</v>
      </c>
      <c r="J612" t="s">
        <v>52</v>
      </c>
      <c r="K612" t="s">
        <v>35</v>
      </c>
      <c r="L612" s="6">
        <v>0</v>
      </c>
      <c r="M612" s="6">
        <v>100</v>
      </c>
      <c r="N612" s="6">
        <v>100</v>
      </c>
      <c r="O612" s="6">
        <v>12973.53</v>
      </c>
      <c r="P612" s="7">
        <v>0</v>
      </c>
      <c r="Q612" s="6">
        <v>0</v>
      </c>
    </row>
    <row r="613" spans="1:17">
      <c r="A613">
        <v>612</v>
      </c>
      <c r="B613" s="5">
        <v>45747</v>
      </c>
      <c r="C613" t="s">
        <v>172</v>
      </c>
      <c r="D613" t="s">
        <v>173</v>
      </c>
      <c r="E613" t="s">
        <v>174</v>
      </c>
      <c r="F613">
        <v>10</v>
      </c>
      <c r="G613" t="s">
        <v>506</v>
      </c>
      <c r="H613" t="s">
        <v>507</v>
      </c>
      <c r="I613" t="s">
        <v>16</v>
      </c>
      <c r="J613" t="s">
        <v>52</v>
      </c>
      <c r="K613" t="s">
        <v>35</v>
      </c>
      <c r="L613" s="6">
        <v>0</v>
      </c>
      <c r="M613" s="6">
        <v>200</v>
      </c>
      <c r="N613" s="6">
        <v>200</v>
      </c>
      <c r="O613" s="6">
        <v>13173.53</v>
      </c>
      <c r="P613" s="7">
        <v>0</v>
      </c>
      <c r="Q613" s="6">
        <v>0</v>
      </c>
    </row>
    <row r="614" spans="1:17">
      <c r="A614">
        <v>613</v>
      </c>
      <c r="B614" s="5">
        <v>45747</v>
      </c>
      <c r="C614" t="s">
        <v>172</v>
      </c>
      <c r="D614" t="s">
        <v>173</v>
      </c>
      <c r="E614" t="s">
        <v>174</v>
      </c>
      <c r="F614">
        <v>10</v>
      </c>
      <c r="G614" t="s">
        <v>508</v>
      </c>
      <c r="H614" t="s">
        <v>509</v>
      </c>
      <c r="I614" t="s">
        <v>16</v>
      </c>
      <c r="J614" t="s">
        <v>52</v>
      </c>
      <c r="K614" t="s">
        <v>35</v>
      </c>
      <c r="L614" s="6">
        <v>0</v>
      </c>
      <c r="M614" s="6">
        <v>1000</v>
      </c>
      <c r="N614" s="6">
        <v>1000</v>
      </c>
      <c r="O614" s="6">
        <v>14173.53</v>
      </c>
      <c r="P614" s="7">
        <v>0</v>
      </c>
      <c r="Q614" s="6">
        <v>0</v>
      </c>
    </row>
    <row r="615" spans="1:17">
      <c r="A615">
        <v>614</v>
      </c>
      <c r="B615" s="5">
        <v>45747</v>
      </c>
      <c r="C615" t="s">
        <v>172</v>
      </c>
      <c r="D615" t="s">
        <v>173</v>
      </c>
      <c r="E615" t="s">
        <v>174</v>
      </c>
      <c r="F615">
        <v>10</v>
      </c>
      <c r="G615" t="s">
        <v>199</v>
      </c>
      <c r="H615" t="s">
        <v>200</v>
      </c>
      <c r="I615" t="s">
        <v>16</v>
      </c>
      <c r="J615" t="s">
        <v>52</v>
      </c>
      <c r="K615" t="s">
        <v>35</v>
      </c>
      <c r="L615" s="6">
        <v>0</v>
      </c>
      <c r="M615" s="6">
        <v>5000</v>
      </c>
      <c r="N615" s="6">
        <v>5000</v>
      </c>
      <c r="O615" s="6">
        <v>19173.53</v>
      </c>
      <c r="P615" s="7">
        <v>0</v>
      </c>
      <c r="Q615" s="6">
        <v>0</v>
      </c>
    </row>
    <row r="616" spans="1:17">
      <c r="A616">
        <v>615</v>
      </c>
      <c r="B616" s="5">
        <v>45747</v>
      </c>
      <c r="C616" t="s">
        <v>172</v>
      </c>
      <c r="D616" t="s">
        <v>173</v>
      </c>
      <c r="E616" t="s">
        <v>174</v>
      </c>
      <c r="F616">
        <v>10</v>
      </c>
      <c r="G616" t="s">
        <v>199</v>
      </c>
      <c r="H616" t="s">
        <v>200</v>
      </c>
      <c r="I616" t="s">
        <v>16</v>
      </c>
      <c r="J616" t="s">
        <v>52</v>
      </c>
      <c r="K616" t="s">
        <v>35</v>
      </c>
      <c r="L616" s="6">
        <v>0</v>
      </c>
      <c r="M616" s="6">
        <v>5000</v>
      </c>
      <c r="N616" s="6">
        <v>5000</v>
      </c>
      <c r="O616" s="6">
        <v>24173.53</v>
      </c>
      <c r="P616" s="7">
        <v>0</v>
      </c>
      <c r="Q616" s="6">
        <v>0</v>
      </c>
    </row>
    <row r="617" spans="1:17">
      <c r="A617">
        <v>616</v>
      </c>
      <c r="B617" s="5">
        <v>45747</v>
      </c>
      <c r="C617" t="s">
        <v>172</v>
      </c>
      <c r="D617" t="s">
        <v>173</v>
      </c>
      <c r="E617" t="s">
        <v>174</v>
      </c>
      <c r="F617">
        <v>10</v>
      </c>
      <c r="G617" t="s">
        <v>199</v>
      </c>
      <c r="H617" t="s">
        <v>200</v>
      </c>
      <c r="I617" t="s">
        <v>16</v>
      </c>
      <c r="J617" t="s">
        <v>52</v>
      </c>
      <c r="K617" t="s">
        <v>35</v>
      </c>
      <c r="L617" s="6">
        <v>0</v>
      </c>
      <c r="M617" s="6">
        <v>3000</v>
      </c>
      <c r="N617" s="6">
        <v>3000</v>
      </c>
      <c r="O617" s="6">
        <v>27173.53</v>
      </c>
      <c r="P617" s="7">
        <v>0</v>
      </c>
      <c r="Q617" s="6">
        <v>0</v>
      </c>
    </row>
    <row r="618" spans="1:17">
      <c r="A618">
        <v>617</v>
      </c>
      <c r="B618" s="5">
        <v>45747</v>
      </c>
      <c r="C618" t="s">
        <v>172</v>
      </c>
      <c r="D618" t="s">
        <v>173</v>
      </c>
      <c r="E618" t="s">
        <v>174</v>
      </c>
      <c r="F618">
        <v>10</v>
      </c>
      <c r="G618" t="s">
        <v>312</v>
      </c>
      <c r="H618" t="s">
        <v>313</v>
      </c>
      <c r="I618" t="s">
        <v>16</v>
      </c>
      <c r="J618" t="s">
        <v>52</v>
      </c>
      <c r="K618" t="s">
        <v>35</v>
      </c>
      <c r="L618" s="6">
        <v>0</v>
      </c>
      <c r="M618" s="6">
        <v>2000</v>
      </c>
      <c r="N618" s="6">
        <v>2000</v>
      </c>
      <c r="O618" s="6">
        <v>29173.53</v>
      </c>
      <c r="P618" s="7">
        <v>0</v>
      </c>
      <c r="Q618" s="6">
        <v>0</v>
      </c>
    </row>
    <row r="619" spans="1:17">
      <c r="A619">
        <v>618</v>
      </c>
      <c r="B619" s="5">
        <v>45747</v>
      </c>
      <c r="C619" t="s">
        <v>172</v>
      </c>
      <c r="D619" t="s">
        <v>173</v>
      </c>
      <c r="E619" t="s">
        <v>174</v>
      </c>
      <c r="F619">
        <v>10</v>
      </c>
      <c r="G619" t="s">
        <v>190</v>
      </c>
      <c r="H619" t="s">
        <v>112</v>
      </c>
      <c r="I619" t="s">
        <v>16</v>
      </c>
      <c r="J619" t="s">
        <v>52</v>
      </c>
      <c r="K619" t="s">
        <v>35</v>
      </c>
      <c r="L619" s="6">
        <v>0</v>
      </c>
      <c r="M619" s="6">
        <v>20000</v>
      </c>
      <c r="N619" s="6">
        <v>20000</v>
      </c>
      <c r="O619" s="6">
        <v>49173.53</v>
      </c>
      <c r="P619" s="7">
        <v>0</v>
      </c>
      <c r="Q619" s="6">
        <v>0</v>
      </c>
    </row>
    <row r="620" spans="1:17">
      <c r="A620">
        <v>619</v>
      </c>
      <c r="B620" s="5">
        <v>45747</v>
      </c>
      <c r="C620" t="s">
        <v>172</v>
      </c>
      <c r="D620" t="s">
        <v>173</v>
      </c>
      <c r="E620" t="s">
        <v>174</v>
      </c>
      <c r="F620">
        <v>10</v>
      </c>
      <c r="G620" t="s">
        <v>199</v>
      </c>
      <c r="H620" t="s">
        <v>200</v>
      </c>
      <c r="I620" t="s">
        <v>16</v>
      </c>
      <c r="J620" t="s">
        <v>52</v>
      </c>
      <c r="K620" t="s">
        <v>35</v>
      </c>
      <c r="L620" s="6">
        <v>0</v>
      </c>
      <c r="M620" s="6">
        <v>2500</v>
      </c>
      <c r="N620" s="6">
        <v>2500</v>
      </c>
      <c r="O620" s="6">
        <v>51673.53</v>
      </c>
      <c r="P620" s="7">
        <v>0</v>
      </c>
      <c r="Q620" s="6">
        <v>0</v>
      </c>
    </row>
    <row r="621" spans="1:17">
      <c r="A621">
        <v>620</v>
      </c>
      <c r="B621" s="5">
        <v>45747</v>
      </c>
      <c r="C621" t="s">
        <v>172</v>
      </c>
      <c r="D621" t="s">
        <v>173</v>
      </c>
      <c r="E621" t="s">
        <v>174</v>
      </c>
      <c r="F621">
        <v>10</v>
      </c>
      <c r="G621" t="s">
        <v>510</v>
      </c>
      <c r="H621" t="s">
        <v>511</v>
      </c>
      <c r="I621" t="s">
        <v>16</v>
      </c>
      <c r="J621" t="s">
        <v>52</v>
      </c>
      <c r="K621" t="s">
        <v>35</v>
      </c>
      <c r="L621" s="6">
        <v>0</v>
      </c>
      <c r="M621" s="6">
        <v>2000</v>
      </c>
      <c r="N621" s="6">
        <v>2000</v>
      </c>
      <c r="O621" s="6">
        <v>53673.53</v>
      </c>
      <c r="P621" s="7">
        <v>0</v>
      </c>
      <c r="Q621" s="6">
        <v>0</v>
      </c>
    </row>
    <row r="622" spans="1:17">
      <c r="A622">
        <v>621</v>
      </c>
      <c r="B622" s="5">
        <v>45747</v>
      </c>
      <c r="C622" t="s">
        <v>172</v>
      </c>
      <c r="D622" t="s">
        <v>173</v>
      </c>
      <c r="E622" t="s">
        <v>174</v>
      </c>
      <c r="F622">
        <v>10</v>
      </c>
      <c r="G622" t="s">
        <v>512</v>
      </c>
      <c r="H622" t="s">
        <v>66</v>
      </c>
      <c r="I622" t="s">
        <v>22</v>
      </c>
      <c r="J622" t="s">
        <v>67</v>
      </c>
      <c r="K622" t="s">
        <v>34</v>
      </c>
      <c r="L622" s="6">
        <v>3000</v>
      </c>
      <c r="M622" s="6">
        <v>0</v>
      </c>
      <c r="N622" s="6">
        <v>-3000</v>
      </c>
      <c r="O622" s="6">
        <v>50673.53</v>
      </c>
      <c r="P622" s="7">
        <v>0</v>
      </c>
      <c r="Q622" s="6">
        <v>0</v>
      </c>
    </row>
    <row r="623" spans="1:17">
      <c r="A623">
        <v>622</v>
      </c>
      <c r="B623" s="5">
        <v>45747</v>
      </c>
      <c r="C623" t="s">
        <v>172</v>
      </c>
      <c r="D623" t="s">
        <v>173</v>
      </c>
      <c r="E623" t="s">
        <v>174</v>
      </c>
      <c r="F623">
        <v>10</v>
      </c>
      <c r="G623" t="s">
        <v>513</v>
      </c>
      <c r="H623" t="s">
        <v>66</v>
      </c>
      <c r="I623" t="s">
        <v>22</v>
      </c>
      <c r="J623" t="s">
        <v>67</v>
      </c>
      <c r="K623" t="s">
        <v>34</v>
      </c>
      <c r="L623" s="6">
        <v>200</v>
      </c>
      <c r="M623" s="6">
        <v>0</v>
      </c>
      <c r="N623" s="6">
        <v>-200</v>
      </c>
      <c r="O623" s="6">
        <v>50473.53</v>
      </c>
      <c r="P623" s="7">
        <v>0</v>
      </c>
      <c r="Q623" s="6">
        <v>0</v>
      </c>
    </row>
    <row r="624" spans="1:17">
      <c r="A624">
        <v>623</v>
      </c>
      <c r="B624" s="5">
        <v>45747</v>
      </c>
      <c r="C624" t="s">
        <v>172</v>
      </c>
      <c r="D624" t="s">
        <v>173</v>
      </c>
      <c r="E624" t="s">
        <v>174</v>
      </c>
      <c r="F624">
        <v>10</v>
      </c>
      <c r="G624" t="s">
        <v>514</v>
      </c>
      <c r="H624" t="s">
        <v>66</v>
      </c>
      <c r="I624" t="s">
        <v>22</v>
      </c>
      <c r="J624" t="s">
        <v>67</v>
      </c>
      <c r="K624" t="s">
        <v>34</v>
      </c>
      <c r="L624" s="6">
        <v>809.43</v>
      </c>
      <c r="M624" s="6">
        <v>0</v>
      </c>
      <c r="N624" s="6">
        <v>-809.43</v>
      </c>
      <c r="O624" s="6">
        <v>49664.1</v>
      </c>
      <c r="P624" s="7">
        <v>0</v>
      </c>
      <c r="Q624" s="6">
        <v>0</v>
      </c>
    </row>
    <row r="625" spans="1:17">
      <c r="A625">
        <v>624</v>
      </c>
      <c r="B625" s="5">
        <v>45747</v>
      </c>
      <c r="C625" t="s">
        <v>172</v>
      </c>
      <c r="D625" t="s">
        <v>173</v>
      </c>
      <c r="E625" t="s">
        <v>174</v>
      </c>
      <c r="F625">
        <v>10</v>
      </c>
      <c r="G625" t="s">
        <v>515</v>
      </c>
      <c r="H625" t="s">
        <v>66</v>
      </c>
      <c r="I625" t="s">
        <v>22</v>
      </c>
      <c r="J625" t="s">
        <v>67</v>
      </c>
      <c r="K625" t="s">
        <v>34</v>
      </c>
      <c r="L625" s="6">
        <v>2820.82</v>
      </c>
      <c r="M625" s="6">
        <v>0</v>
      </c>
      <c r="N625" s="6">
        <v>-2820.82</v>
      </c>
      <c r="O625" s="6">
        <v>46843.28</v>
      </c>
      <c r="P625" s="7">
        <v>0</v>
      </c>
      <c r="Q625" s="6">
        <v>0</v>
      </c>
    </row>
    <row r="626" spans="1:17">
      <c r="A626">
        <v>625</v>
      </c>
      <c r="B626" s="5">
        <v>45747</v>
      </c>
      <c r="C626" t="s">
        <v>172</v>
      </c>
      <c r="D626" t="s">
        <v>173</v>
      </c>
      <c r="E626" t="s">
        <v>174</v>
      </c>
      <c r="F626">
        <v>10</v>
      </c>
      <c r="G626" t="s">
        <v>516</v>
      </c>
      <c r="H626" t="s">
        <v>66</v>
      </c>
      <c r="I626" t="s">
        <v>22</v>
      </c>
      <c r="J626" t="s">
        <v>67</v>
      </c>
      <c r="K626" t="s">
        <v>34</v>
      </c>
      <c r="L626" s="6">
        <v>226</v>
      </c>
      <c r="M626" s="6">
        <v>0</v>
      </c>
      <c r="N626" s="6">
        <v>-226</v>
      </c>
      <c r="O626" s="6">
        <v>46617.279999999999</v>
      </c>
      <c r="P626" s="7">
        <v>0</v>
      </c>
      <c r="Q626" s="6">
        <v>0</v>
      </c>
    </row>
    <row r="627" spans="1:17">
      <c r="A627">
        <v>626</v>
      </c>
      <c r="B627" s="5">
        <v>45747</v>
      </c>
      <c r="C627" t="s">
        <v>172</v>
      </c>
      <c r="D627" t="s">
        <v>173</v>
      </c>
      <c r="E627" t="s">
        <v>174</v>
      </c>
      <c r="F627">
        <v>10</v>
      </c>
      <c r="G627" t="s">
        <v>517</v>
      </c>
      <c r="H627" t="s">
        <v>518</v>
      </c>
      <c r="I627" t="s">
        <v>16</v>
      </c>
      <c r="J627" t="s">
        <v>52</v>
      </c>
      <c r="K627" t="s">
        <v>35</v>
      </c>
      <c r="L627" s="6">
        <v>0</v>
      </c>
      <c r="M627" s="6">
        <v>300</v>
      </c>
      <c r="N627" s="6">
        <v>300</v>
      </c>
      <c r="O627" s="6">
        <v>46917.279999999999</v>
      </c>
      <c r="P627" s="7">
        <v>0</v>
      </c>
      <c r="Q627" s="6">
        <v>0</v>
      </c>
    </row>
    <row r="628" spans="1:17">
      <c r="A628">
        <v>627</v>
      </c>
      <c r="B628" s="5">
        <v>45747</v>
      </c>
      <c r="C628" t="s">
        <v>172</v>
      </c>
      <c r="D628" t="s">
        <v>173</v>
      </c>
      <c r="E628" t="s">
        <v>174</v>
      </c>
      <c r="F628">
        <v>10</v>
      </c>
      <c r="G628" t="s">
        <v>519</v>
      </c>
      <c r="H628" t="s">
        <v>520</v>
      </c>
      <c r="I628" t="s">
        <v>16</v>
      </c>
      <c r="J628" t="s">
        <v>52</v>
      </c>
      <c r="K628" t="s">
        <v>35</v>
      </c>
      <c r="L628" s="6">
        <v>0</v>
      </c>
      <c r="M628" s="6">
        <v>2000</v>
      </c>
      <c r="N628" s="6">
        <v>2000</v>
      </c>
      <c r="O628" s="6">
        <v>48917.279999999999</v>
      </c>
      <c r="P628" s="7">
        <v>0</v>
      </c>
      <c r="Q628" s="6">
        <v>0</v>
      </c>
    </row>
    <row r="629" spans="1:17">
      <c r="A629">
        <v>628</v>
      </c>
      <c r="B629" s="5">
        <v>45747</v>
      </c>
      <c r="C629" t="s">
        <v>172</v>
      </c>
      <c r="D629" t="s">
        <v>173</v>
      </c>
      <c r="E629" t="s">
        <v>174</v>
      </c>
      <c r="F629">
        <v>10</v>
      </c>
      <c r="G629" t="s">
        <v>521</v>
      </c>
      <c r="H629" t="s">
        <v>522</v>
      </c>
      <c r="I629" t="s">
        <v>16</v>
      </c>
      <c r="J629" t="s">
        <v>52</v>
      </c>
      <c r="K629" t="s">
        <v>35</v>
      </c>
      <c r="L629" s="6">
        <v>0</v>
      </c>
      <c r="M629" s="6">
        <v>5000</v>
      </c>
      <c r="N629" s="6">
        <v>5000</v>
      </c>
      <c r="O629" s="6">
        <v>53917.279999999999</v>
      </c>
      <c r="P629" s="7">
        <v>0</v>
      </c>
      <c r="Q629" s="6">
        <v>0</v>
      </c>
    </row>
    <row r="630" spans="1:17">
      <c r="A630">
        <v>629</v>
      </c>
      <c r="B630" s="5">
        <v>45747</v>
      </c>
      <c r="C630" t="s">
        <v>172</v>
      </c>
      <c r="D630" t="s">
        <v>173</v>
      </c>
      <c r="E630" t="s">
        <v>174</v>
      </c>
      <c r="F630">
        <v>10</v>
      </c>
      <c r="G630" t="s">
        <v>523</v>
      </c>
      <c r="H630" t="s">
        <v>66</v>
      </c>
      <c r="I630" t="s">
        <v>22</v>
      </c>
      <c r="J630" t="s">
        <v>67</v>
      </c>
      <c r="K630" t="s">
        <v>34</v>
      </c>
      <c r="L630" s="6">
        <v>996.25</v>
      </c>
      <c r="M630" s="6">
        <v>0</v>
      </c>
      <c r="N630" s="6">
        <v>-996.25</v>
      </c>
      <c r="O630" s="6">
        <v>52921.03</v>
      </c>
      <c r="P630" s="7">
        <v>0</v>
      </c>
      <c r="Q630" s="6">
        <v>0</v>
      </c>
    </row>
    <row r="631" spans="1:17">
      <c r="A631">
        <v>630</v>
      </c>
      <c r="B631" s="5">
        <v>45747</v>
      </c>
      <c r="C631" t="s">
        <v>172</v>
      </c>
      <c r="D631" t="s">
        <v>173</v>
      </c>
      <c r="E631" t="s">
        <v>174</v>
      </c>
      <c r="F631">
        <v>10</v>
      </c>
      <c r="G631" t="s">
        <v>524</v>
      </c>
      <c r="H631" t="s">
        <v>66</v>
      </c>
      <c r="I631" t="s">
        <v>22</v>
      </c>
      <c r="J631" t="s">
        <v>67</v>
      </c>
      <c r="K631" t="s">
        <v>34</v>
      </c>
      <c r="L631" s="6">
        <v>100</v>
      </c>
      <c r="M631" s="6">
        <v>0</v>
      </c>
      <c r="N631" s="6">
        <v>-100</v>
      </c>
      <c r="O631" s="6">
        <v>52821.03</v>
      </c>
      <c r="P631" s="7">
        <v>0</v>
      </c>
      <c r="Q631" s="6">
        <v>0</v>
      </c>
    </row>
    <row r="632" spans="1:17">
      <c r="A632">
        <v>631</v>
      </c>
      <c r="B632" s="5">
        <v>45747</v>
      </c>
      <c r="C632" t="s">
        <v>172</v>
      </c>
      <c r="D632" t="s">
        <v>173</v>
      </c>
      <c r="E632" t="s">
        <v>174</v>
      </c>
      <c r="F632">
        <v>10</v>
      </c>
      <c r="G632" t="s">
        <v>353</v>
      </c>
      <c r="H632" t="s">
        <v>354</v>
      </c>
      <c r="I632" t="s">
        <v>16</v>
      </c>
      <c r="J632" t="s">
        <v>52</v>
      </c>
      <c r="K632" t="s">
        <v>35</v>
      </c>
      <c r="L632" s="6">
        <v>0</v>
      </c>
      <c r="M632" s="6">
        <v>105</v>
      </c>
      <c r="N632" s="6">
        <v>105</v>
      </c>
      <c r="O632" s="6">
        <v>52926.03</v>
      </c>
      <c r="P632" s="7">
        <v>0</v>
      </c>
      <c r="Q632" s="6">
        <v>0</v>
      </c>
    </row>
    <row r="633" spans="1:17">
      <c r="A633">
        <v>632</v>
      </c>
      <c r="B633" s="5">
        <v>45747</v>
      </c>
      <c r="C633" t="s">
        <v>172</v>
      </c>
      <c r="D633" t="s">
        <v>173</v>
      </c>
      <c r="E633" t="s">
        <v>174</v>
      </c>
      <c r="F633">
        <v>10</v>
      </c>
      <c r="G633" t="s">
        <v>346</v>
      </c>
      <c r="I633" t="s">
        <v>14</v>
      </c>
      <c r="J633" t="s">
        <v>46</v>
      </c>
      <c r="K633" t="s">
        <v>34</v>
      </c>
      <c r="L633" s="6">
        <v>89</v>
      </c>
      <c r="M633" s="6">
        <v>0</v>
      </c>
      <c r="N633" s="6">
        <v>-89</v>
      </c>
      <c r="O633" s="6">
        <v>52837.03</v>
      </c>
      <c r="P633" s="7">
        <v>0.15</v>
      </c>
      <c r="Q633" s="6">
        <v>11.61</v>
      </c>
    </row>
    <row r="634" spans="1:17">
      <c r="A634">
        <v>633</v>
      </c>
      <c r="B634" s="5">
        <v>45748</v>
      </c>
      <c r="C634" t="s">
        <v>525</v>
      </c>
      <c r="D634" t="s">
        <v>526</v>
      </c>
      <c r="E634" t="s">
        <v>527</v>
      </c>
      <c r="F634">
        <v>1</v>
      </c>
      <c r="G634" t="s">
        <v>528</v>
      </c>
      <c r="H634" t="s">
        <v>529</v>
      </c>
      <c r="I634" t="s">
        <v>16</v>
      </c>
      <c r="J634" t="s">
        <v>52</v>
      </c>
      <c r="K634" t="s">
        <v>35</v>
      </c>
      <c r="L634" s="6">
        <v>0</v>
      </c>
      <c r="M634" s="6">
        <v>100</v>
      </c>
      <c r="N634" s="6">
        <v>100</v>
      </c>
      <c r="O634" s="6">
        <v>52937.03</v>
      </c>
      <c r="P634" s="7">
        <v>0</v>
      </c>
      <c r="Q634" s="6">
        <v>0</v>
      </c>
    </row>
    <row r="635" spans="1:17">
      <c r="A635">
        <v>634</v>
      </c>
      <c r="B635" s="5">
        <v>45748</v>
      </c>
      <c r="C635" t="s">
        <v>525</v>
      </c>
      <c r="D635" t="s">
        <v>526</v>
      </c>
      <c r="E635" t="s">
        <v>527</v>
      </c>
      <c r="F635">
        <v>1</v>
      </c>
      <c r="G635" t="s">
        <v>440</v>
      </c>
      <c r="H635" t="s">
        <v>441</v>
      </c>
      <c r="I635" t="s">
        <v>16</v>
      </c>
      <c r="J635" t="s">
        <v>52</v>
      </c>
      <c r="K635" t="s">
        <v>35</v>
      </c>
      <c r="L635" s="6">
        <v>0</v>
      </c>
      <c r="M635" s="6">
        <v>2000</v>
      </c>
      <c r="N635" s="6">
        <v>2000</v>
      </c>
      <c r="O635" s="6">
        <v>54937.03</v>
      </c>
      <c r="P635" s="7">
        <v>0</v>
      </c>
      <c r="Q635" s="6">
        <v>0</v>
      </c>
    </row>
    <row r="636" spans="1:17">
      <c r="A636">
        <v>635</v>
      </c>
      <c r="B636" s="5">
        <v>45748</v>
      </c>
      <c r="C636" t="s">
        <v>525</v>
      </c>
      <c r="D636" t="s">
        <v>526</v>
      </c>
      <c r="E636" t="s">
        <v>527</v>
      </c>
      <c r="F636">
        <v>1</v>
      </c>
      <c r="G636" t="s">
        <v>530</v>
      </c>
      <c r="H636" t="s">
        <v>66</v>
      </c>
      <c r="I636" t="s">
        <v>22</v>
      </c>
      <c r="J636" t="s">
        <v>67</v>
      </c>
      <c r="K636" t="s">
        <v>34</v>
      </c>
      <c r="L636" s="6">
        <v>5000</v>
      </c>
      <c r="M636" s="6">
        <v>0</v>
      </c>
      <c r="N636" s="6">
        <v>-5000</v>
      </c>
      <c r="O636" s="6">
        <v>49937.03</v>
      </c>
      <c r="P636" s="7">
        <v>0</v>
      </c>
      <c r="Q636" s="6">
        <v>0</v>
      </c>
    </row>
    <row r="637" spans="1:17">
      <c r="A637">
        <v>636</v>
      </c>
      <c r="B637" s="5">
        <v>45748</v>
      </c>
      <c r="C637" t="s">
        <v>525</v>
      </c>
      <c r="D637" t="s">
        <v>526</v>
      </c>
      <c r="E637" t="s">
        <v>527</v>
      </c>
      <c r="F637">
        <v>1</v>
      </c>
      <c r="G637" t="s">
        <v>531</v>
      </c>
      <c r="H637" t="s">
        <v>66</v>
      </c>
      <c r="I637" t="s">
        <v>22</v>
      </c>
      <c r="J637" t="s">
        <v>67</v>
      </c>
      <c r="K637" t="s">
        <v>34</v>
      </c>
      <c r="L637" s="6">
        <v>4120.2299999999996</v>
      </c>
      <c r="M637" s="6">
        <v>0</v>
      </c>
      <c r="N637" s="6">
        <v>-4120.2299999999996</v>
      </c>
      <c r="O637" s="6">
        <v>45816.800000000003</v>
      </c>
      <c r="P637" s="7">
        <v>0</v>
      </c>
      <c r="Q637" s="6">
        <v>0</v>
      </c>
    </row>
    <row r="638" spans="1:17">
      <c r="A638">
        <v>637</v>
      </c>
      <c r="B638" s="5">
        <v>45748</v>
      </c>
      <c r="C638" t="s">
        <v>525</v>
      </c>
      <c r="D638" t="s">
        <v>526</v>
      </c>
      <c r="E638" t="s">
        <v>527</v>
      </c>
      <c r="F638">
        <v>1</v>
      </c>
      <c r="G638" t="s">
        <v>521</v>
      </c>
      <c r="H638" t="s">
        <v>522</v>
      </c>
      <c r="I638" t="s">
        <v>16</v>
      </c>
      <c r="J638" t="s">
        <v>52</v>
      </c>
      <c r="K638" t="s">
        <v>35</v>
      </c>
      <c r="L638" s="6">
        <v>0</v>
      </c>
      <c r="M638" s="6">
        <v>5095</v>
      </c>
      <c r="N638" s="6">
        <v>5095</v>
      </c>
      <c r="O638" s="6">
        <v>50911.8</v>
      </c>
      <c r="P638" s="7">
        <v>0</v>
      </c>
      <c r="Q638" s="6">
        <v>0</v>
      </c>
    </row>
    <row r="639" spans="1:17">
      <c r="A639">
        <v>638</v>
      </c>
      <c r="B639" s="5">
        <v>45748</v>
      </c>
      <c r="C639" t="s">
        <v>525</v>
      </c>
      <c r="D639" t="s">
        <v>526</v>
      </c>
      <c r="E639" t="s">
        <v>527</v>
      </c>
      <c r="F639">
        <v>1</v>
      </c>
      <c r="G639" t="s">
        <v>483</v>
      </c>
      <c r="H639" t="s">
        <v>484</v>
      </c>
      <c r="I639" t="s">
        <v>16</v>
      </c>
      <c r="J639" t="s">
        <v>52</v>
      </c>
      <c r="K639" t="s">
        <v>35</v>
      </c>
      <c r="L639" s="6">
        <v>0</v>
      </c>
      <c r="M639" s="6">
        <v>300</v>
      </c>
      <c r="N639" s="6">
        <v>300</v>
      </c>
      <c r="O639" s="6">
        <v>51211.8</v>
      </c>
      <c r="P639" s="7">
        <v>0</v>
      </c>
      <c r="Q639" s="6">
        <v>0</v>
      </c>
    </row>
    <row r="640" spans="1:17">
      <c r="A640">
        <v>639</v>
      </c>
      <c r="B640" s="5">
        <v>45748</v>
      </c>
      <c r="C640" t="s">
        <v>525</v>
      </c>
      <c r="D640" t="s">
        <v>526</v>
      </c>
      <c r="E640" t="s">
        <v>527</v>
      </c>
      <c r="F640">
        <v>1</v>
      </c>
      <c r="G640" t="s">
        <v>521</v>
      </c>
      <c r="H640" t="s">
        <v>522</v>
      </c>
      <c r="I640" t="s">
        <v>16</v>
      </c>
      <c r="J640" t="s">
        <v>52</v>
      </c>
      <c r="K640" t="s">
        <v>35</v>
      </c>
      <c r="L640" s="6">
        <v>0</v>
      </c>
      <c r="M640" s="6">
        <v>2236</v>
      </c>
      <c r="N640" s="6">
        <v>2236</v>
      </c>
      <c r="O640" s="6">
        <v>53447.8</v>
      </c>
      <c r="P640" s="7">
        <v>0</v>
      </c>
      <c r="Q640" s="6">
        <v>0</v>
      </c>
    </row>
    <row r="641" spans="1:17">
      <c r="A641">
        <v>640</v>
      </c>
      <c r="B641" s="5">
        <v>45748</v>
      </c>
      <c r="C641" t="s">
        <v>525</v>
      </c>
      <c r="D641" t="s">
        <v>526</v>
      </c>
      <c r="E641" t="s">
        <v>527</v>
      </c>
      <c r="F641">
        <v>1</v>
      </c>
      <c r="G641" t="s">
        <v>202</v>
      </c>
      <c r="H641" t="s">
        <v>134</v>
      </c>
      <c r="I641" t="s">
        <v>16</v>
      </c>
      <c r="J641" t="s">
        <v>52</v>
      </c>
      <c r="K641" t="s">
        <v>35</v>
      </c>
      <c r="L641" s="6">
        <v>0</v>
      </c>
      <c r="M641" s="6">
        <v>5000</v>
      </c>
      <c r="N641" s="6">
        <v>5000</v>
      </c>
      <c r="O641" s="6">
        <v>58447.8</v>
      </c>
      <c r="P641" s="7">
        <v>0</v>
      </c>
      <c r="Q641" s="6">
        <v>0</v>
      </c>
    </row>
    <row r="642" spans="1:17">
      <c r="A642">
        <v>641</v>
      </c>
      <c r="B642" s="5">
        <v>45748</v>
      </c>
      <c r="C642" t="s">
        <v>525</v>
      </c>
      <c r="D642" t="s">
        <v>526</v>
      </c>
      <c r="E642" t="s">
        <v>527</v>
      </c>
      <c r="F642">
        <v>1</v>
      </c>
      <c r="G642" t="s">
        <v>483</v>
      </c>
      <c r="H642" t="s">
        <v>484</v>
      </c>
      <c r="I642" t="s">
        <v>16</v>
      </c>
      <c r="J642" t="s">
        <v>52</v>
      </c>
      <c r="K642" t="s">
        <v>35</v>
      </c>
      <c r="L642" s="6">
        <v>0</v>
      </c>
      <c r="M642" s="6">
        <v>250</v>
      </c>
      <c r="N642" s="6">
        <v>250</v>
      </c>
      <c r="O642" s="6">
        <v>58697.8</v>
      </c>
      <c r="P642" s="7">
        <v>0</v>
      </c>
      <c r="Q642" s="6">
        <v>0</v>
      </c>
    </row>
    <row r="643" spans="1:17">
      <c r="A643">
        <v>642</v>
      </c>
      <c r="B643" s="5">
        <v>45748</v>
      </c>
      <c r="C643" t="s">
        <v>525</v>
      </c>
      <c r="D643" t="s">
        <v>526</v>
      </c>
      <c r="E643" t="s">
        <v>527</v>
      </c>
      <c r="F643">
        <v>1</v>
      </c>
      <c r="G643" t="s">
        <v>379</v>
      </c>
      <c r="H643" t="s">
        <v>75</v>
      </c>
      <c r="I643" t="s">
        <v>16</v>
      </c>
      <c r="J643" t="s">
        <v>52</v>
      </c>
      <c r="K643" t="s">
        <v>35</v>
      </c>
      <c r="L643" s="6">
        <v>0</v>
      </c>
      <c r="M643" s="6">
        <v>10000</v>
      </c>
      <c r="N643" s="6">
        <v>10000</v>
      </c>
      <c r="O643" s="6">
        <v>68697.8</v>
      </c>
      <c r="P643" s="7">
        <v>0</v>
      </c>
      <c r="Q643" s="6">
        <v>0</v>
      </c>
    </row>
    <row r="644" spans="1:17">
      <c r="A644">
        <v>643</v>
      </c>
      <c r="B644" s="5">
        <v>45748</v>
      </c>
      <c r="C644" t="s">
        <v>525</v>
      </c>
      <c r="D644" t="s">
        <v>526</v>
      </c>
      <c r="E644" t="s">
        <v>527</v>
      </c>
      <c r="F644">
        <v>1</v>
      </c>
      <c r="G644" t="s">
        <v>184</v>
      </c>
      <c r="H644" t="s">
        <v>185</v>
      </c>
      <c r="I644" t="s">
        <v>16</v>
      </c>
      <c r="J644" t="s">
        <v>52</v>
      </c>
      <c r="K644" t="s">
        <v>35</v>
      </c>
      <c r="L644" s="6">
        <v>0</v>
      </c>
      <c r="M644" s="6">
        <v>500</v>
      </c>
      <c r="N644" s="6">
        <v>500</v>
      </c>
      <c r="O644" s="6">
        <v>69197.8</v>
      </c>
      <c r="P644" s="7">
        <v>0</v>
      </c>
      <c r="Q644" s="6">
        <v>0</v>
      </c>
    </row>
    <row r="645" spans="1:17">
      <c r="A645">
        <v>644</v>
      </c>
      <c r="B645" s="5">
        <v>45748</v>
      </c>
      <c r="C645" t="s">
        <v>525</v>
      </c>
      <c r="D645" t="s">
        <v>526</v>
      </c>
      <c r="E645" t="s">
        <v>527</v>
      </c>
      <c r="F645">
        <v>1</v>
      </c>
      <c r="G645" t="s">
        <v>314</v>
      </c>
      <c r="H645" t="s">
        <v>315</v>
      </c>
      <c r="I645" t="s">
        <v>16</v>
      </c>
      <c r="J645" t="s">
        <v>52</v>
      </c>
      <c r="K645" t="s">
        <v>35</v>
      </c>
      <c r="L645" s="6">
        <v>0</v>
      </c>
      <c r="M645" s="6">
        <v>500</v>
      </c>
      <c r="N645" s="6">
        <v>500</v>
      </c>
      <c r="O645" s="6">
        <v>69697.8</v>
      </c>
      <c r="P645" s="7">
        <v>0</v>
      </c>
      <c r="Q645" s="6">
        <v>0</v>
      </c>
    </row>
    <row r="646" spans="1:17">
      <c r="A646">
        <v>645</v>
      </c>
      <c r="B646" s="5">
        <v>45748</v>
      </c>
      <c r="C646" t="s">
        <v>525</v>
      </c>
      <c r="D646" t="s">
        <v>526</v>
      </c>
      <c r="E646" t="s">
        <v>527</v>
      </c>
      <c r="F646">
        <v>1</v>
      </c>
      <c r="G646" t="s">
        <v>532</v>
      </c>
      <c r="H646" t="s">
        <v>66</v>
      </c>
      <c r="I646" t="s">
        <v>22</v>
      </c>
      <c r="J646" t="s">
        <v>67</v>
      </c>
      <c r="K646" t="s">
        <v>34</v>
      </c>
      <c r="L646" s="6">
        <v>500</v>
      </c>
      <c r="M646" s="6">
        <v>0</v>
      </c>
      <c r="N646" s="6">
        <v>-500</v>
      </c>
      <c r="O646" s="6">
        <v>69197.8</v>
      </c>
      <c r="P646" s="7">
        <v>0</v>
      </c>
      <c r="Q646" s="6">
        <v>0</v>
      </c>
    </row>
    <row r="647" spans="1:17">
      <c r="A647">
        <v>646</v>
      </c>
      <c r="B647" s="5">
        <v>45748</v>
      </c>
      <c r="C647" t="s">
        <v>525</v>
      </c>
      <c r="D647" t="s">
        <v>526</v>
      </c>
      <c r="E647" t="s">
        <v>527</v>
      </c>
      <c r="F647">
        <v>1</v>
      </c>
      <c r="G647" t="s">
        <v>533</v>
      </c>
      <c r="H647" t="s">
        <v>66</v>
      </c>
      <c r="I647" t="s">
        <v>22</v>
      </c>
      <c r="J647" t="s">
        <v>67</v>
      </c>
      <c r="K647" t="s">
        <v>34</v>
      </c>
      <c r="L647" s="6">
        <v>1000</v>
      </c>
      <c r="M647" s="6">
        <v>0</v>
      </c>
      <c r="N647" s="6">
        <v>-1000</v>
      </c>
      <c r="O647" s="6">
        <v>68197.8</v>
      </c>
      <c r="P647" s="7">
        <v>0</v>
      </c>
      <c r="Q647" s="6">
        <v>0</v>
      </c>
    </row>
    <row r="648" spans="1:17">
      <c r="A648">
        <v>647</v>
      </c>
      <c r="B648" s="5">
        <v>45748</v>
      </c>
      <c r="C648" t="s">
        <v>525</v>
      </c>
      <c r="D648" t="s">
        <v>526</v>
      </c>
      <c r="E648" t="s">
        <v>527</v>
      </c>
      <c r="F648">
        <v>1</v>
      </c>
      <c r="G648" t="s">
        <v>534</v>
      </c>
      <c r="H648" t="s">
        <v>66</v>
      </c>
      <c r="I648" t="s">
        <v>22</v>
      </c>
      <c r="J648" t="s">
        <v>67</v>
      </c>
      <c r="K648" t="s">
        <v>34</v>
      </c>
      <c r="L648" s="6">
        <v>100</v>
      </c>
      <c r="M648" s="6">
        <v>0</v>
      </c>
      <c r="N648" s="6">
        <v>-100</v>
      </c>
      <c r="O648" s="6">
        <v>68097.8</v>
      </c>
      <c r="P648" s="7">
        <v>0</v>
      </c>
      <c r="Q648" s="6">
        <v>0</v>
      </c>
    </row>
    <row r="649" spans="1:17">
      <c r="A649">
        <v>648</v>
      </c>
      <c r="B649" s="5">
        <v>45748</v>
      </c>
      <c r="C649" t="s">
        <v>525</v>
      </c>
      <c r="D649" t="s">
        <v>526</v>
      </c>
      <c r="E649" t="s">
        <v>527</v>
      </c>
      <c r="F649">
        <v>1</v>
      </c>
      <c r="G649" t="s">
        <v>535</v>
      </c>
      <c r="H649" t="s">
        <v>66</v>
      </c>
      <c r="I649" t="s">
        <v>22</v>
      </c>
      <c r="J649" t="s">
        <v>67</v>
      </c>
      <c r="K649" t="s">
        <v>34</v>
      </c>
      <c r="L649" s="6">
        <v>2600</v>
      </c>
      <c r="M649" s="6">
        <v>0</v>
      </c>
      <c r="N649" s="6">
        <v>-2600</v>
      </c>
      <c r="O649" s="6">
        <v>65497.8</v>
      </c>
      <c r="P649" s="7">
        <v>0</v>
      </c>
      <c r="Q649" s="6">
        <v>0</v>
      </c>
    </row>
    <row r="650" spans="1:17">
      <c r="A650">
        <v>649</v>
      </c>
      <c r="B650" s="5">
        <v>45748</v>
      </c>
      <c r="C650" t="s">
        <v>525</v>
      </c>
      <c r="D650" t="s">
        <v>526</v>
      </c>
      <c r="E650" t="s">
        <v>527</v>
      </c>
      <c r="F650">
        <v>1</v>
      </c>
      <c r="G650" t="s">
        <v>536</v>
      </c>
      <c r="H650" t="s">
        <v>66</v>
      </c>
      <c r="I650" t="s">
        <v>22</v>
      </c>
      <c r="J650" t="s">
        <v>67</v>
      </c>
      <c r="K650" t="s">
        <v>34</v>
      </c>
      <c r="L650" s="6">
        <v>500</v>
      </c>
      <c r="M650" s="6">
        <v>0</v>
      </c>
      <c r="N650" s="6">
        <v>-500</v>
      </c>
      <c r="O650" s="6">
        <v>64997.8</v>
      </c>
      <c r="P650" s="7">
        <v>0</v>
      </c>
      <c r="Q650" s="6">
        <v>0</v>
      </c>
    </row>
    <row r="651" spans="1:17">
      <c r="A651">
        <v>650</v>
      </c>
      <c r="B651" s="5">
        <v>45748</v>
      </c>
      <c r="C651" t="s">
        <v>525</v>
      </c>
      <c r="D651" t="s">
        <v>526</v>
      </c>
      <c r="E651" t="s">
        <v>527</v>
      </c>
      <c r="F651">
        <v>1</v>
      </c>
      <c r="G651" t="s">
        <v>537</v>
      </c>
      <c r="H651" t="s">
        <v>66</v>
      </c>
      <c r="I651" t="s">
        <v>22</v>
      </c>
      <c r="J651" t="s">
        <v>67</v>
      </c>
      <c r="K651" t="s">
        <v>34</v>
      </c>
      <c r="L651" s="6">
        <v>433</v>
      </c>
      <c r="M651" s="6">
        <v>0</v>
      </c>
      <c r="N651" s="6">
        <v>-433</v>
      </c>
      <c r="O651" s="6">
        <v>64564.800000000003</v>
      </c>
      <c r="P651" s="7">
        <v>0</v>
      </c>
      <c r="Q651" s="6">
        <v>0</v>
      </c>
    </row>
    <row r="652" spans="1:17">
      <c r="A652">
        <v>651</v>
      </c>
      <c r="B652" s="5">
        <v>45748</v>
      </c>
      <c r="C652" t="s">
        <v>525</v>
      </c>
      <c r="D652" t="s">
        <v>526</v>
      </c>
      <c r="E652" t="s">
        <v>527</v>
      </c>
      <c r="F652">
        <v>1</v>
      </c>
      <c r="G652" t="s">
        <v>538</v>
      </c>
      <c r="H652" t="s">
        <v>66</v>
      </c>
      <c r="I652" t="s">
        <v>22</v>
      </c>
      <c r="J652" t="s">
        <v>67</v>
      </c>
      <c r="K652" t="s">
        <v>34</v>
      </c>
      <c r="L652" s="6">
        <v>50.25</v>
      </c>
      <c r="M652" s="6">
        <v>0</v>
      </c>
      <c r="N652" s="6">
        <v>-50.25</v>
      </c>
      <c r="O652" s="6">
        <v>64514.55</v>
      </c>
      <c r="P652" s="7">
        <v>0</v>
      </c>
      <c r="Q652" s="6">
        <v>0</v>
      </c>
    </row>
    <row r="653" spans="1:17">
      <c r="A653">
        <v>652</v>
      </c>
      <c r="B653" s="5">
        <v>45748</v>
      </c>
      <c r="C653" t="s">
        <v>525</v>
      </c>
      <c r="D653" t="s">
        <v>526</v>
      </c>
      <c r="E653" t="s">
        <v>527</v>
      </c>
      <c r="F653">
        <v>1</v>
      </c>
      <c r="G653" t="s">
        <v>314</v>
      </c>
      <c r="H653" t="s">
        <v>315</v>
      </c>
      <c r="I653" t="s">
        <v>16</v>
      </c>
      <c r="J653" t="s">
        <v>52</v>
      </c>
      <c r="K653" t="s">
        <v>35</v>
      </c>
      <c r="L653" s="6">
        <v>0</v>
      </c>
      <c r="M653" s="6">
        <v>1000</v>
      </c>
      <c r="N653" s="6">
        <v>1000</v>
      </c>
      <c r="O653" s="6">
        <v>65514.55</v>
      </c>
      <c r="P653" s="7">
        <v>0</v>
      </c>
      <c r="Q653" s="6">
        <v>0</v>
      </c>
    </row>
    <row r="654" spans="1:17">
      <c r="A654">
        <v>653</v>
      </c>
      <c r="B654" s="5">
        <v>45748</v>
      </c>
      <c r="C654" t="s">
        <v>525</v>
      </c>
      <c r="D654" t="s">
        <v>526</v>
      </c>
      <c r="E654" t="s">
        <v>527</v>
      </c>
      <c r="F654">
        <v>1</v>
      </c>
      <c r="G654" t="s">
        <v>312</v>
      </c>
      <c r="H654" t="s">
        <v>313</v>
      </c>
      <c r="I654" t="s">
        <v>16</v>
      </c>
      <c r="J654" t="s">
        <v>52</v>
      </c>
      <c r="K654" t="s">
        <v>35</v>
      </c>
      <c r="L654" s="6">
        <v>0</v>
      </c>
      <c r="M654" s="6">
        <v>250</v>
      </c>
      <c r="N654" s="6">
        <v>250</v>
      </c>
      <c r="O654" s="6">
        <v>65764.55</v>
      </c>
      <c r="P654" s="7">
        <v>0</v>
      </c>
      <c r="Q654" s="6">
        <v>0</v>
      </c>
    </row>
    <row r="655" spans="1:17">
      <c r="A655">
        <v>654</v>
      </c>
      <c r="B655" s="5">
        <v>45748</v>
      </c>
      <c r="C655" t="s">
        <v>525</v>
      </c>
      <c r="D655" t="s">
        <v>526</v>
      </c>
      <c r="E655" t="s">
        <v>527</v>
      </c>
      <c r="F655">
        <v>1</v>
      </c>
      <c r="G655" t="s">
        <v>539</v>
      </c>
      <c r="H655" t="s">
        <v>540</v>
      </c>
      <c r="I655" t="s">
        <v>16</v>
      </c>
      <c r="J655" t="s">
        <v>52</v>
      </c>
      <c r="K655" t="s">
        <v>35</v>
      </c>
      <c r="L655" s="6">
        <v>0</v>
      </c>
      <c r="M655" s="6">
        <v>500</v>
      </c>
      <c r="N655" s="6">
        <v>500</v>
      </c>
      <c r="O655" s="6">
        <v>66264.55</v>
      </c>
      <c r="P655" s="7">
        <v>0</v>
      </c>
      <c r="Q655" s="6">
        <v>0</v>
      </c>
    </row>
    <row r="656" spans="1:17">
      <c r="A656">
        <v>655</v>
      </c>
      <c r="B656" s="5">
        <v>45748</v>
      </c>
      <c r="C656" t="s">
        <v>525</v>
      </c>
      <c r="D656" t="s">
        <v>526</v>
      </c>
      <c r="E656" t="s">
        <v>527</v>
      </c>
      <c r="F656">
        <v>1</v>
      </c>
      <c r="G656" t="s">
        <v>194</v>
      </c>
      <c r="H656" t="s">
        <v>195</v>
      </c>
      <c r="I656" t="s">
        <v>16</v>
      </c>
      <c r="J656" t="s">
        <v>52</v>
      </c>
      <c r="K656" t="s">
        <v>35</v>
      </c>
      <c r="L656" s="6">
        <v>0</v>
      </c>
      <c r="M656" s="6">
        <v>500</v>
      </c>
      <c r="N656" s="6">
        <v>500</v>
      </c>
      <c r="O656" s="6">
        <v>66764.55</v>
      </c>
      <c r="P656" s="7">
        <v>0</v>
      </c>
      <c r="Q656" s="6">
        <v>0</v>
      </c>
    </row>
    <row r="657" spans="1:17">
      <c r="A657">
        <v>656</v>
      </c>
      <c r="B657" s="5">
        <v>45748</v>
      </c>
      <c r="C657" t="s">
        <v>525</v>
      </c>
      <c r="D657" t="s">
        <v>526</v>
      </c>
      <c r="E657" t="s">
        <v>527</v>
      </c>
      <c r="F657">
        <v>1</v>
      </c>
      <c r="G657" t="s">
        <v>350</v>
      </c>
      <c r="H657" t="s">
        <v>132</v>
      </c>
      <c r="I657" t="s">
        <v>16</v>
      </c>
      <c r="J657" t="s">
        <v>52</v>
      </c>
      <c r="K657" t="s">
        <v>35</v>
      </c>
      <c r="L657" s="6">
        <v>0</v>
      </c>
      <c r="M657" s="6">
        <v>3500</v>
      </c>
      <c r="N657" s="6">
        <v>3500</v>
      </c>
      <c r="O657" s="6">
        <v>70264.55</v>
      </c>
      <c r="P657" s="7">
        <v>0</v>
      </c>
      <c r="Q657" s="6">
        <v>0</v>
      </c>
    </row>
    <row r="658" spans="1:17">
      <c r="A658">
        <v>657</v>
      </c>
      <c r="B658" s="5">
        <v>45749</v>
      </c>
      <c r="C658" t="s">
        <v>525</v>
      </c>
      <c r="D658" t="s">
        <v>526</v>
      </c>
      <c r="E658" t="s">
        <v>527</v>
      </c>
      <c r="F658">
        <v>1</v>
      </c>
      <c r="G658" t="s">
        <v>440</v>
      </c>
      <c r="H658" t="s">
        <v>441</v>
      </c>
      <c r="I658" t="s">
        <v>16</v>
      </c>
      <c r="J658" t="s">
        <v>52</v>
      </c>
      <c r="K658" t="s">
        <v>35</v>
      </c>
      <c r="L658" s="6">
        <v>0</v>
      </c>
      <c r="M658" s="6">
        <v>3000</v>
      </c>
      <c r="N658" s="6">
        <v>3000</v>
      </c>
      <c r="O658" s="6">
        <v>73264.55</v>
      </c>
      <c r="P658" s="7">
        <v>0</v>
      </c>
      <c r="Q658" s="6">
        <v>0</v>
      </c>
    </row>
    <row r="659" spans="1:17">
      <c r="A659">
        <v>658</v>
      </c>
      <c r="B659" s="5">
        <v>45749</v>
      </c>
      <c r="C659" t="s">
        <v>525</v>
      </c>
      <c r="D659" t="s">
        <v>526</v>
      </c>
      <c r="E659" t="s">
        <v>527</v>
      </c>
      <c r="F659">
        <v>2</v>
      </c>
      <c r="G659" t="s">
        <v>510</v>
      </c>
      <c r="H659" t="s">
        <v>511</v>
      </c>
      <c r="I659" t="s">
        <v>16</v>
      </c>
      <c r="J659" t="s">
        <v>52</v>
      </c>
      <c r="K659" t="s">
        <v>35</v>
      </c>
      <c r="L659" s="6">
        <v>0</v>
      </c>
      <c r="M659" s="6">
        <v>500</v>
      </c>
      <c r="N659" s="6">
        <v>500</v>
      </c>
      <c r="O659" s="6">
        <v>73764.55</v>
      </c>
      <c r="P659" s="7">
        <v>0</v>
      </c>
      <c r="Q659" s="6">
        <v>0</v>
      </c>
    </row>
    <row r="660" spans="1:17">
      <c r="A660">
        <v>659</v>
      </c>
      <c r="B660" s="5">
        <v>45749</v>
      </c>
      <c r="C660" t="s">
        <v>525</v>
      </c>
      <c r="D660" t="s">
        <v>526</v>
      </c>
      <c r="E660" t="s">
        <v>527</v>
      </c>
      <c r="F660">
        <v>2</v>
      </c>
      <c r="G660" t="s">
        <v>199</v>
      </c>
      <c r="H660" t="s">
        <v>200</v>
      </c>
      <c r="I660" t="s">
        <v>16</v>
      </c>
      <c r="J660" t="s">
        <v>52</v>
      </c>
      <c r="K660" t="s">
        <v>35</v>
      </c>
      <c r="L660" s="6">
        <v>0</v>
      </c>
      <c r="M660" s="6">
        <v>4000</v>
      </c>
      <c r="N660" s="6">
        <v>4000</v>
      </c>
      <c r="O660" s="6">
        <v>77764.55</v>
      </c>
      <c r="P660" s="7">
        <v>0</v>
      </c>
      <c r="Q660" s="6">
        <v>0</v>
      </c>
    </row>
    <row r="661" spans="1:17">
      <c r="A661">
        <v>660</v>
      </c>
      <c r="B661" s="5">
        <v>45749</v>
      </c>
      <c r="C661" t="s">
        <v>525</v>
      </c>
      <c r="D661" t="s">
        <v>526</v>
      </c>
      <c r="E661" t="s">
        <v>527</v>
      </c>
      <c r="F661">
        <v>2</v>
      </c>
      <c r="G661" t="s">
        <v>541</v>
      </c>
      <c r="H661" t="s">
        <v>66</v>
      </c>
      <c r="I661" t="s">
        <v>22</v>
      </c>
      <c r="J661" t="s">
        <v>67</v>
      </c>
      <c r="K661" t="s">
        <v>34</v>
      </c>
      <c r="L661" s="6">
        <v>1576</v>
      </c>
      <c r="M661" s="6">
        <v>0</v>
      </c>
      <c r="N661" s="6">
        <v>-1576</v>
      </c>
      <c r="O661" s="6">
        <v>76188.55</v>
      </c>
      <c r="P661" s="7">
        <v>0</v>
      </c>
      <c r="Q661" s="6">
        <v>0</v>
      </c>
    </row>
    <row r="662" spans="1:17">
      <c r="A662">
        <v>661</v>
      </c>
      <c r="B662" s="5">
        <v>45749</v>
      </c>
      <c r="C662" t="s">
        <v>525</v>
      </c>
      <c r="D662" t="s">
        <v>526</v>
      </c>
      <c r="E662" t="s">
        <v>527</v>
      </c>
      <c r="F662">
        <v>2</v>
      </c>
      <c r="G662" t="s">
        <v>542</v>
      </c>
      <c r="H662" t="s">
        <v>66</v>
      </c>
      <c r="I662" t="s">
        <v>22</v>
      </c>
      <c r="J662" t="s">
        <v>67</v>
      </c>
      <c r="K662" t="s">
        <v>34</v>
      </c>
      <c r="L662" s="6">
        <v>5000</v>
      </c>
      <c r="M662" s="6">
        <v>0</v>
      </c>
      <c r="N662" s="6">
        <v>-5000</v>
      </c>
      <c r="O662" s="6">
        <v>71188.55</v>
      </c>
      <c r="P662" s="7">
        <v>0</v>
      </c>
      <c r="Q662" s="6">
        <v>0</v>
      </c>
    </row>
    <row r="663" spans="1:17">
      <c r="A663">
        <v>662</v>
      </c>
      <c r="B663" s="5">
        <v>45749</v>
      </c>
      <c r="C663" t="s">
        <v>525</v>
      </c>
      <c r="D663" t="s">
        <v>526</v>
      </c>
      <c r="E663" t="s">
        <v>527</v>
      </c>
      <c r="F663">
        <v>2</v>
      </c>
      <c r="G663" t="s">
        <v>543</v>
      </c>
      <c r="H663" t="s">
        <v>66</v>
      </c>
      <c r="I663" t="s">
        <v>22</v>
      </c>
      <c r="J663" t="s">
        <v>67</v>
      </c>
      <c r="K663" t="s">
        <v>34</v>
      </c>
      <c r="L663" s="6">
        <v>750</v>
      </c>
      <c r="M663" s="6">
        <v>0</v>
      </c>
      <c r="N663" s="6">
        <v>-750</v>
      </c>
      <c r="O663" s="6">
        <v>70438.55</v>
      </c>
      <c r="P663" s="7">
        <v>0</v>
      </c>
      <c r="Q663" s="6">
        <v>0</v>
      </c>
    </row>
    <row r="664" spans="1:17">
      <c r="A664">
        <v>663</v>
      </c>
      <c r="B664" s="5">
        <v>45749</v>
      </c>
      <c r="C664" t="s">
        <v>525</v>
      </c>
      <c r="D664" t="s">
        <v>526</v>
      </c>
      <c r="E664" t="s">
        <v>527</v>
      </c>
      <c r="F664">
        <v>2</v>
      </c>
      <c r="G664" t="s">
        <v>544</v>
      </c>
      <c r="H664" t="s">
        <v>66</v>
      </c>
      <c r="I664" t="s">
        <v>22</v>
      </c>
      <c r="J664" t="s">
        <v>67</v>
      </c>
      <c r="K664" t="s">
        <v>34</v>
      </c>
      <c r="L664" s="6">
        <v>250</v>
      </c>
      <c r="M664" s="6">
        <v>0</v>
      </c>
      <c r="N664" s="6">
        <v>-250</v>
      </c>
      <c r="O664" s="6">
        <v>70188.55</v>
      </c>
      <c r="P664" s="7">
        <v>0</v>
      </c>
      <c r="Q664" s="6">
        <v>0</v>
      </c>
    </row>
    <row r="665" spans="1:17">
      <c r="A665">
        <v>664</v>
      </c>
      <c r="B665" s="5">
        <v>45749</v>
      </c>
      <c r="C665" t="s">
        <v>525</v>
      </c>
      <c r="D665" t="s">
        <v>526</v>
      </c>
      <c r="E665" t="s">
        <v>527</v>
      </c>
      <c r="F665">
        <v>2</v>
      </c>
      <c r="G665" t="s">
        <v>201</v>
      </c>
      <c r="H665" t="s">
        <v>100</v>
      </c>
      <c r="I665" t="s">
        <v>16</v>
      </c>
      <c r="J665" t="s">
        <v>52</v>
      </c>
      <c r="K665" t="s">
        <v>35</v>
      </c>
      <c r="L665" s="6">
        <v>0</v>
      </c>
      <c r="M665" s="6">
        <v>2500</v>
      </c>
      <c r="N665" s="6">
        <v>2500</v>
      </c>
      <c r="O665" s="6">
        <v>72688.55</v>
      </c>
      <c r="P665" s="7">
        <v>0</v>
      </c>
      <c r="Q665" s="6">
        <v>0</v>
      </c>
    </row>
    <row r="666" spans="1:17">
      <c r="A666">
        <v>665</v>
      </c>
      <c r="B666" s="5">
        <v>45749</v>
      </c>
      <c r="C666" t="s">
        <v>525</v>
      </c>
      <c r="D666" t="s">
        <v>526</v>
      </c>
      <c r="E666" t="s">
        <v>527</v>
      </c>
      <c r="F666">
        <v>2</v>
      </c>
      <c r="G666" t="s">
        <v>483</v>
      </c>
      <c r="H666" t="s">
        <v>484</v>
      </c>
      <c r="I666" t="s">
        <v>16</v>
      </c>
      <c r="J666" t="s">
        <v>52</v>
      </c>
      <c r="K666" t="s">
        <v>35</v>
      </c>
      <c r="L666" s="6">
        <v>0</v>
      </c>
      <c r="M666" s="6">
        <v>250</v>
      </c>
      <c r="N666" s="6">
        <v>250</v>
      </c>
      <c r="O666" s="6">
        <v>72938.55</v>
      </c>
      <c r="P666" s="7">
        <v>0</v>
      </c>
      <c r="Q666" s="6">
        <v>0</v>
      </c>
    </row>
    <row r="667" spans="1:17">
      <c r="A667">
        <v>666</v>
      </c>
      <c r="B667" s="5">
        <v>45749</v>
      </c>
      <c r="C667" t="s">
        <v>525</v>
      </c>
      <c r="D667" t="s">
        <v>526</v>
      </c>
      <c r="E667" t="s">
        <v>527</v>
      </c>
      <c r="F667">
        <v>2</v>
      </c>
      <c r="G667" t="s">
        <v>545</v>
      </c>
      <c r="H667" t="s">
        <v>344</v>
      </c>
      <c r="I667" t="s">
        <v>18</v>
      </c>
      <c r="J667" t="s">
        <v>345</v>
      </c>
      <c r="K667" t="s">
        <v>34</v>
      </c>
      <c r="L667" s="6">
        <v>700</v>
      </c>
      <c r="M667" s="6">
        <v>0</v>
      </c>
      <c r="N667" s="6">
        <v>-700</v>
      </c>
      <c r="O667" s="6">
        <v>72238.55</v>
      </c>
      <c r="P667" s="7">
        <v>0</v>
      </c>
      <c r="Q667" s="6">
        <v>0</v>
      </c>
    </row>
    <row r="668" spans="1:17">
      <c r="A668">
        <v>667</v>
      </c>
      <c r="B668" s="5">
        <v>45749</v>
      </c>
      <c r="C668" t="s">
        <v>525</v>
      </c>
      <c r="D668" t="s">
        <v>526</v>
      </c>
      <c r="E668" t="s">
        <v>527</v>
      </c>
      <c r="F668">
        <v>2</v>
      </c>
      <c r="G668" t="s">
        <v>346</v>
      </c>
      <c r="I668" t="s">
        <v>14</v>
      </c>
      <c r="J668" t="s">
        <v>46</v>
      </c>
      <c r="K668" t="s">
        <v>34</v>
      </c>
      <c r="L668" s="6">
        <v>30</v>
      </c>
      <c r="M668" s="6">
        <v>0</v>
      </c>
      <c r="N668" s="6">
        <v>-30</v>
      </c>
      <c r="O668" s="6">
        <v>72208.55</v>
      </c>
      <c r="P668" s="7">
        <v>0.15</v>
      </c>
      <c r="Q668" s="6">
        <v>3.91</v>
      </c>
    </row>
    <row r="669" spans="1:17">
      <c r="A669">
        <v>668</v>
      </c>
      <c r="B669" s="5">
        <v>45749</v>
      </c>
      <c r="C669" t="s">
        <v>525</v>
      </c>
      <c r="D669" t="s">
        <v>526</v>
      </c>
      <c r="E669" t="s">
        <v>527</v>
      </c>
      <c r="F669">
        <v>2</v>
      </c>
      <c r="G669" t="s">
        <v>546</v>
      </c>
      <c r="H669" t="s">
        <v>547</v>
      </c>
      <c r="I669" t="s">
        <v>18</v>
      </c>
      <c r="J669" t="s">
        <v>345</v>
      </c>
      <c r="K669" t="s">
        <v>34</v>
      </c>
      <c r="L669" s="6">
        <v>600</v>
      </c>
      <c r="M669" s="6">
        <v>0</v>
      </c>
      <c r="N669" s="6">
        <v>-600</v>
      </c>
      <c r="O669" s="6">
        <v>71608.55</v>
      </c>
      <c r="P669" s="7">
        <v>0</v>
      </c>
      <c r="Q669" s="6">
        <v>0</v>
      </c>
    </row>
    <row r="670" spans="1:17">
      <c r="A670">
        <v>669</v>
      </c>
      <c r="B670" s="5">
        <v>45749</v>
      </c>
      <c r="C670" t="s">
        <v>525</v>
      </c>
      <c r="D670" t="s">
        <v>526</v>
      </c>
      <c r="E670" t="s">
        <v>527</v>
      </c>
      <c r="F670">
        <v>2</v>
      </c>
      <c r="G670" t="s">
        <v>346</v>
      </c>
      <c r="I670" t="s">
        <v>14</v>
      </c>
      <c r="J670" t="s">
        <v>46</v>
      </c>
      <c r="K670" t="s">
        <v>34</v>
      </c>
      <c r="L670" s="6">
        <v>30</v>
      </c>
      <c r="M670" s="6">
        <v>0</v>
      </c>
      <c r="N670" s="6">
        <v>-30</v>
      </c>
      <c r="O670" s="6">
        <v>71578.55</v>
      </c>
      <c r="P670" s="7">
        <v>0.15</v>
      </c>
      <c r="Q670" s="6">
        <v>3.91</v>
      </c>
    </row>
    <row r="671" spans="1:17">
      <c r="A671">
        <v>670</v>
      </c>
      <c r="B671" s="5">
        <v>45749</v>
      </c>
      <c r="C671" t="s">
        <v>525</v>
      </c>
      <c r="D671" t="s">
        <v>526</v>
      </c>
      <c r="E671" t="s">
        <v>527</v>
      </c>
      <c r="F671">
        <v>2</v>
      </c>
      <c r="G671" t="s">
        <v>312</v>
      </c>
      <c r="H671" t="s">
        <v>313</v>
      </c>
      <c r="I671" t="s">
        <v>16</v>
      </c>
      <c r="J671" t="s">
        <v>52</v>
      </c>
      <c r="K671" t="s">
        <v>35</v>
      </c>
      <c r="L671" s="6">
        <v>0</v>
      </c>
      <c r="M671" s="6">
        <v>250</v>
      </c>
      <c r="N671" s="6">
        <v>250</v>
      </c>
      <c r="O671" s="6">
        <v>71828.55</v>
      </c>
      <c r="P671" s="7">
        <v>0</v>
      </c>
      <c r="Q671" s="6">
        <v>0</v>
      </c>
    </row>
    <row r="672" spans="1:17">
      <c r="A672">
        <v>671</v>
      </c>
      <c r="B672" s="5">
        <v>45749</v>
      </c>
      <c r="C672" t="s">
        <v>525</v>
      </c>
      <c r="D672" t="s">
        <v>526</v>
      </c>
      <c r="E672" t="s">
        <v>527</v>
      </c>
      <c r="F672">
        <v>2</v>
      </c>
      <c r="G672" t="s">
        <v>548</v>
      </c>
      <c r="H672" t="s">
        <v>549</v>
      </c>
      <c r="I672" t="s">
        <v>16</v>
      </c>
      <c r="J672" t="s">
        <v>52</v>
      </c>
      <c r="K672" t="s">
        <v>35</v>
      </c>
      <c r="L672" s="6">
        <v>0</v>
      </c>
      <c r="M672" s="6">
        <v>2000</v>
      </c>
      <c r="N672" s="6">
        <v>2000</v>
      </c>
      <c r="O672" s="6">
        <v>73828.55</v>
      </c>
      <c r="P672" s="7">
        <v>0</v>
      </c>
      <c r="Q672" s="6">
        <v>0</v>
      </c>
    </row>
    <row r="673" spans="1:17">
      <c r="A673">
        <v>672</v>
      </c>
      <c r="B673" s="5">
        <v>45749</v>
      </c>
      <c r="C673" t="s">
        <v>525</v>
      </c>
      <c r="D673" t="s">
        <v>526</v>
      </c>
      <c r="E673" t="s">
        <v>527</v>
      </c>
      <c r="F673">
        <v>2</v>
      </c>
      <c r="G673" t="s">
        <v>539</v>
      </c>
      <c r="H673" t="s">
        <v>540</v>
      </c>
      <c r="I673" t="s">
        <v>16</v>
      </c>
      <c r="J673" t="s">
        <v>52</v>
      </c>
      <c r="K673" t="s">
        <v>35</v>
      </c>
      <c r="L673" s="6">
        <v>0</v>
      </c>
      <c r="M673" s="6">
        <v>300</v>
      </c>
      <c r="N673" s="6">
        <v>300</v>
      </c>
      <c r="O673" s="6">
        <v>74128.55</v>
      </c>
      <c r="P673" s="7">
        <v>0</v>
      </c>
      <c r="Q673" s="6">
        <v>0</v>
      </c>
    </row>
    <row r="674" spans="1:17">
      <c r="A674">
        <v>673</v>
      </c>
      <c r="B674" s="5">
        <v>45749</v>
      </c>
      <c r="C674" t="s">
        <v>525</v>
      </c>
      <c r="D674" t="s">
        <v>526</v>
      </c>
      <c r="E674" t="s">
        <v>527</v>
      </c>
      <c r="F674">
        <v>2</v>
      </c>
      <c r="G674" t="s">
        <v>550</v>
      </c>
      <c r="H674" t="s">
        <v>551</v>
      </c>
      <c r="I674" t="s">
        <v>18</v>
      </c>
      <c r="J674" t="s">
        <v>345</v>
      </c>
      <c r="K674" t="s">
        <v>34</v>
      </c>
      <c r="L674" s="6">
        <v>565.20000000000005</v>
      </c>
      <c r="M674" s="6">
        <v>0</v>
      </c>
      <c r="N674" s="6">
        <v>-565.20000000000005</v>
      </c>
      <c r="O674" s="6">
        <v>73563.350000000006</v>
      </c>
      <c r="P674" s="7">
        <v>0</v>
      </c>
      <c r="Q674" s="6">
        <v>0</v>
      </c>
    </row>
    <row r="675" spans="1:17">
      <c r="A675">
        <v>674</v>
      </c>
      <c r="B675" s="5">
        <v>45749</v>
      </c>
      <c r="C675" t="s">
        <v>525</v>
      </c>
      <c r="D675" t="s">
        <v>526</v>
      </c>
      <c r="E675" t="s">
        <v>527</v>
      </c>
      <c r="F675">
        <v>2</v>
      </c>
      <c r="G675" t="s">
        <v>346</v>
      </c>
      <c r="I675" t="s">
        <v>14</v>
      </c>
      <c r="J675" t="s">
        <v>46</v>
      </c>
      <c r="K675" t="s">
        <v>34</v>
      </c>
      <c r="L675" s="6">
        <v>30</v>
      </c>
      <c r="M675" s="6">
        <v>0</v>
      </c>
      <c r="N675" s="6">
        <v>-30</v>
      </c>
      <c r="O675" s="6">
        <v>73533.350000000006</v>
      </c>
      <c r="P675" s="7">
        <v>0.15</v>
      </c>
      <c r="Q675" s="6">
        <v>3.91</v>
      </c>
    </row>
    <row r="676" spans="1:17">
      <c r="A676">
        <v>675</v>
      </c>
      <c r="B676" s="5">
        <v>45750</v>
      </c>
      <c r="C676" t="s">
        <v>525</v>
      </c>
      <c r="D676" t="s">
        <v>526</v>
      </c>
      <c r="E676" t="s">
        <v>527</v>
      </c>
      <c r="F676">
        <v>2</v>
      </c>
      <c r="G676" t="s">
        <v>264</v>
      </c>
      <c r="H676" t="s">
        <v>265</v>
      </c>
      <c r="I676" t="s">
        <v>16</v>
      </c>
      <c r="J676" t="s">
        <v>52</v>
      </c>
      <c r="K676" t="s">
        <v>35</v>
      </c>
      <c r="L676" s="6">
        <v>0</v>
      </c>
      <c r="M676" s="6">
        <v>300</v>
      </c>
      <c r="N676" s="6">
        <v>300</v>
      </c>
      <c r="O676" s="6">
        <v>73833.350000000006</v>
      </c>
      <c r="P676" s="7">
        <v>0</v>
      </c>
      <c r="Q676" s="6">
        <v>0</v>
      </c>
    </row>
    <row r="677" spans="1:17">
      <c r="A677">
        <v>676</v>
      </c>
      <c r="B677" s="5">
        <v>45750</v>
      </c>
      <c r="C677" t="s">
        <v>525</v>
      </c>
      <c r="D677" t="s">
        <v>526</v>
      </c>
      <c r="E677" t="s">
        <v>527</v>
      </c>
      <c r="F677">
        <v>2</v>
      </c>
      <c r="G677" t="s">
        <v>440</v>
      </c>
      <c r="H677" t="s">
        <v>441</v>
      </c>
      <c r="I677" t="s">
        <v>16</v>
      </c>
      <c r="J677" t="s">
        <v>52</v>
      </c>
      <c r="K677" t="s">
        <v>35</v>
      </c>
      <c r="L677" s="6">
        <v>0</v>
      </c>
      <c r="M677" s="6">
        <v>3000</v>
      </c>
      <c r="N677" s="6">
        <v>3000</v>
      </c>
      <c r="O677" s="6">
        <v>76833.350000000006</v>
      </c>
      <c r="P677" s="7">
        <v>0</v>
      </c>
      <c r="Q677" s="6">
        <v>0</v>
      </c>
    </row>
    <row r="678" spans="1:17">
      <c r="A678">
        <v>677</v>
      </c>
      <c r="B678" s="5">
        <v>45750</v>
      </c>
      <c r="C678" t="s">
        <v>525</v>
      </c>
      <c r="D678" t="s">
        <v>526</v>
      </c>
      <c r="E678" t="s">
        <v>527</v>
      </c>
      <c r="F678">
        <v>2</v>
      </c>
      <c r="G678" t="s">
        <v>440</v>
      </c>
      <c r="H678" t="s">
        <v>441</v>
      </c>
      <c r="I678" t="s">
        <v>16</v>
      </c>
      <c r="J678" t="s">
        <v>52</v>
      </c>
      <c r="K678" t="s">
        <v>35</v>
      </c>
      <c r="L678" s="6">
        <v>0</v>
      </c>
      <c r="M678" s="6">
        <v>5000</v>
      </c>
      <c r="N678" s="6">
        <v>5000</v>
      </c>
      <c r="O678" s="6">
        <v>81833.350000000006</v>
      </c>
      <c r="P678" s="7">
        <v>0</v>
      </c>
      <c r="Q678" s="6">
        <v>0</v>
      </c>
    </row>
    <row r="679" spans="1:17">
      <c r="A679">
        <v>678</v>
      </c>
      <c r="B679" s="5">
        <v>45750</v>
      </c>
      <c r="C679" t="s">
        <v>525</v>
      </c>
      <c r="D679" t="s">
        <v>526</v>
      </c>
      <c r="E679" t="s">
        <v>527</v>
      </c>
      <c r="F679">
        <v>2</v>
      </c>
      <c r="G679" t="s">
        <v>175</v>
      </c>
      <c r="H679" t="s">
        <v>176</v>
      </c>
      <c r="I679" t="s">
        <v>16</v>
      </c>
      <c r="J679" t="s">
        <v>52</v>
      </c>
      <c r="K679" t="s">
        <v>35</v>
      </c>
      <c r="L679" s="6">
        <v>0</v>
      </c>
      <c r="M679" s="6">
        <v>1000</v>
      </c>
      <c r="N679" s="6">
        <v>1000</v>
      </c>
      <c r="O679" s="6">
        <v>82833.350000000006</v>
      </c>
      <c r="P679" s="7">
        <v>0</v>
      </c>
      <c r="Q679" s="6">
        <v>0</v>
      </c>
    </row>
    <row r="680" spans="1:17">
      <c r="A680">
        <v>679</v>
      </c>
      <c r="B680" s="5">
        <v>45750</v>
      </c>
      <c r="C680" t="s">
        <v>525</v>
      </c>
      <c r="D680" t="s">
        <v>526</v>
      </c>
      <c r="E680" t="s">
        <v>527</v>
      </c>
      <c r="F680">
        <v>2</v>
      </c>
      <c r="G680" t="s">
        <v>359</v>
      </c>
      <c r="H680" t="s">
        <v>360</v>
      </c>
      <c r="I680" t="s">
        <v>16</v>
      </c>
      <c r="J680" t="s">
        <v>52</v>
      </c>
      <c r="K680" t="s">
        <v>35</v>
      </c>
      <c r="L680" s="6">
        <v>0</v>
      </c>
      <c r="M680" s="6">
        <v>200</v>
      </c>
      <c r="N680" s="6">
        <v>200</v>
      </c>
      <c r="O680" s="6">
        <v>83033.350000000006</v>
      </c>
      <c r="P680" s="7">
        <v>0</v>
      </c>
      <c r="Q680" s="6">
        <v>0</v>
      </c>
    </row>
    <row r="681" spans="1:17">
      <c r="A681">
        <v>680</v>
      </c>
      <c r="B681" s="5">
        <v>45750</v>
      </c>
      <c r="C681" t="s">
        <v>525</v>
      </c>
      <c r="D681" t="s">
        <v>526</v>
      </c>
      <c r="E681" t="s">
        <v>527</v>
      </c>
      <c r="F681">
        <v>2</v>
      </c>
      <c r="G681" t="s">
        <v>440</v>
      </c>
      <c r="H681" t="s">
        <v>441</v>
      </c>
      <c r="I681" t="s">
        <v>16</v>
      </c>
      <c r="J681" t="s">
        <v>52</v>
      </c>
      <c r="K681" t="s">
        <v>35</v>
      </c>
      <c r="L681" s="6">
        <v>0</v>
      </c>
      <c r="M681" s="6">
        <v>5000</v>
      </c>
      <c r="N681" s="6">
        <v>5000</v>
      </c>
      <c r="O681" s="6">
        <v>88033.35</v>
      </c>
      <c r="P681" s="7">
        <v>0</v>
      </c>
      <c r="Q681" s="6">
        <v>0</v>
      </c>
    </row>
    <row r="682" spans="1:17">
      <c r="A682">
        <v>681</v>
      </c>
      <c r="B682" s="5">
        <v>45750</v>
      </c>
      <c r="C682" t="s">
        <v>525</v>
      </c>
      <c r="D682" t="s">
        <v>526</v>
      </c>
      <c r="E682" t="s">
        <v>527</v>
      </c>
      <c r="F682">
        <v>2</v>
      </c>
      <c r="G682" t="s">
        <v>440</v>
      </c>
      <c r="H682" t="s">
        <v>441</v>
      </c>
      <c r="I682" t="s">
        <v>16</v>
      </c>
      <c r="J682" t="s">
        <v>52</v>
      </c>
      <c r="K682" t="s">
        <v>35</v>
      </c>
      <c r="L682" s="6">
        <v>0</v>
      </c>
      <c r="M682" s="6">
        <v>5000</v>
      </c>
      <c r="N682" s="6">
        <v>5000</v>
      </c>
      <c r="O682" s="6">
        <v>93033.35</v>
      </c>
      <c r="P682" s="7">
        <v>0</v>
      </c>
      <c r="Q682" s="6">
        <v>0</v>
      </c>
    </row>
    <row r="683" spans="1:17">
      <c r="A683">
        <v>682</v>
      </c>
      <c r="B683" s="5">
        <v>45750</v>
      </c>
      <c r="C683" t="s">
        <v>525</v>
      </c>
      <c r="D683" t="s">
        <v>526</v>
      </c>
      <c r="E683" t="s">
        <v>527</v>
      </c>
      <c r="F683">
        <v>2</v>
      </c>
      <c r="G683" t="s">
        <v>552</v>
      </c>
      <c r="H683" t="s">
        <v>66</v>
      </c>
      <c r="I683" t="s">
        <v>22</v>
      </c>
      <c r="J683" t="s">
        <v>67</v>
      </c>
      <c r="K683" t="s">
        <v>34</v>
      </c>
      <c r="L683" s="6">
        <v>15000</v>
      </c>
      <c r="M683" s="6">
        <v>0</v>
      </c>
      <c r="N683" s="6">
        <v>-15000</v>
      </c>
      <c r="O683" s="6">
        <v>78033.350000000006</v>
      </c>
      <c r="P683" s="7">
        <v>0</v>
      </c>
      <c r="Q683" s="6">
        <v>0</v>
      </c>
    </row>
    <row r="684" spans="1:17">
      <c r="A684">
        <v>683</v>
      </c>
      <c r="B684" s="5">
        <v>45750</v>
      </c>
      <c r="C684" t="s">
        <v>525</v>
      </c>
      <c r="D684" t="s">
        <v>526</v>
      </c>
      <c r="E684" t="s">
        <v>527</v>
      </c>
      <c r="F684">
        <v>2</v>
      </c>
      <c r="G684" t="s">
        <v>312</v>
      </c>
      <c r="H684" t="s">
        <v>313</v>
      </c>
      <c r="I684" t="s">
        <v>16</v>
      </c>
      <c r="J684" t="s">
        <v>52</v>
      </c>
      <c r="K684" t="s">
        <v>35</v>
      </c>
      <c r="L684" s="6">
        <v>0</v>
      </c>
      <c r="M684" s="6">
        <v>400</v>
      </c>
      <c r="N684" s="6">
        <v>400</v>
      </c>
      <c r="O684" s="6">
        <v>78433.350000000006</v>
      </c>
      <c r="P684" s="7">
        <v>0</v>
      </c>
      <c r="Q684" s="6">
        <v>0</v>
      </c>
    </row>
    <row r="685" spans="1:17">
      <c r="A685">
        <v>684</v>
      </c>
      <c r="B685" s="5">
        <v>45750</v>
      </c>
      <c r="C685" t="s">
        <v>525</v>
      </c>
      <c r="D685" t="s">
        <v>526</v>
      </c>
      <c r="E685" t="s">
        <v>527</v>
      </c>
      <c r="F685">
        <v>2</v>
      </c>
      <c r="G685" t="s">
        <v>188</v>
      </c>
      <c r="H685" t="s">
        <v>189</v>
      </c>
      <c r="I685" t="s">
        <v>16</v>
      </c>
      <c r="J685" t="s">
        <v>52</v>
      </c>
      <c r="K685" t="s">
        <v>35</v>
      </c>
      <c r="L685" s="6">
        <v>0</v>
      </c>
      <c r="M685" s="6">
        <v>250</v>
      </c>
      <c r="N685" s="6">
        <v>250</v>
      </c>
      <c r="O685" s="6">
        <v>78683.350000000006</v>
      </c>
      <c r="P685" s="7">
        <v>0</v>
      </c>
      <c r="Q685" s="6">
        <v>0</v>
      </c>
    </row>
    <row r="686" spans="1:17">
      <c r="A686">
        <v>685</v>
      </c>
      <c r="B686" s="5">
        <v>45750</v>
      </c>
      <c r="C686" t="s">
        <v>525</v>
      </c>
      <c r="D686" t="s">
        <v>526</v>
      </c>
      <c r="E686" t="s">
        <v>527</v>
      </c>
      <c r="F686">
        <v>2</v>
      </c>
      <c r="G686" t="s">
        <v>440</v>
      </c>
      <c r="H686" t="s">
        <v>441</v>
      </c>
      <c r="I686" t="s">
        <v>16</v>
      </c>
      <c r="J686" t="s">
        <v>52</v>
      </c>
      <c r="K686" t="s">
        <v>35</v>
      </c>
      <c r="L686" s="6">
        <v>0</v>
      </c>
      <c r="M686" s="6">
        <v>16300</v>
      </c>
      <c r="N686" s="6">
        <v>16300</v>
      </c>
      <c r="O686" s="6">
        <v>94983.35</v>
      </c>
      <c r="P686" s="7">
        <v>0</v>
      </c>
      <c r="Q686" s="6">
        <v>0</v>
      </c>
    </row>
    <row r="687" spans="1:17">
      <c r="A687">
        <v>686</v>
      </c>
      <c r="B687" s="5">
        <v>45750</v>
      </c>
      <c r="C687" t="s">
        <v>525</v>
      </c>
      <c r="D687" t="s">
        <v>526</v>
      </c>
      <c r="E687" t="s">
        <v>527</v>
      </c>
      <c r="F687">
        <v>2</v>
      </c>
      <c r="G687" t="s">
        <v>312</v>
      </c>
      <c r="H687" t="s">
        <v>313</v>
      </c>
      <c r="I687" t="s">
        <v>16</v>
      </c>
      <c r="J687" t="s">
        <v>52</v>
      </c>
      <c r="K687" t="s">
        <v>35</v>
      </c>
      <c r="L687" s="6">
        <v>0</v>
      </c>
      <c r="M687" s="6">
        <v>500</v>
      </c>
      <c r="N687" s="6">
        <v>500</v>
      </c>
      <c r="O687" s="6">
        <v>95483.35</v>
      </c>
      <c r="P687" s="7">
        <v>0</v>
      </c>
      <c r="Q687" s="6">
        <v>0</v>
      </c>
    </row>
    <row r="688" spans="1:17">
      <c r="A688">
        <v>687</v>
      </c>
      <c r="B688" s="5">
        <v>45750</v>
      </c>
      <c r="C688" t="s">
        <v>525</v>
      </c>
      <c r="D688" t="s">
        <v>526</v>
      </c>
      <c r="E688" t="s">
        <v>527</v>
      </c>
      <c r="F688">
        <v>2</v>
      </c>
      <c r="G688" t="s">
        <v>553</v>
      </c>
      <c r="H688" t="s">
        <v>66</v>
      </c>
      <c r="I688" t="s">
        <v>22</v>
      </c>
      <c r="J688" t="s">
        <v>67</v>
      </c>
      <c r="K688" t="s">
        <v>34</v>
      </c>
      <c r="L688" s="6">
        <v>4000</v>
      </c>
      <c r="M688" s="6">
        <v>0</v>
      </c>
      <c r="N688" s="6">
        <v>-4000</v>
      </c>
      <c r="O688" s="6">
        <v>91483.35</v>
      </c>
      <c r="P688" s="7">
        <v>0</v>
      </c>
      <c r="Q688" s="6">
        <v>0</v>
      </c>
    </row>
    <row r="689" spans="1:17">
      <c r="A689">
        <v>688</v>
      </c>
      <c r="B689" s="5">
        <v>45750</v>
      </c>
      <c r="C689" t="s">
        <v>525</v>
      </c>
      <c r="D689" t="s">
        <v>526</v>
      </c>
      <c r="E689" t="s">
        <v>527</v>
      </c>
      <c r="F689">
        <v>2</v>
      </c>
      <c r="G689" t="s">
        <v>554</v>
      </c>
      <c r="H689" t="s">
        <v>66</v>
      </c>
      <c r="I689" t="s">
        <v>22</v>
      </c>
      <c r="J689" t="s">
        <v>67</v>
      </c>
      <c r="K689" t="s">
        <v>34</v>
      </c>
      <c r="L689" s="6">
        <v>350</v>
      </c>
      <c r="M689" s="6">
        <v>0</v>
      </c>
      <c r="N689" s="6">
        <v>-350</v>
      </c>
      <c r="O689" s="6">
        <v>91133.35</v>
      </c>
      <c r="P689" s="7">
        <v>0</v>
      </c>
      <c r="Q689" s="6">
        <v>0</v>
      </c>
    </row>
    <row r="690" spans="1:17">
      <c r="A690">
        <v>689</v>
      </c>
      <c r="B690" s="5">
        <v>45750</v>
      </c>
      <c r="C690" t="s">
        <v>525</v>
      </c>
      <c r="D690" t="s">
        <v>526</v>
      </c>
      <c r="E690" t="s">
        <v>527</v>
      </c>
      <c r="F690">
        <v>2</v>
      </c>
      <c r="G690" t="s">
        <v>555</v>
      </c>
      <c r="H690" t="s">
        <v>66</v>
      </c>
      <c r="I690" t="s">
        <v>22</v>
      </c>
      <c r="J690" t="s">
        <v>67</v>
      </c>
      <c r="K690" t="s">
        <v>34</v>
      </c>
      <c r="L690" s="6">
        <v>1000</v>
      </c>
      <c r="M690" s="6">
        <v>0</v>
      </c>
      <c r="N690" s="6">
        <v>-1000</v>
      </c>
      <c r="O690" s="6">
        <v>90133.35</v>
      </c>
      <c r="P690" s="7">
        <v>0</v>
      </c>
      <c r="Q690" s="6">
        <v>0</v>
      </c>
    </row>
    <row r="691" spans="1:17">
      <c r="A691">
        <v>690</v>
      </c>
      <c r="B691" s="5">
        <v>45750</v>
      </c>
      <c r="C691" t="s">
        <v>525</v>
      </c>
      <c r="D691" t="s">
        <v>526</v>
      </c>
      <c r="E691" t="s">
        <v>527</v>
      </c>
      <c r="F691">
        <v>2</v>
      </c>
      <c r="G691" t="s">
        <v>556</v>
      </c>
      <c r="H691" t="s">
        <v>66</v>
      </c>
      <c r="I691" t="s">
        <v>22</v>
      </c>
      <c r="J691" t="s">
        <v>67</v>
      </c>
      <c r="K691" t="s">
        <v>34</v>
      </c>
      <c r="L691" s="6">
        <v>189</v>
      </c>
      <c r="M691" s="6">
        <v>0</v>
      </c>
      <c r="N691" s="6">
        <v>-189</v>
      </c>
      <c r="O691" s="6">
        <v>89944.35</v>
      </c>
      <c r="P691" s="7">
        <v>0</v>
      </c>
      <c r="Q691" s="6">
        <v>0</v>
      </c>
    </row>
    <row r="692" spans="1:17">
      <c r="A692">
        <v>691</v>
      </c>
      <c r="B692" s="5">
        <v>45750</v>
      </c>
      <c r="C692" t="s">
        <v>525</v>
      </c>
      <c r="D692" t="s">
        <v>526</v>
      </c>
      <c r="E692" t="s">
        <v>527</v>
      </c>
      <c r="F692">
        <v>2</v>
      </c>
      <c r="G692" t="s">
        <v>557</v>
      </c>
      <c r="H692" t="s">
        <v>66</v>
      </c>
      <c r="I692" t="s">
        <v>22</v>
      </c>
      <c r="J692" t="s">
        <v>67</v>
      </c>
      <c r="K692" t="s">
        <v>34</v>
      </c>
      <c r="L692" s="6">
        <v>1020</v>
      </c>
      <c r="M692" s="6">
        <v>0</v>
      </c>
      <c r="N692" s="6">
        <v>-1020</v>
      </c>
      <c r="O692" s="6">
        <v>88924.35</v>
      </c>
      <c r="P692" s="7">
        <v>0</v>
      </c>
      <c r="Q692" s="6">
        <v>0</v>
      </c>
    </row>
    <row r="693" spans="1:17">
      <c r="A693">
        <v>692</v>
      </c>
      <c r="B693" s="5">
        <v>45750</v>
      </c>
      <c r="C693" t="s">
        <v>525</v>
      </c>
      <c r="D693" t="s">
        <v>526</v>
      </c>
      <c r="E693" t="s">
        <v>527</v>
      </c>
      <c r="F693">
        <v>2</v>
      </c>
      <c r="G693" t="s">
        <v>558</v>
      </c>
      <c r="H693" t="s">
        <v>66</v>
      </c>
      <c r="I693" t="s">
        <v>22</v>
      </c>
      <c r="J693" t="s">
        <v>67</v>
      </c>
      <c r="K693" t="s">
        <v>34</v>
      </c>
      <c r="L693" s="6">
        <v>19359</v>
      </c>
      <c r="M693" s="6">
        <v>0</v>
      </c>
      <c r="N693" s="6">
        <v>-19359</v>
      </c>
      <c r="O693" s="6">
        <v>69565.350000000006</v>
      </c>
      <c r="P693" s="7">
        <v>0</v>
      </c>
      <c r="Q693" s="6">
        <v>0</v>
      </c>
    </row>
    <row r="694" spans="1:17">
      <c r="A694">
        <v>693</v>
      </c>
      <c r="B694" s="5">
        <v>45750</v>
      </c>
      <c r="C694" t="s">
        <v>525</v>
      </c>
      <c r="D694" t="s">
        <v>526</v>
      </c>
      <c r="E694" t="s">
        <v>527</v>
      </c>
      <c r="F694">
        <v>2</v>
      </c>
      <c r="G694" t="s">
        <v>559</v>
      </c>
      <c r="H694" t="s">
        <v>66</v>
      </c>
      <c r="I694" t="s">
        <v>22</v>
      </c>
      <c r="J694" t="s">
        <v>67</v>
      </c>
      <c r="K694" t="s">
        <v>34</v>
      </c>
      <c r="L694" s="6">
        <v>20000</v>
      </c>
      <c r="M694" s="6">
        <v>0</v>
      </c>
      <c r="N694" s="6">
        <v>-20000</v>
      </c>
      <c r="O694" s="6">
        <v>49565.35</v>
      </c>
      <c r="P694" s="7">
        <v>0</v>
      </c>
      <c r="Q694" s="6">
        <v>0</v>
      </c>
    </row>
    <row r="695" spans="1:17">
      <c r="A695">
        <v>694</v>
      </c>
      <c r="B695" s="5">
        <v>45750</v>
      </c>
      <c r="C695" t="s">
        <v>525</v>
      </c>
      <c r="D695" t="s">
        <v>526</v>
      </c>
      <c r="E695" t="s">
        <v>527</v>
      </c>
      <c r="F695">
        <v>2</v>
      </c>
      <c r="G695" t="s">
        <v>560</v>
      </c>
      <c r="H695" t="s">
        <v>561</v>
      </c>
      <c r="I695" t="s">
        <v>18</v>
      </c>
      <c r="J695" t="s">
        <v>345</v>
      </c>
      <c r="K695" t="s">
        <v>34</v>
      </c>
      <c r="L695" s="6">
        <v>350</v>
      </c>
      <c r="M695" s="6">
        <v>0</v>
      </c>
      <c r="N695" s="6">
        <v>-350</v>
      </c>
      <c r="O695" s="6">
        <v>49215.35</v>
      </c>
      <c r="P695" s="7">
        <v>0</v>
      </c>
      <c r="Q695" s="6">
        <v>0</v>
      </c>
    </row>
    <row r="696" spans="1:17">
      <c r="A696">
        <v>695</v>
      </c>
      <c r="B696" s="5">
        <v>45750</v>
      </c>
      <c r="C696" t="s">
        <v>525</v>
      </c>
      <c r="D696" t="s">
        <v>526</v>
      </c>
      <c r="E696" t="s">
        <v>527</v>
      </c>
      <c r="F696">
        <v>2</v>
      </c>
      <c r="G696" t="s">
        <v>346</v>
      </c>
      <c r="I696" t="s">
        <v>14</v>
      </c>
      <c r="J696" t="s">
        <v>46</v>
      </c>
      <c r="K696" t="s">
        <v>34</v>
      </c>
      <c r="L696" s="6">
        <v>30</v>
      </c>
      <c r="M696" s="6">
        <v>0</v>
      </c>
      <c r="N696" s="6">
        <v>-30</v>
      </c>
      <c r="O696" s="6">
        <v>49185.35</v>
      </c>
      <c r="P696" s="7">
        <v>0.15</v>
      </c>
      <c r="Q696" s="6">
        <v>3.91</v>
      </c>
    </row>
    <row r="697" spans="1:17">
      <c r="A697">
        <v>696</v>
      </c>
      <c r="B697" s="5">
        <v>45750</v>
      </c>
      <c r="C697" t="s">
        <v>525</v>
      </c>
      <c r="D697" t="s">
        <v>526</v>
      </c>
      <c r="E697" t="s">
        <v>527</v>
      </c>
      <c r="F697">
        <v>2</v>
      </c>
      <c r="G697" t="s">
        <v>194</v>
      </c>
      <c r="H697" t="s">
        <v>195</v>
      </c>
      <c r="I697" t="s">
        <v>16</v>
      </c>
      <c r="J697" t="s">
        <v>52</v>
      </c>
      <c r="K697" t="s">
        <v>35</v>
      </c>
      <c r="L697" s="6">
        <v>0</v>
      </c>
      <c r="M697" s="6">
        <v>500</v>
      </c>
      <c r="N697" s="6">
        <v>500</v>
      </c>
      <c r="O697" s="6">
        <v>49685.35</v>
      </c>
      <c r="P697" s="7">
        <v>0</v>
      </c>
      <c r="Q697" s="6">
        <v>0</v>
      </c>
    </row>
    <row r="698" spans="1:17">
      <c r="A698">
        <v>697</v>
      </c>
      <c r="B698" s="5">
        <v>45750</v>
      </c>
      <c r="C698" t="s">
        <v>525</v>
      </c>
      <c r="D698" t="s">
        <v>526</v>
      </c>
      <c r="E698" t="s">
        <v>527</v>
      </c>
      <c r="F698">
        <v>2</v>
      </c>
      <c r="G698" t="s">
        <v>312</v>
      </c>
      <c r="H698" t="s">
        <v>313</v>
      </c>
      <c r="I698" t="s">
        <v>16</v>
      </c>
      <c r="J698" t="s">
        <v>52</v>
      </c>
      <c r="K698" t="s">
        <v>35</v>
      </c>
      <c r="L698" s="6">
        <v>0</v>
      </c>
      <c r="M698" s="6">
        <v>500</v>
      </c>
      <c r="N698" s="6">
        <v>500</v>
      </c>
      <c r="O698" s="6">
        <v>50185.35</v>
      </c>
      <c r="P698" s="7">
        <v>0</v>
      </c>
      <c r="Q698" s="6">
        <v>0</v>
      </c>
    </row>
    <row r="699" spans="1:17">
      <c r="A699">
        <v>698</v>
      </c>
      <c r="B699" s="5">
        <v>45750</v>
      </c>
      <c r="C699" t="s">
        <v>525</v>
      </c>
      <c r="D699" t="s">
        <v>526</v>
      </c>
      <c r="E699" t="s">
        <v>527</v>
      </c>
      <c r="F699">
        <v>2</v>
      </c>
      <c r="G699" t="s">
        <v>201</v>
      </c>
      <c r="H699" t="s">
        <v>100</v>
      </c>
      <c r="I699" t="s">
        <v>16</v>
      </c>
      <c r="J699" t="s">
        <v>52</v>
      </c>
      <c r="K699" t="s">
        <v>35</v>
      </c>
      <c r="L699" s="6">
        <v>0</v>
      </c>
      <c r="M699" s="6">
        <v>2000</v>
      </c>
      <c r="N699" s="6">
        <v>2000</v>
      </c>
      <c r="O699" s="6">
        <v>52185.35</v>
      </c>
      <c r="P699" s="7">
        <v>0</v>
      </c>
      <c r="Q699" s="6">
        <v>0</v>
      </c>
    </row>
    <row r="700" spans="1:17">
      <c r="A700">
        <v>699</v>
      </c>
      <c r="B700" s="5">
        <v>45750</v>
      </c>
      <c r="C700" t="s">
        <v>525</v>
      </c>
      <c r="D700" t="s">
        <v>526</v>
      </c>
      <c r="E700" t="s">
        <v>527</v>
      </c>
      <c r="F700">
        <v>2</v>
      </c>
      <c r="G700" t="s">
        <v>201</v>
      </c>
      <c r="H700" t="s">
        <v>100</v>
      </c>
      <c r="I700" t="s">
        <v>16</v>
      </c>
      <c r="J700" t="s">
        <v>52</v>
      </c>
      <c r="K700" t="s">
        <v>35</v>
      </c>
      <c r="L700" s="6">
        <v>0</v>
      </c>
      <c r="M700" s="6">
        <v>1000</v>
      </c>
      <c r="N700" s="6">
        <v>1000</v>
      </c>
      <c r="O700" s="6">
        <v>53185.35</v>
      </c>
      <c r="P700" s="7">
        <v>0</v>
      </c>
      <c r="Q700" s="6">
        <v>0</v>
      </c>
    </row>
    <row r="701" spans="1:17">
      <c r="A701">
        <v>700</v>
      </c>
      <c r="B701" s="5">
        <v>45750</v>
      </c>
      <c r="C701" t="s">
        <v>525</v>
      </c>
      <c r="D701" t="s">
        <v>526</v>
      </c>
      <c r="E701" t="s">
        <v>527</v>
      </c>
      <c r="F701">
        <v>2</v>
      </c>
      <c r="G701" t="s">
        <v>285</v>
      </c>
      <c r="H701" t="s">
        <v>286</v>
      </c>
      <c r="I701" t="s">
        <v>16</v>
      </c>
      <c r="J701" t="s">
        <v>52</v>
      </c>
      <c r="K701" t="s">
        <v>35</v>
      </c>
      <c r="L701" s="6">
        <v>0</v>
      </c>
      <c r="M701" s="6">
        <v>500</v>
      </c>
      <c r="N701" s="6">
        <v>500</v>
      </c>
      <c r="O701" s="6">
        <v>53685.35</v>
      </c>
      <c r="P701" s="7">
        <v>0</v>
      </c>
      <c r="Q701" s="6">
        <v>0</v>
      </c>
    </row>
    <row r="702" spans="1:17">
      <c r="A702">
        <v>701</v>
      </c>
      <c r="B702" s="5">
        <v>45750</v>
      </c>
      <c r="C702" t="s">
        <v>525</v>
      </c>
      <c r="D702" t="s">
        <v>526</v>
      </c>
      <c r="E702" t="s">
        <v>527</v>
      </c>
      <c r="F702">
        <v>2</v>
      </c>
      <c r="G702" t="s">
        <v>562</v>
      </c>
      <c r="H702" t="s">
        <v>66</v>
      </c>
      <c r="I702" t="s">
        <v>22</v>
      </c>
      <c r="J702" t="s">
        <v>67</v>
      </c>
      <c r="K702" t="s">
        <v>34</v>
      </c>
      <c r="L702" s="6">
        <v>1147.5899999999999</v>
      </c>
      <c r="M702" s="6">
        <v>0</v>
      </c>
      <c r="N702" s="6">
        <v>-1147.5899999999999</v>
      </c>
      <c r="O702" s="6">
        <v>52537.760000000002</v>
      </c>
      <c r="P702" s="7">
        <v>0</v>
      </c>
      <c r="Q702" s="6">
        <v>0</v>
      </c>
    </row>
    <row r="703" spans="1:17">
      <c r="A703">
        <v>702</v>
      </c>
      <c r="B703" s="5">
        <v>45750</v>
      </c>
      <c r="C703" t="s">
        <v>525</v>
      </c>
      <c r="D703" t="s">
        <v>526</v>
      </c>
      <c r="E703" t="s">
        <v>527</v>
      </c>
      <c r="F703">
        <v>2</v>
      </c>
      <c r="G703" t="s">
        <v>563</v>
      </c>
      <c r="H703" t="s">
        <v>66</v>
      </c>
      <c r="I703" t="s">
        <v>22</v>
      </c>
      <c r="J703" t="s">
        <v>67</v>
      </c>
      <c r="K703" t="s">
        <v>34</v>
      </c>
      <c r="L703" s="6">
        <v>4410.17</v>
      </c>
      <c r="M703" s="6">
        <v>0</v>
      </c>
      <c r="N703" s="6">
        <v>-4410.17</v>
      </c>
      <c r="O703" s="6">
        <v>48127.59</v>
      </c>
      <c r="P703" s="7">
        <v>0</v>
      </c>
      <c r="Q703" s="6">
        <v>0</v>
      </c>
    </row>
    <row r="704" spans="1:17">
      <c r="A704">
        <v>703</v>
      </c>
      <c r="B704" s="5">
        <v>45750</v>
      </c>
      <c r="C704" t="s">
        <v>525</v>
      </c>
      <c r="D704" t="s">
        <v>526</v>
      </c>
      <c r="E704" t="s">
        <v>527</v>
      </c>
      <c r="F704">
        <v>2</v>
      </c>
      <c r="G704" t="s">
        <v>564</v>
      </c>
      <c r="H704" t="s">
        <v>66</v>
      </c>
      <c r="I704" t="s">
        <v>22</v>
      </c>
      <c r="J704" t="s">
        <v>67</v>
      </c>
      <c r="K704" t="s">
        <v>34</v>
      </c>
      <c r="L704" s="6">
        <v>3000</v>
      </c>
      <c r="M704" s="6">
        <v>0</v>
      </c>
      <c r="N704" s="6">
        <v>-3000</v>
      </c>
      <c r="O704" s="6">
        <v>45127.59</v>
      </c>
      <c r="P704" s="7">
        <v>0</v>
      </c>
      <c r="Q704" s="6">
        <v>0</v>
      </c>
    </row>
    <row r="705" spans="1:17">
      <c r="A705">
        <v>704</v>
      </c>
      <c r="B705" s="5">
        <v>45750</v>
      </c>
      <c r="C705" t="s">
        <v>525</v>
      </c>
      <c r="D705" t="s">
        <v>526</v>
      </c>
      <c r="E705" t="s">
        <v>527</v>
      </c>
      <c r="F705">
        <v>2</v>
      </c>
      <c r="G705" t="s">
        <v>565</v>
      </c>
      <c r="H705" t="s">
        <v>66</v>
      </c>
      <c r="I705" t="s">
        <v>22</v>
      </c>
      <c r="J705" t="s">
        <v>67</v>
      </c>
      <c r="K705" t="s">
        <v>34</v>
      </c>
      <c r="L705" s="6">
        <v>2649</v>
      </c>
      <c r="M705" s="6">
        <v>0</v>
      </c>
      <c r="N705" s="6">
        <v>-2649</v>
      </c>
      <c r="O705" s="6">
        <v>42478.59</v>
      </c>
      <c r="P705" s="7">
        <v>0</v>
      </c>
      <c r="Q705" s="6">
        <v>0</v>
      </c>
    </row>
    <row r="706" spans="1:17">
      <c r="A706">
        <v>705</v>
      </c>
      <c r="B706" s="5">
        <v>45750</v>
      </c>
      <c r="C706" t="s">
        <v>525</v>
      </c>
      <c r="D706" t="s">
        <v>526</v>
      </c>
      <c r="E706" t="s">
        <v>527</v>
      </c>
      <c r="F706">
        <v>2</v>
      </c>
      <c r="G706" t="s">
        <v>566</v>
      </c>
      <c r="H706" t="s">
        <v>66</v>
      </c>
      <c r="I706" t="s">
        <v>22</v>
      </c>
      <c r="J706" t="s">
        <v>67</v>
      </c>
      <c r="K706" t="s">
        <v>34</v>
      </c>
      <c r="L706" s="6">
        <v>4800</v>
      </c>
      <c r="M706" s="6">
        <v>0</v>
      </c>
      <c r="N706" s="6">
        <v>-4800</v>
      </c>
      <c r="O706" s="6">
        <v>37678.589999999997</v>
      </c>
      <c r="P706" s="7">
        <v>0</v>
      </c>
      <c r="Q706" s="6">
        <v>0</v>
      </c>
    </row>
    <row r="707" spans="1:17">
      <c r="A707">
        <v>706</v>
      </c>
      <c r="B707" s="5">
        <v>45750</v>
      </c>
      <c r="C707" t="s">
        <v>525</v>
      </c>
      <c r="D707" t="s">
        <v>526</v>
      </c>
      <c r="E707" t="s">
        <v>527</v>
      </c>
      <c r="F707">
        <v>2</v>
      </c>
      <c r="G707" t="s">
        <v>483</v>
      </c>
      <c r="H707" t="s">
        <v>484</v>
      </c>
      <c r="I707" t="s">
        <v>16</v>
      </c>
      <c r="J707" t="s">
        <v>52</v>
      </c>
      <c r="K707" t="s">
        <v>35</v>
      </c>
      <c r="L707" s="6">
        <v>0</v>
      </c>
      <c r="M707" s="6">
        <v>170</v>
      </c>
      <c r="N707" s="6">
        <v>170</v>
      </c>
      <c r="O707" s="6">
        <v>37848.589999999997</v>
      </c>
      <c r="P707" s="7">
        <v>0</v>
      </c>
      <c r="Q707" s="6">
        <v>0</v>
      </c>
    </row>
    <row r="708" spans="1:17">
      <c r="A708">
        <v>707</v>
      </c>
      <c r="B708" s="5">
        <v>45750</v>
      </c>
      <c r="C708" t="s">
        <v>525</v>
      </c>
      <c r="D708" t="s">
        <v>526</v>
      </c>
      <c r="E708" t="s">
        <v>527</v>
      </c>
      <c r="F708">
        <v>2</v>
      </c>
      <c r="G708" t="s">
        <v>194</v>
      </c>
      <c r="H708" t="s">
        <v>195</v>
      </c>
      <c r="I708" t="s">
        <v>16</v>
      </c>
      <c r="J708" t="s">
        <v>52</v>
      </c>
      <c r="K708" t="s">
        <v>35</v>
      </c>
      <c r="L708" s="6">
        <v>0</v>
      </c>
      <c r="M708" s="6">
        <v>500</v>
      </c>
      <c r="N708" s="6">
        <v>500</v>
      </c>
      <c r="O708" s="6">
        <v>38348.589999999997</v>
      </c>
      <c r="P708" s="7">
        <v>0</v>
      </c>
      <c r="Q708" s="6">
        <v>0</v>
      </c>
    </row>
    <row r="709" spans="1:17">
      <c r="A709">
        <v>708</v>
      </c>
      <c r="B709" s="5">
        <v>45750</v>
      </c>
      <c r="C709" t="s">
        <v>525</v>
      </c>
      <c r="D709" t="s">
        <v>526</v>
      </c>
      <c r="E709" t="s">
        <v>527</v>
      </c>
      <c r="F709">
        <v>2</v>
      </c>
      <c r="G709" t="s">
        <v>567</v>
      </c>
      <c r="H709" t="s">
        <v>66</v>
      </c>
      <c r="I709" t="s">
        <v>22</v>
      </c>
      <c r="J709" t="s">
        <v>67</v>
      </c>
      <c r="K709" t="s">
        <v>34</v>
      </c>
      <c r="L709" s="6">
        <v>500</v>
      </c>
      <c r="M709" s="6">
        <v>0</v>
      </c>
      <c r="N709" s="6">
        <v>-500</v>
      </c>
      <c r="O709" s="6">
        <v>37848.589999999997</v>
      </c>
      <c r="P709" s="7">
        <v>0</v>
      </c>
      <c r="Q709" s="6">
        <v>0</v>
      </c>
    </row>
    <row r="710" spans="1:17">
      <c r="A710">
        <v>709</v>
      </c>
      <c r="B710" s="5">
        <v>45750</v>
      </c>
      <c r="C710" t="s">
        <v>525</v>
      </c>
      <c r="D710" t="s">
        <v>526</v>
      </c>
      <c r="E710" t="s">
        <v>527</v>
      </c>
      <c r="F710">
        <v>2</v>
      </c>
      <c r="G710" t="s">
        <v>568</v>
      </c>
      <c r="H710" t="s">
        <v>66</v>
      </c>
      <c r="I710" t="s">
        <v>22</v>
      </c>
      <c r="J710" t="s">
        <v>67</v>
      </c>
      <c r="K710" t="s">
        <v>34</v>
      </c>
      <c r="L710" s="6">
        <v>2205.75</v>
      </c>
      <c r="M710" s="6">
        <v>0</v>
      </c>
      <c r="N710" s="6">
        <v>-2205.75</v>
      </c>
      <c r="O710" s="6">
        <v>35642.839999999997</v>
      </c>
      <c r="P710" s="7">
        <v>0</v>
      </c>
      <c r="Q710" s="6">
        <v>0</v>
      </c>
    </row>
    <row r="711" spans="1:17">
      <c r="A711">
        <v>710</v>
      </c>
      <c r="B711" s="5">
        <v>45750</v>
      </c>
      <c r="C711" t="s">
        <v>525</v>
      </c>
      <c r="D711" t="s">
        <v>526</v>
      </c>
      <c r="E711" t="s">
        <v>527</v>
      </c>
      <c r="F711">
        <v>2</v>
      </c>
      <c r="G711" t="s">
        <v>569</v>
      </c>
      <c r="H711" t="s">
        <v>66</v>
      </c>
      <c r="I711" t="s">
        <v>22</v>
      </c>
      <c r="J711" t="s">
        <v>67</v>
      </c>
      <c r="K711" t="s">
        <v>34</v>
      </c>
      <c r="L711" s="6">
        <v>2290</v>
      </c>
      <c r="M711" s="6">
        <v>0</v>
      </c>
      <c r="N711" s="6">
        <v>-2290</v>
      </c>
      <c r="O711" s="6">
        <v>33352.839999999997</v>
      </c>
      <c r="P711" s="7">
        <v>0</v>
      </c>
      <c r="Q711" s="6">
        <v>0</v>
      </c>
    </row>
    <row r="712" spans="1:17">
      <c r="A712">
        <v>711</v>
      </c>
      <c r="B712" s="5">
        <v>45750</v>
      </c>
      <c r="C712" t="s">
        <v>525</v>
      </c>
      <c r="D712" t="s">
        <v>526</v>
      </c>
      <c r="E712" t="s">
        <v>527</v>
      </c>
      <c r="F712">
        <v>2</v>
      </c>
      <c r="G712" t="s">
        <v>570</v>
      </c>
      <c r="H712" t="s">
        <v>66</v>
      </c>
      <c r="I712" t="s">
        <v>22</v>
      </c>
      <c r="J712" t="s">
        <v>67</v>
      </c>
      <c r="K712" t="s">
        <v>34</v>
      </c>
      <c r="L712" s="6">
        <v>2739</v>
      </c>
      <c r="M712" s="6">
        <v>0</v>
      </c>
      <c r="N712" s="6">
        <v>-2739</v>
      </c>
      <c r="O712" s="6">
        <v>30613.84</v>
      </c>
      <c r="P712" s="7">
        <v>0</v>
      </c>
      <c r="Q712" s="6">
        <v>0</v>
      </c>
    </row>
    <row r="713" spans="1:17">
      <c r="A713">
        <v>712</v>
      </c>
      <c r="B713" s="5">
        <v>45750</v>
      </c>
      <c r="C713" t="s">
        <v>525</v>
      </c>
      <c r="D713" t="s">
        <v>526</v>
      </c>
      <c r="E713" t="s">
        <v>527</v>
      </c>
      <c r="F713">
        <v>2</v>
      </c>
      <c r="G713" t="s">
        <v>571</v>
      </c>
      <c r="H713" t="s">
        <v>66</v>
      </c>
      <c r="I713" t="s">
        <v>22</v>
      </c>
      <c r="J713" t="s">
        <v>67</v>
      </c>
      <c r="K713" t="s">
        <v>34</v>
      </c>
      <c r="L713" s="6">
        <v>2865.9</v>
      </c>
      <c r="M713" s="6">
        <v>0</v>
      </c>
      <c r="N713" s="6">
        <v>-2865.9</v>
      </c>
      <c r="O713" s="6">
        <v>27747.94</v>
      </c>
      <c r="P713" s="7">
        <v>0</v>
      </c>
      <c r="Q713" s="6">
        <v>0</v>
      </c>
    </row>
    <row r="714" spans="1:17">
      <c r="A714">
        <v>713</v>
      </c>
      <c r="B714" s="5">
        <v>45750</v>
      </c>
      <c r="C714" t="s">
        <v>525</v>
      </c>
      <c r="D714" t="s">
        <v>526</v>
      </c>
      <c r="E714" t="s">
        <v>527</v>
      </c>
      <c r="F714">
        <v>2</v>
      </c>
      <c r="G714" t="s">
        <v>572</v>
      </c>
      <c r="H714" t="s">
        <v>66</v>
      </c>
      <c r="I714" t="s">
        <v>22</v>
      </c>
      <c r="J714" t="s">
        <v>67</v>
      </c>
      <c r="K714" t="s">
        <v>34</v>
      </c>
      <c r="L714" s="6">
        <v>3000</v>
      </c>
      <c r="M714" s="6">
        <v>0</v>
      </c>
      <c r="N714" s="6">
        <v>-3000</v>
      </c>
      <c r="O714" s="6">
        <v>24747.94</v>
      </c>
      <c r="P714" s="7">
        <v>0</v>
      </c>
      <c r="Q714" s="6">
        <v>0</v>
      </c>
    </row>
    <row r="715" spans="1:17">
      <c r="A715">
        <v>714</v>
      </c>
      <c r="B715" s="5">
        <v>45750</v>
      </c>
      <c r="C715" t="s">
        <v>525</v>
      </c>
      <c r="D715" t="s">
        <v>526</v>
      </c>
      <c r="E715" t="s">
        <v>527</v>
      </c>
      <c r="F715">
        <v>2</v>
      </c>
      <c r="G715" t="s">
        <v>573</v>
      </c>
      <c r="H715" t="s">
        <v>66</v>
      </c>
      <c r="I715" t="s">
        <v>22</v>
      </c>
      <c r="J715" t="s">
        <v>67</v>
      </c>
      <c r="K715" t="s">
        <v>34</v>
      </c>
      <c r="L715" s="6">
        <v>8000</v>
      </c>
      <c r="M715" s="6">
        <v>0</v>
      </c>
      <c r="N715" s="6">
        <v>-8000</v>
      </c>
      <c r="O715" s="6">
        <v>16747.939999999999</v>
      </c>
      <c r="P715" s="7">
        <v>0</v>
      </c>
      <c r="Q715" s="6">
        <v>0</v>
      </c>
    </row>
    <row r="716" spans="1:17">
      <c r="A716">
        <v>715</v>
      </c>
      <c r="B716" s="5">
        <v>45750</v>
      </c>
      <c r="C716" t="s">
        <v>525</v>
      </c>
      <c r="D716" t="s">
        <v>526</v>
      </c>
      <c r="E716" t="s">
        <v>527</v>
      </c>
      <c r="F716">
        <v>2</v>
      </c>
      <c r="G716" t="s">
        <v>574</v>
      </c>
      <c r="H716" t="s">
        <v>66</v>
      </c>
      <c r="I716" t="s">
        <v>22</v>
      </c>
      <c r="J716" t="s">
        <v>67</v>
      </c>
      <c r="K716" t="s">
        <v>34</v>
      </c>
      <c r="L716" s="6">
        <v>11756.15</v>
      </c>
      <c r="M716" s="6">
        <v>0</v>
      </c>
      <c r="N716" s="6">
        <v>-11756.15</v>
      </c>
      <c r="O716" s="6">
        <v>4991.79</v>
      </c>
      <c r="P716" s="7">
        <v>0</v>
      </c>
      <c r="Q716" s="6">
        <v>0</v>
      </c>
    </row>
    <row r="717" spans="1:17">
      <c r="A717">
        <v>716</v>
      </c>
      <c r="B717" s="5">
        <v>45751</v>
      </c>
      <c r="C717" t="s">
        <v>525</v>
      </c>
      <c r="D717" t="s">
        <v>526</v>
      </c>
      <c r="E717" t="s">
        <v>527</v>
      </c>
      <c r="F717">
        <v>2</v>
      </c>
      <c r="G717" t="s">
        <v>175</v>
      </c>
      <c r="H717" t="s">
        <v>176</v>
      </c>
      <c r="I717" t="s">
        <v>16</v>
      </c>
      <c r="J717" t="s">
        <v>52</v>
      </c>
      <c r="K717" t="s">
        <v>35</v>
      </c>
      <c r="L717" s="6">
        <v>0</v>
      </c>
      <c r="M717" s="6">
        <v>2550</v>
      </c>
      <c r="N717" s="6">
        <v>2550</v>
      </c>
      <c r="O717" s="6">
        <v>7541.79</v>
      </c>
      <c r="P717" s="7">
        <v>0</v>
      </c>
      <c r="Q717" s="6">
        <v>0</v>
      </c>
    </row>
    <row r="718" spans="1:17">
      <c r="A718">
        <v>717</v>
      </c>
      <c r="B718" s="5">
        <v>45751</v>
      </c>
      <c r="C718" t="s">
        <v>525</v>
      </c>
      <c r="D718" t="s">
        <v>526</v>
      </c>
      <c r="E718" t="s">
        <v>527</v>
      </c>
      <c r="F718">
        <v>2</v>
      </c>
      <c r="G718" t="s">
        <v>240</v>
      </c>
      <c r="H718" t="s">
        <v>241</v>
      </c>
      <c r="I718" t="s">
        <v>16</v>
      </c>
      <c r="J718" t="s">
        <v>52</v>
      </c>
      <c r="K718" t="s">
        <v>35</v>
      </c>
      <c r="L718" s="6">
        <v>0</v>
      </c>
      <c r="M718" s="6">
        <v>20000</v>
      </c>
      <c r="N718" s="6">
        <v>20000</v>
      </c>
      <c r="O718" s="6">
        <v>27541.79</v>
      </c>
      <c r="P718" s="7">
        <v>0</v>
      </c>
      <c r="Q718" s="6">
        <v>0</v>
      </c>
    </row>
    <row r="719" spans="1:17">
      <c r="A719">
        <v>718</v>
      </c>
      <c r="B719" s="5">
        <v>45751</v>
      </c>
      <c r="C719" t="s">
        <v>525</v>
      </c>
      <c r="D719" t="s">
        <v>526</v>
      </c>
      <c r="E719" t="s">
        <v>527</v>
      </c>
      <c r="F719">
        <v>3</v>
      </c>
      <c r="G719" t="s">
        <v>227</v>
      </c>
      <c r="H719" t="s">
        <v>228</v>
      </c>
      <c r="I719" t="s">
        <v>16</v>
      </c>
      <c r="J719" t="s">
        <v>52</v>
      </c>
      <c r="K719" t="s">
        <v>35</v>
      </c>
      <c r="L719" s="6">
        <v>0</v>
      </c>
      <c r="M719" s="6">
        <v>5000</v>
      </c>
      <c r="N719" s="6">
        <v>5000</v>
      </c>
      <c r="O719" s="6">
        <v>32541.79</v>
      </c>
      <c r="P719" s="7">
        <v>0</v>
      </c>
      <c r="Q719" s="6">
        <v>0</v>
      </c>
    </row>
    <row r="720" spans="1:17">
      <c r="A720">
        <v>719</v>
      </c>
      <c r="B720" s="5">
        <v>45751</v>
      </c>
      <c r="C720" t="s">
        <v>525</v>
      </c>
      <c r="D720" t="s">
        <v>526</v>
      </c>
      <c r="E720" t="s">
        <v>527</v>
      </c>
      <c r="F720">
        <v>3</v>
      </c>
      <c r="G720" t="s">
        <v>506</v>
      </c>
      <c r="H720" t="s">
        <v>507</v>
      </c>
      <c r="I720" t="s">
        <v>16</v>
      </c>
      <c r="J720" t="s">
        <v>52</v>
      </c>
      <c r="K720" t="s">
        <v>35</v>
      </c>
      <c r="L720" s="6">
        <v>0</v>
      </c>
      <c r="M720" s="6">
        <v>500</v>
      </c>
      <c r="N720" s="6">
        <v>500</v>
      </c>
      <c r="O720" s="6">
        <v>33041.79</v>
      </c>
      <c r="P720" s="7">
        <v>0</v>
      </c>
      <c r="Q720" s="6">
        <v>0</v>
      </c>
    </row>
    <row r="721" spans="1:17">
      <c r="A721">
        <v>720</v>
      </c>
      <c r="B721" s="5">
        <v>45751</v>
      </c>
      <c r="C721" t="s">
        <v>525</v>
      </c>
      <c r="D721" t="s">
        <v>526</v>
      </c>
      <c r="E721" t="s">
        <v>527</v>
      </c>
      <c r="F721">
        <v>3</v>
      </c>
      <c r="G721" t="s">
        <v>575</v>
      </c>
      <c r="H721" t="s">
        <v>576</v>
      </c>
      <c r="I721" t="s">
        <v>18</v>
      </c>
      <c r="J721" t="s">
        <v>345</v>
      </c>
      <c r="K721" t="s">
        <v>34</v>
      </c>
      <c r="L721" s="6">
        <v>60</v>
      </c>
      <c r="M721" s="6">
        <v>0</v>
      </c>
      <c r="N721" s="6">
        <v>-60</v>
      </c>
      <c r="O721" s="6">
        <v>32981.79</v>
      </c>
      <c r="P721" s="7">
        <v>0</v>
      </c>
      <c r="Q721" s="6">
        <v>0</v>
      </c>
    </row>
    <row r="722" spans="1:17">
      <c r="A722">
        <v>721</v>
      </c>
      <c r="B722" s="5">
        <v>45751</v>
      </c>
      <c r="C722" t="s">
        <v>525</v>
      </c>
      <c r="D722" t="s">
        <v>526</v>
      </c>
      <c r="E722" t="s">
        <v>527</v>
      </c>
      <c r="F722">
        <v>3</v>
      </c>
      <c r="G722" t="s">
        <v>346</v>
      </c>
      <c r="I722" t="s">
        <v>14</v>
      </c>
      <c r="J722" t="s">
        <v>46</v>
      </c>
      <c r="K722" t="s">
        <v>34</v>
      </c>
      <c r="L722" s="6">
        <v>10</v>
      </c>
      <c r="M722" s="6">
        <v>0</v>
      </c>
      <c r="N722" s="6">
        <v>-10</v>
      </c>
      <c r="O722" s="6">
        <v>32971.79</v>
      </c>
      <c r="P722" s="7">
        <v>0.15</v>
      </c>
      <c r="Q722" s="6">
        <v>1.3</v>
      </c>
    </row>
    <row r="723" spans="1:17">
      <c r="A723">
        <v>722</v>
      </c>
      <c r="B723" s="5">
        <v>45751</v>
      </c>
      <c r="C723" t="s">
        <v>525</v>
      </c>
      <c r="D723" t="s">
        <v>526</v>
      </c>
      <c r="E723" t="s">
        <v>527</v>
      </c>
      <c r="F723">
        <v>3</v>
      </c>
      <c r="G723" t="s">
        <v>201</v>
      </c>
      <c r="H723" t="s">
        <v>100</v>
      </c>
      <c r="I723" t="s">
        <v>16</v>
      </c>
      <c r="J723" t="s">
        <v>52</v>
      </c>
      <c r="K723" t="s">
        <v>35</v>
      </c>
      <c r="L723" s="6">
        <v>0</v>
      </c>
      <c r="M723" s="6">
        <v>3000</v>
      </c>
      <c r="N723" s="6">
        <v>3000</v>
      </c>
      <c r="O723" s="6">
        <v>35971.79</v>
      </c>
      <c r="P723" s="7">
        <v>0</v>
      </c>
      <c r="Q723" s="6">
        <v>0</v>
      </c>
    </row>
    <row r="724" spans="1:17">
      <c r="A724">
        <v>723</v>
      </c>
      <c r="B724" s="5">
        <v>45751</v>
      </c>
      <c r="C724" t="s">
        <v>525</v>
      </c>
      <c r="D724" t="s">
        <v>526</v>
      </c>
      <c r="E724" t="s">
        <v>527</v>
      </c>
      <c r="F724">
        <v>3</v>
      </c>
      <c r="G724" t="s">
        <v>359</v>
      </c>
      <c r="H724" t="s">
        <v>360</v>
      </c>
      <c r="I724" t="s">
        <v>16</v>
      </c>
      <c r="J724" t="s">
        <v>52</v>
      </c>
      <c r="K724" t="s">
        <v>35</v>
      </c>
      <c r="L724" s="6">
        <v>0</v>
      </c>
      <c r="M724" s="6">
        <v>300</v>
      </c>
      <c r="N724" s="6">
        <v>300</v>
      </c>
      <c r="O724" s="6">
        <v>36271.79</v>
      </c>
      <c r="P724" s="7">
        <v>0</v>
      </c>
      <c r="Q724" s="6">
        <v>0</v>
      </c>
    </row>
    <row r="725" spans="1:17">
      <c r="A725">
        <v>724</v>
      </c>
      <c r="B725" s="5">
        <v>45751</v>
      </c>
      <c r="C725" t="s">
        <v>525</v>
      </c>
      <c r="D725" t="s">
        <v>526</v>
      </c>
      <c r="E725" t="s">
        <v>527</v>
      </c>
      <c r="F725">
        <v>3</v>
      </c>
      <c r="G725" t="s">
        <v>577</v>
      </c>
      <c r="H725" t="s">
        <v>578</v>
      </c>
      <c r="I725" t="s">
        <v>16</v>
      </c>
      <c r="J725" t="s">
        <v>52</v>
      </c>
      <c r="K725" t="s">
        <v>35</v>
      </c>
      <c r="L725" s="6">
        <v>0</v>
      </c>
      <c r="M725" s="6">
        <v>400</v>
      </c>
      <c r="N725" s="6">
        <v>400</v>
      </c>
      <c r="O725" s="6">
        <v>36671.79</v>
      </c>
      <c r="P725" s="7">
        <v>0</v>
      </c>
      <c r="Q725" s="6">
        <v>0</v>
      </c>
    </row>
    <row r="726" spans="1:17">
      <c r="A726">
        <v>725</v>
      </c>
      <c r="B726" s="5">
        <v>45751</v>
      </c>
      <c r="C726" t="s">
        <v>525</v>
      </c>
      <c r="D726" t="s">
        <v>526</v>
      </c>
      <c r="E726" t="s">
        <v>527</v>
      </c>
      <c r="F726">
        <v>3</v>
      </c>
      <c r="G726" t="s">
        <v>579</v>
      </c>
      <c r="H726" t="s">
        <v>66</v>
      </c>
      <c r="I726" t="s">
        <v>22</v>
      </c>
      <c r="J726" t="s">
        <v>67</v>
      </c>
      <c r="K726" t="s">
        <v>34</v>
      </c>
      <c r="L726" s="6">
        <v>20104.650000000001</v>
      </c>
      <c r="M726" s="6">
        <v>0</v>
      </c>
      <c r="N726" s="6">
        <v>-20104.650000000001</v>
      </c>
      <c r="O726" s="6">
        <v>16567.14</v>
      </c>
      <c r="P726" s="7">
        <v>0</v>
      </c>
      <c r="Q726" s="6">
        <v>0</v>
      </c>
    </row>
    <row r="727" spans="1:17">
      <c r="A727">
        <v>726</v>
      </c>
      <c r="B727" s="5">
        <v>45751</v>
      </c>
      <c r="C727" t="s">
        <v>525</v>
      </c>
      <c r="D727" t="s">
        <v>526</v>
      </c>
      <c r="E727" t="s">
        <v>527</v>
      </c>
      <c r="F727">
        <v>3</v>
      </c>
      <c r="G727" t="s">
        <v>580</v>
      </c>
      <c r="H727" t="s">
        <v>66</v>
      </c>
      <c r="I727" t="s">
        <v>22</v>
      </c>
      <c r="J727" t="s">
        <v>67</v>
      </c>
      <c r="K727" t="s">
        <v>34</v>
      </c>
      <c r="L727" s="6">
        <v>7000</v>
      </c>
      <c r="M727" s="6">
        <v>0</v>
      </c>
      <c r="N727" s="6">
        <v>-7000</v>
      </c>
      <c r="O727" s="6">
        <v>9567.14</v>
      </c>
      <c r="P727" s="7">
        <v>0</v>
      </c>
      <c r="Q727" s="6">
        <v>0</v>
      </c>
    </row>
    <row r="728" spans="1:17">
      <c r="A728">
        <v>727</v>
      </c>
      <c r="B728" s="5">
        <v>45751</v>
      </c>
      <c r="C728" t="s">
        <v>525</v>
      </c>
      <c r="D728" t="s">
        <v>526</v>
      </c>
      <c r="E728" t="s">
        <v>527</v>
      </c>
      <c r="F728">
        <v>3</v>
      </c>
      <c r="G728" t="s">
        <v>199</v>
      </c>
      <c r="H728" t="s">
        <v>200</v>
      </c>
      <c r="I728" t="s">
        <v>16</v>
      </c>
      <c r="J728" t="s">
        <v>52</v>
      </c>
      <c r="K728" t="s">
        <v>35</v>
      </c>
      <c r="L728" s="6">
        <v>0</v>
      </c>
      <c r="M728" s="6">
        <v>2500</v>
      </c>
      <c r="N728" s="6">
        <v>2500</v>
      </c>
      <c r="O728" s="6">
        <v>12067.14</v>
      </c>
      <c r="P728" s="7">
        <v>0</v>
      </c>
      <c r="Q728" s="6">
        <v>0</v>
      </c>
    </row>
    <row r="729" spans="1:17">
      <c r="A729">
        <v>728</v>
      </c>
      <c r="B729" s="5">
        <v>45751</v>
      </c>
      <c r="C729" t="s">
        <v>525</v>
      </c>
      <c r="D729" t="s">
        <v>526</v>
      </c>
      <c r="E729" t="s">
        <v>527</v>
      </c>
      <c r="F729">
        <v>3</v>
      </c>
      <c r="G729" t="s">
        <v>199</v>
      </c>
      <c r="H729" t="s">
        <v>200</v>
      </c>
      <c r="I729" t="s">
        <v>16</v>
      </c>
      <c r="J729" t="s">
        <v>52</v>
      </c>
      <c r="K729" t="s">
        <v>35</v>
      </c>
      <c r="L729" s="6">
        <v>0</v>
      </c>
      <c r="M729" s="6">
        <v>2500</v>
      </c>
      <c r="N729" s="6">
        <v>2500</v>
      </c>
      <c r="O729" s="6">
        <v>14567.14</v>
      </c>
      <c r="P729" s="7">
        <v>0</v>
      </c>
      <c r="Q729" s="6">
        <v>0</v>
      </c>
    </row>
    <row r="730" spans="1:17">
      <c r="A730">
        <v>729</v>
      </c>
      <c r="B730" s="5">
        <v>45751</v>
      </c>
      <c r="C730" t="s">
        <v>525</v>
      </c>
      <c r="D730" t="s">
        <v>526</v>
      </c>
      <c r="E730" t="s">
        <v>527</v>
      </c>
      <c r="F730">
        <v>3</v>
      </c>
      <c r="G730" t="s">
        <v>581</v>
      </c>
      <c r="H730" t="s">
        <v>582</v>
      </c>
      <c r="I730" t="s">
        <v>16</v>
      </c>
      <c r="J730" t="s">
        <v>52</v>
      </c>
      <c r="K730" t="s">
        <v>35</v>
      </c>
      <c r="L730" s="6">
        <v>0</v>
      </c>
      <c r="M730" s="6">
        <v>300</v>
      </c>
      <c r="N730" s="6">
        <v>300</v>
      </c>
      <c r="O730" s="6">
        <v>14867.14</v>
      </c>
      <c r="P730" s="7">
        <v>0</v>
      </c>
      <c r="Q730" s="6">
        <v>0</v>
      </c>
    </row>
    <row r="731" spans="1:17">
      <c r="A731">
        <v>730</v>
      </c>
      <c r="B731" s="5">
        <v>45751</v>
      </c>
      <c r="C731" t="s">
        <v>525</v>
      </c>
      <c r="D731" t="s">
        <v>526</v>
      </c>
      <c r="E731" t="s">
        <v>527</v>
      </c>
      <c r="F731">
        <v>3</v>
      </c>
      <c r="G731" t="s">
        <v>249</v>
      </c>
      <c r="H731" t="s">
        <v>250</v>
      </c>
      <c r="I731" t="s">
        <v>16</v>
      </c>
      <c r="J731" t="s">
        <v>52</v>
      </c>
      <c r="K731" t="s">
        <v>35</v>
      </c>
      <c r="L731" s="6">
        <v>0</v>
      </c>
      <c r="M731" s="6">
        <v>4000</v>
      </c>
      <c r="N731" s="6">
        <v>4000</v>
      </c>
      <c r="O731" s="6">
        <v>18867.14</v>
      </c>
      <c r="P731" s="7">
        <v>0</v>
      </c>
      <c r="Q731" s="6">
        <v>0</v>
      </c>
    </row>
    <row r="732" spans="1:17">
      <c r="A732">
        <v>731</v>
      </c>
      <c r="B732" s="5">
        <v>45751</v>
      </c>
      <c r="C732" t="s">
        <v>525</v>
      </c>
      <c r="D732" t="s">
        <v>526</v>
      </c>
      <c r="E732" t="s">
        <v>527</v>
      </c>
      <c r="F732">
        <v>3</v>
      </c>
      <c r="G732" t="s">
        <v>583</v>
      </c>
      <c r="H732" t="s">
        <v>584</v>
      </c>
      <c r="I732" t="s">
        <v>18</v>
      </c>
      <c r="J732" t="s">
        <v>345</v>
      </c>
      <c r="K732" t="s">
        <v>34</v>
      </c>
      <c r="L732" s="6">
        <v>210</v>
      </c>
      <c r="M732" s="6">
        <v>0</v>
      </c>
      <c r="N732" s="6">
        <v>-210</v>
      </c>
      <c r="O732" s="6">
        <v>18657.14</v>
      </c>
      <c r="P732" s="7">
        <v>0</v>
      </c>
      <c r="Q732" s="6">
        <v>0</v>
      </c>
    </row>
    <row r="733" spans="1:17">
      <c r="A733">
        <v>732</v>
      </c>
      <c r="B733" s="5">
        <v>45751</v>
      </c>
      <c r="C733" t="s">
        <v>525</v>
      </c>
      <c r="D733" t="s">
        <v>526</v>
      </c>
      <c r="E733" t="s">
        <v>527</v>
      </c>
      <c r="F733">
        <v>3</v>
      </c>
      <c r="G733" t="s">
        <v>346</v>
      </c>
      <c r="I733" t="s">
        <v>14</v>
      </c>
      <c r="J733" t="s">
        <v>46</v>
      </c>
      <c r="K733" t="s">
        <v>34</v>
      </c>
      <c r="L733" s="6">
        <v>20</v>
      </c>
      <c r="M733" s="6">
        <v>0</v>
      </c>
      <c r="N733" s="6">
        <v>-20</v>
      </c>
      <c r="O733" s="6">
        <v>18637.14</v>
      </c>
      <c r="P733" s="7">
        <v>0.15</v>
      </c>
      <c r="Q733" s="6">
        <v>2.61</v>
      </c>
    </row>
    <row r="734" spans="1:17">
      <c r="A734">
        <v>733</v>
      </c>
      <c r="B734" s="5">
        <v>45751</v>
      </c>
      <c r="C734" t="s">
        <v>525</v>
      </c>
      <c r="D734" t="s">
        <v>526</v>
      </c>
      <c r="E734" t="s">
        <v>527</v>
      </c>
      <c r="F734">
        <v>3</v>
      </c>
      <c r="G734" t="s">
        <v>585</v>
      </c>
      <c r="H734" t="s">
        <v>586</v>
      </c>
      <c r="I734" t="s">
        <v>16</v>
      </c>
      <c r="J734" t="s">
        <v>52</v>
      </c>
      <c r="K734" t="s">
        <v>35</v>
      </c>
      <c r="L734" s="6">
        <v>0</v>
      </c>
      <c r="M734" s="6">
        <v>2000</v>
      </c>
      <c r="N734" s="6">
        <v>2000</v>
      </c>
      <c r="O734" s="6">
        <v>20637.14</v>
      </c>
      <c r="P734" s="7">
        <v>0</v>
      </c>
      <c r="Q734" s="6">
        <v>0</v>
      </c>
    </row>
    <row r="735" spans="1:17">
      <c r="A735">
        <v>734</v>
      </c>
      <c r="B735" s="5">
        <v>45751</v>
      </c>
      <c r="C735" t="s">
        <v>525</v>
      </c>
      <c r="D735" t="s">
        <v>526</v>
      </c>
      <c r="E735" t="s">
        <v>527</v>
      </c>
      <c r="F735">
        <v>3</v>
      </c>
      <c r="G735" t="s">
        <v>258</v>
      </c>
      <c r="H735" t="s">
        <v>259</v>
      </c>
      <c r="I735" t="s">
        <v>16</v>
      </c>
      <c r="J735" t="s">
        <v>52</v>
      </c>
      <c r="K735" t="s">
        <v>35</v>
      </c>
      <c r="L735" s="6">
        <v>0</v>
      </c>
      <c r="M735" s="6">
        <v>700</v>
      </c>
      <c r="N735" s="6">
        <v>700</v>
      </c>
      <c r="O735" s="6">
        <v>21337.14</v>
      </c>
      <c r="P735" s="7">
        <v>0</v>
      </c>
      <c r="Q735" s="6">
        <v>0</v>
      </c>
    </row>
    <row r="736" spans="1:17">
      <c r="A736">
        <v>735</v>
      </c>
      <c r="B736" s="5">
        <v>45751</v>
      </c>
      <c r="C736" t="s">
        <v>525</v>
      </c>
      <c r="D736" t="s">
        <v>526</v>
      </c>
      <c r="E736" t="s">
        <v>527</v>
      </c>
      <c r="F736">
        <v>3</v>
      </c>
      <c r="G736" t="s">
        <v>587</v>
      </c>
      <c r="H736" t="s">
        <v>588</v>
      </c>
      <c r="I736" t="s">
        <v>16</v>
      </c>
      <c r="J736" t="s">
        <v>52</v>
      </c>
      <c r="K736" t="s">
        <v>35</v>
      </c>
      <c r="L736" s="6">
        <v>0</v>
      </c>
      <c r="M736" s="6">
        <v>50</v>
      </c>
      <c r="N736" s="6">
        <v>50</v>
      </c>
      <c r="O736" s="6">
        <v>21387.14</v>
      </c>
      <c r="P736" s="7">
        <v>0</v>
      </c>
      <c r="Q736" s="6">
        <v>0</v>
      </c>
    </row>
    <row r="737" spans="1:17">
      <c r="A737">
        <v>736</v>
      </c>
      <c r="B737" s="5">
        <v>45751</v>
      </c>
      <c r="C737" t="s">
        <v>525</v>
      </c>
      <c r="D737" t="s">
        <v>526</v>
      </c>
      <c r="E737" t="s">
        <v>527</v>
      </c>
      <c r="F737">
        <v>3</v>
      </c>
      <c r="G737" t="s">
        <v>194</v>
      </c>
      <c r="H737" t="s">
        <v>195</v>
      </c>
      <c r="I737" t="s">
        <v>16</v>
      </c>
      <c r="J737" t="s">
        <v>52</v>
      </c>
      <c r="K737" t="s">
        <v>35</v>
      </c>
      <c r="L737" s="6">
        <v>0</v>
      </c>
      <c r="M737" s="6">
        <v>1000</v>
      </c>
      <c r="N737" s="6">
        <v>1000</v>
      </c>
      <c r="O737" s="6">
        <v>22387.14</v>
      </c>
      <c r="P737" s="7">
        <v>0</v>
      </c>
      <c r="Q737" s="6">
        <v>0</v>
      </c>
    </row>
    <row r="738" spans="1:17">
      <c r="A738">
        <v>737</v>
      </c>
      <c r="B738" s="5">
        <v>45751</v>
      </c>
      <c r="C738" t="s">
        <v>525</v>
      </c>
      <c r="D738" t="s">
        <v>526</v>
      </c>
      <c r="E738" t="s">
        <v>527</v>
      </c>
      <c r="F738">
        <v>3</v>
      </c>
      <c r="G738" t="s">
        <v>193</v>
      </c>
      <c r="H738" t="s">
        <v>70</v>
      </c>
      <c r="I738" t="s">
        <v>16</v>
      </c>
      <c r="J738" t="s">
        <v>52</v>
      </c>
      <c r="K738" t="s">
        <v>35</v>
      </c>
      <c r="L738" s="6">
        <v>0</v>
      </c>
      <c r="M738" s="6">
        <v>3000</v>
      </c>
      <c r="N738" s="6">
        <v>3000</v>
      </c>
      <c r="O738" s="6">
        <v>25387.14</v>
      </c>
      <c r="P738" s="7">
        <v>0</v>
      </c>
      <c r="Q738" s="6">
        <v>0</v>
      </c>
    </row>
    <row r="739" spans="1:17">
      <c r="A739">
        <v>738</v>
      </c>
      <c r="B739" s="5">
        <v>45751</v>
      </c>
      <c r="C739" t="s">
        <v>525</v>
      </c>
      <c r="D739" t="s">
        <v>526</v>
      </c>
      <c r="E739" t="s">
        <v>527</v>
      </c>
      <c r="F739">
        <v>3</v>
      </c>
      <c r="G739" t="s">
        <v>385</v>
      </c>
      <c r="H739" t="s">
        <v>386</v>
      </c>
      <c r="I739" t="s">
        <v>16</v>
      </c>
      <c r="J739" t="s">
        <v>52</v>
      </c>
      <c r="K739" t="s">
        <v>35</v>
      </c>
      <c r="L739" s="6">
        <v>0</v>
      </c>
      <c r="M739" s="6">
        <v>350</v>
      </c>
      <c r="N739" s="6">
        <v>350</v>
      </c>
      <c r="O739" s="6">
        <v>25737.14</v>
      </c>
      <c r="P739" s="7">
        <v>0</v>
      </c>
      <c r="Q739" s="6">
        <v>0</v>
      </c>
    </row>
    <row r="740" spans="1:17">
      <c r="A740">
        <v>739</v>
      </c>
      <c r="B740" s="5">
        <v>45751</v>
      </c>
      <c r="C740" t="s">
        <v>525</v>
      </c>
      <c r="D740" t="s">
        <v>526</v>
      </c>
      <c r="E740" t="s">
        <v>527</v>
      </c>
      <c r="F740">
        <v>3</v>
      </c>
      <c r="G740" t="s">
        <v>274</v>
      </c>
      <c r="H740" t="s">
        <v>275</v>
      </c>
      <c r="I740" t="s">
        <v>16</v>
      </c>
      <c r="J740" t="s">
        <v>52</v>
      </c>
      <c r="K740" t="s">
        <v>35</v>
      </c>
      <c r="L740" s="6">
        <v>0</v>
      </c>
      <c r="M740" s="6">
        <v>2811</v>
      </c>
      <c r="N740" s="6">
        <v>2811</v>
      </c>
      <c r="O740" s="6">
        <v>28548.14</v>
      </c>
      <c r="P740" s="7">
        <v>0</v>
      </c>
      <c r="Q740" s="6">
        <v>0</v>
      </c>
    </row>
    <row r="741" spans="1:17">
      <c r="A741">
        <v>740</v>
      </c>
      <c r="B741" s="5">
        <v>45751</v>
      </c>
      <c r="C741" t="s">
        <v>525</v>
      </c>
      <c r="D741" t="s">
        <v>526</v>
      </c>
      <c r="E741" t="s">
        <v>527</v>
      </c>
      <c r="F741">
        <v>3</v>
      </c>
      <c r="G741" t="s">
        <v>589</v>
      </c>
      <c r="H741" t="s">
        <v>590</v>
      </c>
      <c r="I741" t="s">
        <v>16</v>
      </c>
      <c r="J741" t="s">
        <v>52</v>
      </c>
      <c r="K741" t="s">
        <v>35</v>
      </c>
      <c r="L741" s="6">
        <v>0</v>
      </c>
      <c r="M741" s="6">
        <v>500</v>
      </c>
      <c r="N741" s="6">
        <v>500</v>
      </c>
      <c r="O741" s="6">
        <v>29048.14</v>
      </c>
      <c r="P741" s="7">
        <v>0</v>
      </c>
      <c r="Q741" s="6">
        <v>0</v>
      </c>
    </row>
    <row r="742" spans="1:17">
      <c r="A742">
        <v>741</v>
      </c>
      <c r="B742" s="5">
        <v>45751</v>
      </c>
      <c r="C742" t="s">
        <v>525</v>
      </c>
      <c r="D742" t="s">
        <v>526</v>
      </c>
      <c r="E742" t="s">
        <v>527</v>
      </c>
      <c r="F742">
        <v>3</v>
      </c>
      <c r="G742" t="s">
        <v>589</v>
      </c>
      <c r="H742" t="s">
        <v>590</v>
      </c>
      <c r="I742" t="s">
        <v>16</v>
      </c>
      <c r="J742" t="s">
        <v>52</v>
      </c>
      <c r="K742" t="s">
        <v>35</v>
      </c>
      <c r="L742" s="6">
        <v>0</v>
      </c>
      <c r="M742" s="6">
        <v>500</v>
      </c>
      <c r="N742" s="6">
        <v>500</v>
      </c>
      <c r="O742" s="6">
        <v>29548.14</v>
      </c>
      <c r="P742" s="7">
        <v>0</v>
      </c>
      <c r="Q742" s="6">
        <v>0</v>
      </c>
    </row>
    <row r="743" spans="1:17">
      <c r="A743">
        <v>742</v>
      </c>
      <c r="B743" s="5">
        <v>45751</v>
      </c>
      <c r="C743" t="s">
        <v>525</v>
      </c>
      <c r="D743" t="s">
        <v>526</v>
      </c>
      <c r="E743" t="s">
        <v>527</v>
      </c>
      <c r="F743">
        <v>3</v>
      </c>
      <c r="G743" t="s">
        <v>202</v>
      </c>
      <c r="H743" t="s">
        <v>134</v>
      </c>
      <c r="I743" t="s">
        <v>16</v>
      </c>
      <c r="J743" t="s">
        <v>52</v>
      </c>
      <c r="K743" t="s">
        <v>35</v>
      </c>
      <c r="L743" s="6">
        <v>0</v>
      </c>
      <c r="M743" s="6">
        <v>1000</v>
      </c>
      <c r="N743" s="6">
        <v>1000</v>
      </c>
      <c r="O743" s="6">
        <v>30548.14</v>
      </c>
      <c r="P743" s="7">
        <v>0</v>
      </c>
      <c r="Q743" s="6">
        <v>0</v>
      </c>
    </row>
    <row r="744" spans="1:17">
      <c r="A744">
        <v>743</v>
      </c>
      <c r="B744" s="5">
        <v>45751</v>
      </c>
      <c r="C744" t="s">
        <v>525</v>
      </c>
      <c r="D744" t="s">
        <v>526</v>
      </c>
      <c r="E744" t="s">
        <v>527</v>
      </c>
      <c r="F744">
        <v>3</v>
      </c>
      <c r="G744" t="s">
        <v>314</v>
      </c>
      <c r="H744" t="s">
        <v>315</v>
      </c>
      <c r="I744" t="s">
        <v>16</v>
      </c>
      <c r="J744" t="s">
        <v>52</v>
      </c>
      <c r="K744" t="s">
        <v>35</v>
      </c>
      <c r="L744" s="6">
        <v>0</v>
      </c>
      <c r="M744" s="6">
        <v>200</v>
      </c>
      <c r="N744" s="6">
        <v>200</v>
      </c>
      <c r="O744" s="6">
        <v>30748.14</v>
      </c>
      <c r="P744" s="7">
        <v>0</v>
      </c>
      <c r="Q744" s="6">
        <v>0</v>
      </c>
    </row>
    <row r="745" spans="1:17">
      <c r="A745">
        <v>744</v>
      </c>
      <c r="B745" s="5">
        <v>45751</v>
      </c>
      <c r="C745" t="s">
        <v>525</v>
      </c>
      <c r="D745" t="s">
        <v>526</v>
      </c>
      <c r="E745" t="s">
        <v>527</v>
      </c>
      <c r="F745">
        <v>3</v>
      </c>
      <c r="G745" t="s">
        <v>435</v>
      </c>
      <c r="H745" t="s">
        <v>436</v>
      </c>
      <c r="I745" t="s">
        <v>16</v>
      </c>
      <c r="J745" t="s">
        <v>52</v>
      </c>
      <c r="K745" t="s">
        <v>35</v>
      </c>
      <c r="L745" s="6">
        <v>0</v>
      </c>
      <c r="M745" s="6">
        <v>200</v>
      </c>
      <c r="N745" s="6">
        <v>200</v>
      </c>
      <c r="O745" s="6">
        <v>30948.14</v>
      </c>
      <c r="P745" s="7">
        <v>0</v>
      </c>
      <c r="Q745" s="6">
        <v>0</v>
      </c>
    </row>
    <row r="746" spans="1:17">
      <c r="A746">
        <v>745</v>
      </c>
      <c r="B746" s="5">
        <v>45751</v>
      </c>
      <c r="C746" t="s">
        <v>525</v>
      </c>
      <c r="D746" t="s">
        <v>526</v>
      </c>
      <c r="E746" t="s">
        <v>527</v>
      </c>
      <c r="F746">
        <v>3</v>
      </c>
      <c r="G746" t="s">
        <v>591</v>
      </c>
      <c r="H746" t="s">
        <v>592</v>
      </c>
      <c r="I746" t="s">
        <v>16</v>
      </c>
      <c r="J746" t="s">
        <v>52</v>
      </c>
      <c r="K746" t="s">
        <v>35</v>
      </c>
      <c r="L746" s="6">
        <v>0</v>
      </c>
      <c r="M746" s="6">
        <v>3000</v>
      </c>
      <c r="N746" s="6">
        <v>3000</v>
      </c>
      <c r="O746" s="6">
        <v>33948.14</v>
      </c>
      <c r="P746" s="7">
        <v>0</v>
      </c>
      <c r="Q746" s="6">
        <v>0</v>
      </c>
    </row>
    <row r="747" spans="1:17">
      <c r="A747">
        <v>746</v>
      </c>
      <c r="B747" s="5">
        <v>45751</v>
      </c>
      <c r="C747" t="s">
        <v>525</v>
      </c>
      <c r="D747" t="s">
        <v>526</v>
      </c>
      <c r="E747" t="s">
        <v>527</v>
      </c>
      <c r="F747">
        <v>3</v>
      </c>
      <c r="G747" t="s">
        <v>194</v>
      </c>
      <c r="H747" t="s">
        <v>195</v>
      </c>
      <c r="I747" t="s">
        <v>16</v>
      </c>
      <c r="J747" t="s">
        <v>52</v>
      </c>
      <c r="K747" t="s">
        <v>35</v>
      </c>
      <c r="L747" s="6">
        <v>0</v>
      </c>
      <c r="M747" s="6">
        <v>900</v>
      </c>
      <c r="N747" s="6">
        <v>900</v>
      </c>
      <c r="O747" s="6">
        <v>34848.14</v>
      </c>
      <c r="P747" s="7">
        <v>0</v>
      </c>
      <c r="Q747" s="6">
        <v>0</v>
      </c>
    </row>
    <row r="748" spans="1:17">
      <c r="A748">
        <v>747</v>
      </c>
      <c r="B748" s="5">
        <v>45751</v>
      </c>
      <c r="C748" t="s">
        <v>525</v>
      </c>
      <c r="D748" t="s">
        <v>526</v>
      </c>
      <c r="E748" t="s">
        <v>527</v>
      </c>
      <c r="F748">
        <v>3</v>
      </c>
      <c r="G748" t="s">
        <v>194</v>
      </c>
      <c r="H748" t="s">
        <v>195</v>
      </c>
      <c r="I748" t="s">
        <v>16</v>
      </c>
      <c r="J748" t="s">
        <v>52</v>
      </c>
      <c r="K748" t="s">
        <v>35</v>
      </c>
      <c r="L748" s="6">
        <v>0</v>
      </c>
      <c r="M748" s="6">
        <v>2000</v>
      </c>
      <c r="N748" s="6">
        <v>2000</v>
      </c>
      <c r="O748" s="6">
        <v>36848.14</v>
      </c>
      <c r="P748" s="7">
        <v>0</v>
      </c>
      <c r="Q748" s="6">
        <v>0</v>
      </c>
    </row>
    <row r="749" spans="1:17">
      <c r="A749">
        <v>748</v>
      </c>
      <c r="B749" s="5">
        <v>45751</v>
      </c>
      <c r="C749" t="s">
        <v>525</v>
      </c>
      <c r="D749" t="s">
        <v>526</v>
      </c>
      <c r="E749" t="s">
        <v>527</v>
      </c>
      <c r="F749">
        <v>3</v>
      </c>
      <c r="G749" t="s">
        <v>278</v>
      </c>
      <c r="H749" t="s">
        <v>89</v>
      </c>
      <c r="I749" t="s">
        <v>16</v>
      </c>
      <c r="J749" t="s">
        <v>52</v>
      </c>
      <c r="K749" t="s">
        <v>35</v>
      </c>
      <c r="L749" s="6">
        <v>0</v>
      </c>
      <c r="M749" s="6">
        <v>260</v>
      </c>
      <c r="N749" s="6">
        <v>260</v>
      </c>
      <c r="O749" s="6">
        <v>37108.14</v>
      </c>
      <c r="P749" s="7">
        <v>0</v>
      </c>
      <c r="Q749" s="6">
        <v>0</v>
      </c>
    </row>
    <row r="750" spans="1:17">
      <c r="A750">
        <v>749</v>
      </c>
      <c r="B750" s="5">
        <v>45751</v>
      </c>
      <c r="C750" t="s">
        <v>525</v>
      </c>
      <c r="D750" t="s">
        <v>526</v>
      </c>
      <c r="E750" t="s">
        <v>527</v>
      </c>
      <c r="F750">
        <v>3</v>
      </c>
      <c r="G750" t="s">
        <v>278</v>
      </c>
      <c r="H750" t="s">
        <v>89</v>
      </c>
      <c r="I750" t="s">
        <v>16</v>
      </c>
      <c r="J750" t="s">
        <v>52</v>
      </c>
      <c r="K750" t="s">
        <v>35</v>
      </c>
      <c r="L750" s="6">
        <v>0</v>
      </c>
      <c r="M750" s="6">
        <v>200</v>
      </c>
      <c r="N750" s="6">
        <v>200</v>
      </c>
      <c r="O750" s="6">
        <v>37308.14</v>
      </c>
      <c r="P750" s="7">
        <v>0</v>
      </c>
      <c r="Q750" s="6">
        <v>0</v>
      </c>
    </row>
    <row r="751" spans="1:17">
      <c r="A751">
        <v>750</v>
      </c>
      <c r="B751" s="5">
        <v>45751</v>
      </c>
      <c r="C751" t="s">
        <v>525</v>
      </c>
      <c r="D751" t="s">
        <v>526</v>
      </c>
      <c r="E751" t="s">
        <v>527</v>
      </c>
      <c r="F751">
        <v>3</v>
      </c>
      <c r="G751" t="s">
        <v>593</v>
      </c>
      <c r="H751" t="s">
        <v>66</v>
      </c>
      <c r="I751" t="s">
        <v>22</v>
      </c>
      <c r="J751" t="s">
        <v>67</v>
      </c>
      <c r="K751" t="s">
        <v>34</v>
      </c>
      <c r="L751" s="6">
        <v>3000</v>
      </c>
      <c r="M751" s="6">
        <v>0</v>
      </c>
      <c r="N751" s="6">
        <v>-3000</v>
      </c>
      <c r="O751" s="6">
        <v>34308.14</v>
      </c>
      <c r="P751" s="7">
        <v>0</v>
      </c>
      <c r="Q751" s="6">
        <v>0</v>
      </c>
    </row>
    <row r="752" spans="1:17">
      <c r="A752">
        <v>751</v>
      </c>
      <c r="B752" s="5">
        <v>45751</v>
      </c>
      <c r="C752" t="s">
        <v>525</v>
      </c>
      <c r="D752" t="s">
        <v>526</v>
      </c>
      <c r="E752" t="s">
        <v>527</v>
      </c>
      <c r="F752">
        <v>3</v>
      </c>
      <c r="G752" t="s">
        <v>594</v>
      </c>
      <c r="H752" t="s">
        <v>66</v>
      </c>
      <c r="I752" t="s">
        <v>22</v>
      </c>
      <c r="J752" t="s">
        <v>67</v>
      </c>
      <c r="K752" t="s">
        <v>34</v>
      </c>
      <c r="L752" s="6">
        <v>400</v>
      </c>
      <c r="M752" s="6">
        <v>0</v>
      </c>
      <c r="N752" s="6">
        <v>-400</v>
      </c>
      <c r="O752" s="6">
        <v>33908.14</v>
      </c>
      <c r="P752" s="7">
        <v>0</v>
      </c>
      <c r="Q752" s="6">
        <v>0</v>
      </c>
    </row>
    <row r="753" spans="1:17">
      <c r="A753">
        <v>752</v>
      </c>
      <c r="B753" s="5">
        <v>45751</v>
      </c>
      <c r="C753" t="s">
        <v>525</v>
      </c>
      <c r="D753" t="s">
        <v>526</v>
      </c>
      <c r="E753" t="s">
        <v>527</v>
      </c>
      <c r="F753">
        <v>3</v>
      </c>
      <c r="G753" t="s">
        <v>595</v>
      </c>
      <c r="H753" t="s">
        <v>66</v>
      </c>
      <c r="I753" t="s">
        <v>22</v>
      </c>
      <c r="J753" t="s">
        <v>67</v>
      </c>
      <c r="K753" t="s">
        <v>34</v>
      </c>
      <c r="L753" s="6">
        <v>6221</v>
      </c>
      <c r="M753" s="6">
        <v>0</v>
      </c>
      <c r="N753" s="6">
        <v>-6221</v>
      </c>
      <c r="O753" s="6">
        <v>27687.14</v>
      </c>
      <c r="P753" s="7">
        <v>0</v>
      </c>
      <c r="Q753" s="6">
        <v>0</v>
      </c>
    </row>
    <row r="754" spans="1:17">
      <c r="A754">
        <v>753</v>
      </c>
      <c r="B754" s="5">
        <v>45751</v>
      </c>
      <c r="C754" t="s">
        <v>525</v>
      </c>
      <c r="D754" t="s">
        <v>526</v>
      </c>
      <c r="E754" t="s">
        <v>527</v>
      </c>
      <c r="F754">
        <v>3</v>
      </c>
      <c r="G754" t="s">
        <v>548</v>
      </c>
      <c r="H754" t="s">
        <v>549</v>
      </c>
      <c r="I754" t="s">
        <v>16</v>
      </c>
      <c r="J754" t="s">
        <v>52</v>
      </c>
      <c r="K754" t="s">
        <v>35</v>
      </c>
      <c r="L754" s="6">
        <v>0</v>
      </c>
      <c r="M754" s="6">
        <v>2000</v>
      </c>
      <c r="N754" s="6">
        <v>2000</v>
      </c>
      <c r="O754" s="6">
        <v>29687.14</v>
      </c>
      <c r="P754" s="7">
        <v>0</v>
      </c>
      <c r="Q754" s="6">
        <v>0</v>
      </c>
    </row>
    <row r="755" spans="1:17">
      <c r="A755">
        <v>754</v>
      </c>
      <c r="B755" s="5">
        <v>45751</v>
      </c>
      <c r="C755" t="s">
        <v>525</v>
      </c>
      <c r="D755" t="s">
        <v>526</v>
      </c>
      <c r="E755" t="s">
        <v>527</v>
      </c>
      <c r="F755">
        <v>3</v>
      </c>
      <c r="G755" t="s">
        <v>596</v>
      </c>
      <c r="H755" t="s">
        <v>66</v>
      </c>
      <c r="I755" t="s">
        <v>22</v>
      </c>
      <c r="J755" t="s">
        <v>67</v>
      </c>
      <c r="K755" t="s">
        <v>34</v>
      </c>
      <c r="L755" s="6">
        <v>2364.66</v>
      </c>
      <c r="M755" s="6">
        <v>0</v>
      </c>
      <c r="N755" s="6">
        <v>-2364.66</v>
      </c>
      <c r="O755" s="6">
        <v>27322.48</v>
      </c>
      <c r="P755" s="7">
        <v>0</v>
      </c>
      <c r="Q755" s="6">
        <v>0</v>
      </c>
    </row>
    <row r="756" spans="1:17">
      <c r="A756">
        <v>755</v>
      </c>
      <c r="B756" s="5">
        <v>45751</v>
      </c>
      <c r="C756" t="s">
        <v>525</v>
      </c>
      <c r="D756" t="s">
        <v>526</v>
      </c>
      <c r="E756" t="s">
        <v>527</v>
      </c>
      <c r="F756">
        <v>3</v>
      </c>
      <c r="G756" t="s">
        <v>597</v>
      </c>
      <c r="H756" t="s">
        <v>66</v>
      </c>
      <c r="I756" t="s">
        <v>22</v>
      </c>
      <c r="J756" t="s">
        <v>67</v>
      </c>
      <c r="K756" t="s">
        <v>34</v>
      </c>
      <c r="L756" s="6">
        <v>2600</v>
      </c>
      <c r="M756" s="6">
        <v>0</v>
      </c>
      <c r="N756" s="6">
        <v>-2600</v>
      </c>
      <c r="O756" s="6">
        <v>24722.48</v>
      </c>
      <c r="P756" s="7">
        <v>0</v>
      </c>
      <c r="Q756" s="6">
        <v>0</v>
      </c>
    </row>
    <row r="757" spans="1:17">
      <c r="A757">
        <v>756</v>
      </c>
      <c r="B757" s="5">
        <v>45751</v>
      </c>
      <c r="C757" t="s">
        <v>525</v>
      </c>
      <c r="D757" t="s">
        <v>526</v>
      </c>
      <c r="E757" t="s">
        <v>527</v>
      </c>
      <c r="F757">
        <v>3</v>
      </c>
      <c r="G757" t="s">
        <v>598</v>
      </c>
      <c r="H757" t="s">
        <v>66</v>
      </c>
      <c r="I757" t="s">
        <v>22</v>
      </c>
      <c r="J757" t="s">
        <v>67</v>
      </c>
      <c r="K757" t="s">
        <v>34</v>
      </c>
      <c r="L757" s="6">
        <v>4879.63</v>
      </c>
      <c r="M757" s="6">
        <v>0</v>
      </c>
      <c r="N757" s="6">
        <v>-4879.63</v>
      </c>
      <c r="O757" s="6">
        <v>19842.849999999999</v>
      </c>
      <c r="P757" s="7">
        <v>0</v>
      </c>
      <c r="Q757" s="6">
        <v>0</v>
      </c>
    </row>
    <row r="758" spans="1:17">
      <c r="A758">
        <v>757</v>
      </c>
      <c r="B758" s="5">
        <v>45751</v>
      </c>
      <c r="C758" t="s">
        <v>525</v>
      </c>
      <c r="D758" t="s">
        <v>526</v>
      </c>
      <c r="E758" t="s">
        <v>527</v>
      </c>
      <c r="F758">
        <v>3</v>
      </c>
      <c r="G758" t="s">
        <v>599</v>
      </c>
      <c r="H758" t="s">
        <v>66</v>
      </c>
      <c r="I758" t="s">
        <v>22</v>
      </c>
      <c r="J758" t="s">
        <v>67</v>
      </c>
      <c r="K758" t="s">
        <v>34</v>
      </c>
      <c r="L758" s="6">
        <v>1100</v>
      </c>
      <c r="M758" s="6">
        <v>0</v>
      </c>
      <c r="N758" s="6">
        <v>-1100</v>
      </c>
      <c r="O758" s="6">
        <v>18742.849999999999</v>
      </c>
      <c r="P758" s="7">
        <v>0</v>
      </c>
      <c r="Q758" s="6">
        <v>0</v>
      </c>
    </row>
    <row r="759" spans="1:17">
      <c r="A759">
        <v>758</v>
      </c>
      <c r="B759" s="5">
        <v>45751</v>
      </c>
      <c r="C759" t="s">
        <v>525</v>
      </c>
      <c r="D759" t="s">
        <v>526</v>
      </c>
      <c r="E759" t="s">
        <v>527</v>
      </c>
      <c r="F759">
        <v>3</v>
      </c>
      <c r="G759" t="s">
        <v>278</v>
      </c>
      <c r="H759" t="s">
        <v>89</v>
      </c>
      <c r="I759" t="s">
        <v>16</v>
      </c>
      <c r="J759" t="s">
        <v>52</v>
      </c>
      <c r="K759" t="s">
        <v>35</v>
      </c>
      <c r="L759" s="6">
        <v>0</v>
      </c>
      <c r="M759" s="6">
        <v>150</v>
      </c>
      <c r="N759" s="6">
        <v>150</v>
      </c>
      <c r="O759" s="6">
        <v>18892.849999999999</v>
      </c>
      <c r="P759" s="7">
        <v>0</v>
      </c>
      <c r="Q759" s="6">
        <v>0</v>
      </c>
    </row>
    <row r="760" spans="1:17">
      <c r="A760">
        <v>759</v>
      </c>
      <c r="B760" s="5">
        <v>45751</v>
      </c>
      <c r="C760" t="s">
        <v>525</v>
      </c>
      <c r="D760" t="s">
        <v>526</v>
      </c>
      <c r="E760" t="s">
        <v>527</v>
      </c>
      <c r="F760">
        <v>3</v>
      </c>
      <c r="G760" t="s">
        <v>587</v>
      </c>
      <c r="H760" t="s">
        <v>588</v>
      </c>
      <c r="I760" t="s">
        <v>16</v>
      </c>
      <c r="J760" t="s">
        <v>52</v>
      </c>
      <c r="K760" t="s">
        <v>35</v>
      </c>
      <c r="L760" s="6">
        <v>0</v>
      </c>
      <c r="M760" s="6">
        <v>5950</v>
      </c>
      <c r="N760" s="6">
        <v>5950</v>
      </c>
      <c r="O760" s="6">
        <v>24842.85</v>
      </c>
      <c r="P760" s="7">
        <v>0</v>
      </c>
      <c r="Q760" s="6">
        <v>0</v>
      </c>
    </row>
    <row r="761" spans="1:17">
      <c r="A761">
        <v>760</v>
      </c>
      <c r="B761" s="5">
        <v>45751</v>
      </c>
      <c r="C761" t="s">
        <v>525</v>
      </c>
      <c r="D761" t="s">
        <v>526</v>
      </c>
      <c r="E761" t="s">
        <v>527</v>
      </c>
      <c r="F761">
        <v>3</v>
      </c>
      <c r="G761" t="s">
        <v>253</v>
      </c>
      <c r="H761" t="s">
        <v>72</v>
      </c>
      <c r="I761" t="s">
        <v>16</v>
      </c>
      <c r="J761" t="s">
        <v>52</v>
      </c>
      <c r="K761" t="s">
        <v>35</v>
      </c>
      <c r="L761" s="6">
        <v>0</v>
      </c>
      <c r="M761" s="6">
        <v>3000</v>
      </c>
      <c r="N761" s="6">
        <v>3000</v>
      </c>
      <c r="O761" s="6">
        <v>27842.85</v>
      </c>
      <c r="P761" s="7">
        <v>0</v>
      </c>
      <c r="Q761" s="6">
        <v>0</v>
      </c>
    </row>
    <row r="762" spans="1:17">
      <c r="A762">
        <v>761</v>
      </c>
      <c r="B762" s="5">
        <v>45751</v>
      </c>
      <c r="C762" t="s">
        <v>525</v>
      </c>
      <c r="D762" t="s">
        <v>526</v>
      </c>
      <c r="E762" t="s">
        <v>527</v>
      </c>
      <c r="F762">
        <v>3</v>
      </c>
      <c r="G762" t="s">
        <v>193</v>
      </c>
      <c r="H762" t="s">
        <v>70</v>
      </c>
      <c r="I762" t="s">
        <v>16</v>
      </c>
      <c r="J762" t="s">
        <v>52</v>
      </c>
      <c r="K762" t="s">
        <v>35</v>
      </c>
      <c r="L762" s="6">
        <v>0</v>
      </c>
      <c r="M762" s="6">
        <v>3000</v>
      </c>
      <c r="N762" s="6">
        <v>3000</v>
      </c>
      <c r="O762" s="6">
        <v>30842.85</v>
      </c>
      <c r="P762" s="7">
        <v>0</v>
      </c>
      <c r="Q762" s="6">
        <v>0</v>
      </c>
    </row>
    <row r="763" spans="1:17">
      <c r="A763">
        <v>762</v>
      </c>
      <c r="B763" s="5">
        <v>45751</v>
      </c>
      <c r="C763" t="s">
        <v>525</v>
      </c>
      <c r="D763" t="s">
        <v>526</v>
      </c>
      <c r="E763" t="s">
        <v>527</v>
      </c>
      <c r="F763">
        <v>3</v>
      </c>
      <c r="G763" t="s">
        <v>312</v>
      </c>
      <c r="H763" t="s">
        <v>313</v>
      </c>
      <c r="I763" t="s">
        <v>16</v>
      </c>
      <c r="J763" t="s">
        <v>52</v>
      </c>
      <c r="K763" t="s">
        <v>35</v>
      </c>
      <c r="L763" s="6">
        <v>0</v>
      </c>
      <c r="M763" s="6">
        <v>550</v>
      </c>
      <c r="N763" s="6">
        <v>550</v>
      </c>
      <c r="O763" s="6">
        <v>31392.85</v>
      </c>
      <c r="P763" s="7">
        <v>0</v>
      </c>
      <c r="Q763" s="6">
        <v>0</v>
      </c>
    </row>
    <row r="764" spans="1:17">
      <c r="A764">
        <v>763</v>
      </c>
      <c r="B764" s="5">
        <v>45751</v>
      </c>
      <c r="C764" t="s">
        <v>525</v>
      </c>
      <c r="D764" t="s">
        <v>526</v>
      </c>
      <c r="E764" t="s">
        <v>527</v>
      </c>
      <c r="F764">
        <v>3</v>
      </c>
      <c r="G764" t="s">
        <v>325</v>
      </c>
      <c r="H764" t="s">
        <v>326</v>
      </c>
      <c r="I764" t="s">
        <v>16</v>
      </c>
      <c r="J764" t="s">
        <v>52</v>
      </c>
      <c r="K764" t="s">
        <v>35</v>
      </c>
      <c r="L764" s="6">
        <v>0</v>
      </c>
      <c r="M764" s="6">
        <v>1000</v>
      </c>
      <c r="N764" s="6">
        <v>1000</v>
      </c>
      <c r="O764" s="6">
        <v>32392.85</v>
      </c>
      <c r="P764" s="7">
        <v>0</v>
      </c>
      <c r="Q764" s="6">
        <v>0</v>
      </c>
    </row>
    <row r="765" spans="1:17">
      <c r="A765">
        <v>764</v>
      </c>
      <c r="B765" s="5">
        <v>45751</v>
      </c>
      <c r="C765" t="s">
        <v>525</v>
      </c>
      <c r="D765" t="s">
        <v>526</v>
      </c>
      <c r="E765" t="s">
        <v>527</v>
      </c>
      <c r="F765">
        <v>3</v>
      </c>
      <c r="G765" t="s">
        <v>253</v>
      </c>
      <c r="H765" t="s">
        <v>72</v>
      </c>
      <c r="I765" t="s">
        <v>16</v>
      </c>
      <c r="J765" t="s">
        <v>52</v>
      </c>
      <c r="K765" t="s">
        <v>35</v>
      </c>
      <c r="L765" s="6">
        <v>0</v>
      </c>
      <c r="M765" s="6">
        <v>3000</v>
      </c>
      <c r="N765" s="6">
        <v>3000</v>
      </c>
      <c r="O765" s="6">
        <v>35392.85</v>
      </c>
      <c r="P765" s="7">
        <v>0</v>
      </c>
      <c r="Q765" s="6">
        <v>0</v>
      </c>
    </row>
    <row r="766" spans="1:17">
      <c r="A766">
        <v>765</v>
      </c>
      <c r="B766" s="5">
        <v>45752</v>
      </c>
      <c r="C766" t="s">
        <v>525</v>
      </c>
      <c r="D766" t="s">
        <v>526</v>
      </c>
      <c r="E766" t="s">
        <v>527</v>
      </c>
      <c r="F766">
        <v>3</v>
      </c>
      <c r="G766" t="s">
        <v>600</v>
      </c>
      <c r="I766" t="s">
        <v>22</v>
      </c>
      <c r="J766" t="s">
        <v>67</v>
      </c>
      <c r="K766" t="s">
        <v>34</v>
      </c>
      <c r="L766" s="6">
        <v>15000</v>
      </c>
      <c r="M766" s="6">
        <v>0</v>
      </c>
      <c r="N766" s="6">
        <v>-15000</v>
      </c>
      <c r="O766" s="6">
        <v>20392.849999999999</v>
      </c>
      <c r="P766" s="7">
        <v>0</v>
      </c>
      <c r="Q766" s="6">
        <v>0</v>
      </c>
    </row>
    <row r="767" spans="1:17">
      <c r="A767">
        <v>766</v>
      </c>
      <c r="B767" s="5">
        <v>45754</v>
      </c>
      <c r="C767" t="s">
        <v>525</v>
      </c>
      <c r="D767" t="s">
        <v>526</v>
      </c>
      <c r="E767" t="s">
        <v>527</v>
      </c>
      <c r="F767">
        <v>3</v>
      </c>
      <c r="G767" t="s">
        <v>601</v>
      </c>
      <c r="H767" t="s">
        <v>66</v>
      </c>
      <c r="I767" t="s">
        <v>22</v>
      </c>
      <c r="J767" t="s">
        <v>67</v>
      </c>
      <c r="K767" t="s">
        <v>34</v>
      </c>
      <c r="L767" s="6">
        <v>1135.58</v>
      </c>
      <c r="M767" s="6">
        <v>0</v>
      </c>
      <c r="N767" s="6">
        <v>-1135.58</v>
      </c>
      <c r="O767" s="6">
        <v>19257.27</v>
      </c>
      <c r="P767" s="7">
        <v>0</v>
      </c>
      <c r="Q767" s="6">
        <v>0</v>
      </c>
    </row>
    <row r="768" spans="1:17">
      <c r="A768">
        <v>767</v>
      </c>
      <c r="B768" s="5">
        <v>45754</v>
      </c>
      <c r="C768" t="s">
        <v>525</v>
      </c>
      <c r="D768" t="s">
        <v>526</v>
      </c>
      <c r="E768" t="s">
        <v>527</v>
      </c>
      <c r="F768">
        <v>3</v>
      </c>
      <c r="G768" t="s">
        <v>602</v>
      </c>
      <c r="H768" t="s">
        <v>66</v>
      </c>
      <c r="I768" t="s">
        <v>22</v>
      </c>
      <c r="J768" t="s">
        <v>67</v>
      </c>
      <c r="K768" t="s">
        <v>34</v>
      </c>
      <c r="L768" s="6">
        <v>1658.6</v>
      </c>
      <c r="M768" s="6">
        <v>0</v>
      </c>
      <c r="N768" s="6">
        <v>-1658.6</v>
      </c>
      <c r="O768" s="6">
        <v>17598.669999999998</v>
      </c>
      <c r="P768" s="7">
        <v>0</v>
      </c>
      <c r="Q768" s="6">
        <v>0</v>
      </c>
    </row>
    <row r="769" spans="1:17">
      <c r="A769">
        <v>768</v>
      </c>
      <c r="B769" s="5">
        <v>45754</v>
      </c>
      <c r="C769" t="s">
        <v>525</v>
      </c>
      <c r="D769" t="s">
        <v>526</v>
      </c>
      <c r="E769" t="s">
        <v>527</v>
      </c>
      <c r="F769">
        <v>4</v>
      </c>
      <c r="G769" t="s">
        <v>603</v>
      </c>
      <c r="H769" t="s">
        <v>66</v>
      </c>
      <c r="I769" t="s">
        <v>22</v>
      </c>
      <c r="J769" t="s">
        <v>67</v>
      </c>
      <c r="K769" t="s">
        <v>34</v>
      </c>
      <c r="L769" s="6">
        <v>550</v>
      </c>
      <c r="M769" s="6">
        <v>0</v>
      </c>
      <c r="N769" s="6">
        <v>-550</v>
      </c>
      <c r="O769" s="6">
        <v>17048.669999999998</v>
      </c>
      <c r="P769" s="7">
        <v>0</v>
      </c>
      <c r="Q769" s="6">
        <v>0</v>
      </c>
    </row>
    <row r="770" spans="1:17">
      <c r="A770">
        <v>769</v>
      </c>
      <c r="B770" s="5">
        <v>45754</v>
      </c>
      <c r="C770" t="s">
        <v>525</v>
      </c>
      <c r="D770" t="s">
        <v>526</v>
      </c>
      <c r="E770" t="s">
        <v>527</v>
      </c>
      <c r="F770">
        <v>4</v>
      </c>
      <c r="G770" t="s">
        <v>191</v>
      </c>
      <c r="H770" t="s">
        <v>102</v>
      </c>
      <c r="I770" t="s">
        <v>16</v>
      </c>
      <c r="J770" t="s">
        <v>52</v>
      </c>
      <c r="K770" t="s">
        <v>35</v>
      </c>
      <c r="L770" s="6">
        <v>0</v>
      </c>
      <c r="M770" s="6">
        <v>200</v>
      </c>
      <c r="N770" s="6">
        <v>200</v>
      </c>
      <c r="O770" s="6">
        <v>17248.669999999998</v>
      </c>
      <c r="P770" s="7">
        <v>0</v>
      </c>
      <c r="Q770" s="6">
        <v>0</v>
      </c>
    </row>
    <row r="771" spans="1:17">
      <c r="A771">
        <v>770</v>
      </c>
      <c r="B771" s="5">
        <v>45754</v>
      </c>
      <c r="C771" t="s">
        <v>525</v>
      </c>
      <c r="D771" t="s">
        <v>526</v>
      </c>
      <c r="E771" t="s">
        <v>527</v>
      </c>
      <c r="F771">
        <v>4</v>
      </c>
      <c r="G771" t="s">
        <v>359</v>
      </c>
      <c r="H771" t="s">
        <v>360</v>
      </c>
      <c r="I771" t="s">
        <v>16</v>
      </c>
      <c r="J771" t="s">
        <v>52</v>
      </c>
      <c r="K771" t="s">
        <v>35</v>
      </c>
      <c r="L771" s="6">
        <v>0</v>
      </c>
      <c r="M771" s="6">
        <v>550</v>
      </c>
      <c r="N771" s="6">
        <v>550</v>
      </c>
      <c r="O771" s="6">
        <v>17798.669999999998</v>
      </c>
      <c r="P771" s="7">
        <v>0</v>
      </c>
      <c r="Q771" s="6">
        <v>0</v>
      </c>
    </row>
    <row r="772" spans="1:17">
      <c r="A772">
        <v>771</v>
      </c>
      <c r="B772" s="5">
        <v>45754</v>
      </c>
      <c r="C772" t="s">
        <v>525</v>
      </c>
      <c r="D772" t="s">
        <v>526</v>
      </c>
      <c r="E772" t="s">
        <v>527</v>
      </c>
      <c r="F772">
        <v>4</v>
      </c>
      <c r="G772" t="s">
        <v>278</v>
      </c>
      <c r="H772" t="s">
        <v>89</v>
      </c>
      <c r="I772" t="s">
        <v>16</v>
      </c>
      <c r="J772" t="s">
        <v>52</v>
      </c>
      <c r="K772" t="s">
        <v>35</v>
      </c>
      <c r="L772" s="6">
        <v>0</v>
      </c>
      <c r="M772" s="6">
        <v>105</v>
      </c>
      <c r="N772" s="6">
        <v>105</v>
      </c>
      <c r="O772" s="6">
        <v>17903.669999999998</v>
      </c>
      <c r="P772" s="7">
        <v>0</v>
      </c>
      <c r="Q772" s="6">
        <v>0</v>
      </c>
    </row>
    <row r="773" spans="1:17">
      <c r="A773">
        <v>772</v>
      </c>
      <c r="B773" s="5">
        <v>45754</v>
      </c>
      <c r="C773" t="s">
        <v>525</v>
      </c>
      <c r="D773" t="s">
        <v>526</v>
      </c>
      <c r="E773" t="s">
        <v>527</v>
      </c>
      <c r="F773">
        <v>4</v>
      </c>
      <c r="G773" t="s">
        <v>190</v>
      </c>
      <c r="H773" t="s">
        <v>112</v>
      </c>
      <c r="I773" t="s">
        <v>16</v>
      </c>
      <c r="J773" t="s">
        <v>52</v>
      </c>
      <c r="K773" t="s">
        <v>35</v>
      </c>
      <c r="L773" s="6">
        <v>0</v>
      </c>
      <c r="M773" s="6">
        <v>20000</v>
      </c>
      <c r="N773" s="6">
        <v>20000</v>
      </c>
      <c r="O773" s="6">
        <v>37903.67</v>
      </c>
      <c r="P773" s="7">
        <v>0</v>
      </c>
      <c r="Q773" s="6">
        <v>0</v>
      </c>
    </row>
    <row r="774" spans="1:17">
      <c r="A774">
        <v>773</v>
      </c>
      <c r="B774" s="5">
        <v>45754</v>
      </c>
      <c r="C774" t="s">
        <v>525</v>
      </c>
      <c r="D774" t="s">
        <v>526</v>
      </c>
      <c r="E774" t="s">
        <v>527</v>
      </c>
      <c r="F774">
        <v>4</v>
      </c>
      <c r="G774" t="s">
        <v>604</v>
      </c>
      <c r="H774" t="s">
        <v>344</v>
      </c>
      <c r="I774" t="s">
        <v>18</v>
      </c>
      <c r="J774" t="s">
        <v>345</v>
      </c>
      <c r="K774" t="s">
        <v>34</v>
      </c>
      <c r="L774" s="6">
        <v>500</v>
      </c>
      <c r="M774" s="6">
        <v>0</v>
      </c>
      <c r="N774" s="6">
        <v>-500</v>
      </c>
      <c r="O774" s="6">
        <v>37403.67</v>
      </c>
      <c r="P774" s="7">
        <v>0</v>
      </c>
      <c r="Q774" s="6">
        <v>0</v>
      </c>
    </row>
    <row r="775" spans="1:17">
      <c r="A775">
        <v>774</v>
      </c>
      <c r="B775" s="5">
        <v>45754</v>
      </c>
      <c r="C775" t="s">
        <v>525</v>
      </c>
      <c r="D775" t="s">
        <v>526</v>
      </c>
      <c r="E775" t="s">
        <v>527</v>
      </c>
      <c r="F775">
        <v>4</v>
      </c>
      <c r="G775" t="s">
        <v>346</v>
      </c>
      <c r="I775" t="s">
        <v>14</v>
      </c>
      <c r="J775" t="s">
        <v>46</v>
      </c>
      <c r="K775" t="s">
        <v>34</v>
      </c>
      <c r="L775" s="6">
        <v>30</v>
      </c>
      <c r="M775" s="6">
        <v>0</v>
      </c>
      <c r="N775" s="6">
        <v>-30</v>
      </c>
      <c r="O775" s="6">
        <v>37373.67</v>
      </c>
      <c r="P775" s="7">
        <v>0.15</v>
      </c>
      <c r="Q775" s="6">
        <v>3.91</v>
      </c>
    </row>
    <row r="776" spans="1:17">
      <c r="A776">
        <v>775</v>
      </c>
      <c r="B776" s="5">
        <v>45754</v>
      </c>
      <c r="C776" t="s">
        <v>525</v>
      </c>
      <c r="D776" t="s">
        <v>526</v>
      </c>
      <c r="E776" t="s">
        <v>527</v>
      </c>
      <c r="F776">
        <v>4</v>
      </c>
      <c r="G776" t="s">
        <v>605</v>
      </c>
      <c r="H776" t="s">
        <v>547</v>
      </c>
      <c r="I776" t="s">
        <v>18</v>
      </c>
      <c r="J776" t="s">
        <v>345</v>
      </c>
      <c r="K776" t="s">
        <v>34</v>
      </c>
      <c r="L776" s="6">
        <v>700</v>
      </c>
      <c r="M776" s="6">
        <v>0</v>
      </c>
      <c r="N776" s="6">
        <v>-700</v>
      </c>
      <c r="O776" s="6">
        <v>36673.67</v>
      </c>
      <c r="P776" s="7">
        <v>0</v>
      </c>
      <c r="Q776" s="6">
        <v>0</v>
      </c>
    </row>
    <row r="777" spans="1:17">
      <c r="A777">
        <v>776</v>
      </c>
      <c r="B777" s="5">
        <v>45754</v>
      </c>
      <c r="C777" t="s">
        <v>525</v>
      </c>
      <c r="D777" t="s">
        <v>526</v>
      </c>
      <c r="E777" t="s">
        <v>527</v>
      </c>
      <c r="F777">
        <v>4</v>
      </c>
      <c r="G777" t="s">
        <v>346</v>
      </c>
      <c r="I777" t="s">
        <v>14</v>
      </c>
      <c r="J777" t="s">
        <v>46</v>
      </c>
      <c r="K777" t="s">
        <v>34</v>
      </c>
      <c r="L777" s="6">
        <v>30</v>
      </c>
      <c r="M777" s="6">
        <v>0</v>
      </c>
      <c r="N777" s="6">
        <v>-30</v>
      </c>
      <c r="O777" s="6">
        <v>36643.67</v>
      </c>
      <c r="P777" s="7">
        <v>0.15</v>
      </c>
      <c r="Q777" s="6">
        <v>3.91</v>
      </c>
    </row>
    <row r="778" spans="1:17">
      <c r="A778">
        <v>777</v>
      </c>
      <c r="B778" s="5">
        <v>45754</v>
      </c>
      <c r="C778" t="s">
        <v>525</v>
      </c>
      <c r="D778" t="s">
        <v>526</v>
      </c>
      <c r="E778" t="s">
        <v>527</v>
      </c>
      <c r="F778">
        <v>4</v>
      </c>
      <c r="G778" t="s">
        <v>606</v>
      </c>
      <c r="H778" t="s">
        <v>584</v>
      </c>
      <c r="I778" t="s">
        <v>18</v>
      </c>
      <c r="J778" t="s">
        <v>345</v>
      </c>
      <c r="K778" t="s">
        <v>34</v>
      </c>
      <c r="L778" s="6">
        <v>520</v>
      </c>
      <c r="M778" s="6">
        <v>0</v>
      </c>
      <c r="N778" s="6">
        <v>-520</v>
      </c>
      <c r="O778" s="6">
        <v>36123.67</v>
      </c>
      <c r="P778" s="7">
        <v>0</v>
      </c>
      <c r="Q778" s="6">
        <v>0</v>
      </c>
    </row>
    <row r="779" spans="1:17">
      <c r="A779">
        <v>778</v>
      </c>
      <c r="B779" s="5">
        <v>45754</v>
      </c>
      <c r="C779" t="s">
        <v>525</v>
      </c>
      <c r="D779" t="s">
        <v>526</v>
      </c>
      <c r="E779" t="s">
        <v>527</v>
      </c>
      <c r="F779">
        <v>4</v>
      </c>
      <c r="G779" t="s">
        <v>346</v>
      </c>
      <c r="I779" t="s">
        <v>14</v>
      </c>
      <c r="J779" t="s">
        <v>46</v>
      </c>
      <c r="K779" t="s">
        <v>34</v>
      </c>
      <c r="L779" s="6">
        <v>30</v>
      </c>
      <c r="M779" s="6">
        <v>0</v>
      </c>
      <c r="N779" s="6">
        <v>-30</v>
      </c>
      <c r="O779" s="6">
        <v>36093.67</v>
      </c>
      <c r="P779" s="7">
        <v>0.15</v>
      </c>
      <c r="Q779" s="6">
        <v>3.91</v>
      </c>
    </row>
    <row r="780" spans="1:17">
      <c r="A780">
        <v>779</v>
      </c>
      <c r="B780" s="5">
        <v>45754</v>
      </c>
      <c r="C780" t="s">
        <v>525</v>
      </c>
      <c r="D780" t="s">
        <v>526</v>
      </c>
      <c r="E780" t="s">
        <v>527</v>
      </c>
      <c r="F780">
        <v>4</v>
      </c>
      <c r="G780" t="s">
        <v>607</v>
      </c>
      <c r="H780" t="s">
        <v>66</v>
      </c>
      <c r="I780" t="s">
        <v>22</v>
      </c>
      <c r="J780" t="s">
        <v>67</v>
      </c>
      <c r="K780" t="s">
        <v>34</v>
      </c>
      <c r="L780" s="6">
        <v>550.22</v>
      </c>
      <c r="M780" s="6">
        <v>0</v>
      </c>
      <c r="N780" s="6">
        <v>-550.22</v>
      </c>
      <c r="O780" s="6">
        <v>35543.449999999997</v>
      </c>
      <c r="P780" s="7">
        <v>0</v>
      </c>
      <c r="Q780" s="6">
        <v>0</v>
      </c>
    </row>
    <row r="781" spans="1:17">
      <c r="A781">
        <v>780</v>
      </c>
      <c r="B781" s="5">
        <v>45754</v>
      </c>
      <c r="C781" t="s">
        <v>525</v>
      </c>
      <c r="D781" t="s">
        <v>526</v>
      </c>
      <c r="E781" t="s">
        <v>527</v>
      </c>
      <c r="F781">
        <v>4</v>
      </c>
      <c r="G781" t="s">
        <v>608</v>
      </c>
      <c r="H781" t="s">
        <v>66</v>
      </c>
      <c r="I781" t="s">
        <v>22</v>
      </c>
      <c r="J781" t="s">
        <v>67</v>
      </c>
      <c r="K781" t="s">
        <v>34</v>
      </c>
      <c r="L781" s="6">
        <v>1000</v>
      </c>
      <c r="M781" s="6">
        <v>0</v>
      </c>
      <c r="N781" s="6">
        <v>-1000</v>
      </c>
      <c r="O781" s="6">
        <v>34543.449999999997</v>
      </c>
      <c r="P781" s="7">
        <v>0</v>
      </c>
      <c r="Q781" s="6">
        <v>0</v>
      </c>
    </row>
    <row r="782" spans="1:17">
      <c r="A782">
        <v>781</v>
      </c>
      <c r="B782" s="5">
        <v>45754</v>
      </c>
      <c r="C782" t="s">
        <v>525</v>
      </c>
      <c r="D782" t="s">
        <v>526</v>
      </c>
      <c r="E782" t="s">
        <v>527</v>
      </c>
      <c r="F782">
        <v>4</v>
      </c>
      <c r="G782" t="s">
        <v>609</v>
      </c>
      <c r="H782" t="s">
        <v>66</v>
      </c>
      <c r="I782" t="s">
        <v>22</v>
      </c>
      <c r="J782" t="s">
        <v>67</v>
      </c>
      <c r="K782" t="s">
        <v>34</v>
      </c>
      <c r="L782" s="6">
        <v>149</v>
      </c>
      <c r="M782" s="6">
        <v>0</v>
      </c>
      <c r="N782" s="6">
        <v>-149</v>
      </c>
      <c r="O782" s="6">
        <v>34394.449999999997</v>
      </c>
      <c r="P782" s="7">
        <v>0</v>
      </c>
      <c r="Q782" s="6">
        <v>0</v>
      </c>
    </row>
    <row r="783" spans="1:17">
      <c r="A783">
        <v>782</v>
      </c>
      <c r="B783" s="5">
        <v>45754</v>
      </c>
      <c r="C783" t="s">
        <v>525</v>
      </c>
      <c r="D783" t="s">
        <v>526</v>
      </c>
      <c r="E783" t="s">
        <v>527</v>
      </c>
      <c r="F783">
        <v>4</v>
      </c>
      <c r="G783" t="s">
        <v>610</v>
      </c>
      <c r="H783" t="s">
        <v>66</v>
      </c>
      <c r="I783" t="s">
        <v>22</v>
      </c>
      <c r="J783" t="s">
        <v>67</v>
      </c>
      <c r="K783" t="s">
        <v>34</v>
      </c>
      <c r="L783" s="6">
        <v>1212.17</v>
      </c>
      <c r="M783" s="6">
        <v>0</v>
      </c>
      <c r="N783" s="6">
        <v>-1212.17</v>
      </c>
      <c r="O783" s="6">
        <v>33182.28</v>
      </c>
      <c r="P783" s="7">
        <v>0</v>
      </c>
      <c r="Q783" s="6">
        <v>0</v>
      </c>
    </row>
    <row r="784" spans="1:17">
      <c r="A784">
        <v>783</v>
      </c>
      <c r="B784" s="5">
        <v>45754</v>
      </c>
      <c r="C784" t="s">
        <v>525</v>
      </c>
      <c r="D784" t="s">
        <v>526</v>
      </c>
      <c r="E784" t="s">
        <v>527</v>
      </c>
      <c r="F784">
        <v>4</v>
      </c>
      <c r="G784" t="s">
        <v>611</v>
      </c>
      <c r="H784" t="s">
        <v>66</v>
      </c>
      <c r="I784" t="s">
        <v>22</v>
      </c>
      <c r="J784" t="s">
        <v>67</v>
      </c>
      <c r="K784" t="s">
        <v>34</v>
      </c>
      <c r="L784" s="6">
        <v>500</v>
      </c>
      <c r="M784" s="6">
        <v>0</v>
      </c>
      <c r="N784" s="6">
        <v>-500</v>
      </c>
      <c r="O784" s="6">
        <v>32682.28</v>
      </c>
      <c r="P784" s="7">
        <v>0</v>
      </c>
      <c r="Q784" s="6">
        <v>0</v>
      </c>
    </row>
    <row r="785" spans="1:17">
      <c r="A785">
        <v>784</v>
      </c>
      <c r="B785" s="5">
        <v>45754</v>
      </c>
      <c r="C785" t="s">
        <v>525</v>
      </c>
      <c r="D785" t="s">
        <v>526</v>
      </c>
      <c r="E785" t="s">
        <v>527</v>
      </c>
      <c r="F785">
        <v>4</v>
      </c>
      <c r="G785" t="s">
        <v>325</v>
      </c>
      <c r="H785" t="s">
        <v>326</v>
      </c>
      <c r="I785" t="s">
        <v>16</v>
      </c>
      <c r="J785" t="s">
        <v>52</v>
      </c>
      <c r="K785" t="s">
        <v>35</v>
      </c>
      <c r="L785" s="6">
        <v>0</v>
      </c>
      <c r="M785" s="6">
        <v>1000</v>
      </c>
      <c r="N785" s="6">
        <v>1000</v>
      </c>
      <c r="O785" s="6">
        <v>33682.28</v>
      </c>
      <c r="P785" s="7">
        <v>0</v>
      </c>
      <c r="Q785" s="6">
        <v>0</v>
      </c>
    </row>
    <row r="786" spans="1:17">
      <c r="A786">
        <v>785</v>
      </c>
      <c r="B786" s="5">
        <v>45754</v>
      </c>
      <c r="C786" t="s">
        <v>525</v>
      </c>
      <c r="D786" t="s">
        <v>526</v>
      </c>
      <c r="E786" t="s">
        <v>527</v>
      </c>
      <c r="F786">
        <v>4</v>
      </c>
      <c r="G786" t="s">
        <v>379</v>
      </c>
      <c r="H786" t="s">
        <v>75</v>
      </c>
      <c r="I786" t="s">
        <v>16</v>
      </c>
      <c r="J786" t="s">
        <v>52</v>
      </c>
      <c r="K786" t="s">
        <v>35</v>
      </c>
      <c r="L786" s="6">
        <v>0</v>
      </c>
      <c r="M786" s="6">
        <v>9500</v>
      </c>
      <c r="N786" s="6">
        <v>9500</v>
      </c>
      <c r="O786" s="6">
        <v>43182.28</v>
      </c>
      <c r="P786" s="7">
        <v>0</v>
      </c>
      <c r="Q786" s="6">
        <v>0</v>
      </c>
    </row>
    <row r="787" spans="1:17">
      <c r="A787">
        <v>786</v>
      </c>
      <c r="B787" s="5">
        <v>45754</v>
      </c>
      <c r="C787" t="s">
        <v>525</v>
      </c>
      <c r="D787" t="s">
        <v>526</v>
      </c>
      <c r="E787" t="s">
        <v>527</v>
      </c>
      <c r="F787">
        <v>4</v>
      </c>
      <c r="G787" t="s">
        <v>612</v>
      </c>
      <c r="I787" t="s">
        <v>22</v>
      </c>
      <c r="J787" t="s">
        <v>67</v>
      </c>
      <c r="K787" t="s">
        <v>34</v>
      </c>
      <c r="L787" s="6">
        <v>20219.599999999999</v>
      </c>
      <c r="M787" s="6">
        <v>0</v>
      </c>
      <c r="N787" s="6">
        <v>-20219.599999999999</v>
      </c>
      <c r="O787" s="6">
        <v>22962.68</v>
      </c>
      <c r="P787" s="7">
        <v>0</v>
      </c>
      <c r="Q787" s="6">
        <v>0</v>
      </c>
    </row>
    <row r="788" spans="1:17">
      <c r="A788">
        <v>787</v>
      </c>
      <c r="B788" s="5">
        <v>45754</v>
      </c>
      <c r="C788" t="s">
        <v>525</v>
      </c>
      <c r="D788" t="s">
        <v>526</v>
      </c>
      <c r="E788" t="s">
        <v>527</v>
      </c>
      <c r="F788">
        <v>4</v>
      </c>
      <c r="G788" t="s">
        <v>613</v>
      </c>
      <c r="H788" t="s">
        <v>614</v>
      </c>
      <c r="I788" t="s">
        <v>16</v>
      </c>
      <c r="J788" t="s">
        <v>52</v>
      </c>
      <c r="K788" t="s">
        <v>35</v>
      </c>
      <c r="L788" s="6">
        <v>0</v>
      </c>
      <c r="M788" s="6">
        <v>500</v>
      </c>
      <c r="N788" s="6">
        <v>500</v>
      </c>
      <c r="O788" s="6">
        <v>23462.68</v>
      </c>
      <c r="P788" s="7">
        <v>0</v>
      </c>
      <c r="Q788" s="6">
        <v>0</v>
      </c>
    </row>
    <row r="789" spans="1:17">
      <c r="A789">
        <v>788</v>
      </c>
      <c r="B789" s="5">
        <v>45754</v>
      </c>
      <c r="C789" t="s">
        <v>525</v>
      </c>
      <c r="D789" t="s">
        <v>526</v>
      </c>
      <c r="E789" t="s">
        <v>527</v>
      </c>
      <c r="F789">
        <v>4</v>
      </c>
      <c r="G789" t="s">
        <v>615</v>
      </c>
      <c r="H789" t="s">
        <v>616</v>
      </c>
      <c r="I789" t="s">
        <v>16</v>
      </c>
      <c r="J789" t="s">
        <v>52</v>
      </c>
      <c r="K789" t="s">
        <v>35</v>
      </c>
      <c r="L789" s="6">
        <v>0</v>
      </c>
      <c r="M789" s="6">
        <v>60</v>
      </c>
      <c r="N789" s="6">
        <v>60</v>
      </c>
      <c r="O789" s="6">
        <v>23522.68</v>
      </c>
      <c r="P789" s="7">
        <v>0</v>
      </c>
      <c r="Q789" s="6">
        <v>0</v>
      </c>
    </row>
    <row r="790" spans="1:17">
      <c r="A790">
        <v>789</v>
      </c>
      <c r="B790" s="5">
        <v>45754</v>
      </c>
      <c r="C790" t="s">
        <v>525</v>
      </c>
      <c r="D790" t="s">
        <v>526</v>
      </c>
      <c r="E790" t="s">
        <v>527</v>
      </c>
      <c r="F790">
        <v>4</v>
      </c>
      <c r="G790" t="s">
        <v>581</v>
      </c>
      <c r="H790" t="s">
        <v>582</v>
      </c>
      <c r="I790" t="s">
        <v>16</v>
      </c>
      <c r="J790" t="s">
        <v>52</v>
      </c>
      <c r="K790" t="s">
        <v>35</v>
      </c>
      <c r="L790" s="6">
        <v>0</v>
      </c>
      <c r="M790" s="6">
        <v>800</v>
      </c>
      <c r="N790" s="6">
        <v>800</v>
      </c>
      <c r="O790" s="6">
        <v>24322.68</v>
      </c>
      <c r="P790" s="7">
        <v>0</v>
      </c>
      <c r="Q790" s="6">
        <v>0</v>
      </c>
    </row>
    <row r="791" spans="1:17">
      <c r="A791">
        <v>790</v>
      </c>
      <c r="B791" s="5">
        <v>45754</v>
      </c>
      <c r="C791" t="s">
        <v>525</v>
      </c>
      <c r="D791" t="s">
        <v>526</v>
      </c>
      <c r="E791" t="s">
        <v>527</v>
      </c>
      <c r="F791">
        <v>4</v>
      </c>
      <c r="G791" t="s">
        <v>617</v>
      </c>
      <c r="H791" t="s">
        <v>66</v>
      </c>
      <c r="I791" t="s">
        <v>22</v>
      </c>
      <c r="J791" t="s">
        <v>67</v>
      </c>
      <c r="K791" t="s">
        <v>34</v>
      </c>
      <c r="L791" s="6">
        <v>898.6</v>
      </c>
      <c r="M791" s="6">
        <v>0</v>
      </c>
      <c r="N791" s="6">
        <v>-898.6</v>
      </c>
      <c r="O791" s="6">
        <v>23424.080000000002</v>
      </c>
      <c r="P791" s="7">
        <v>0</v>
      </c>
      <c r="Q791" s="6">
        <v>0</v>
      </c>
    </row>
    <row r="792" spans="1:17">
      <c r="A792">
        <v>791</v>
      </c>
      <c r="B792" s="5">
        <v>45754</v>
      </c>
      <c r="C792" t="s">
        <v>525</v>
      </c>
      <c r="D792" t="s">
        <v>526</v>
      </c>
      <c r="E792" t="s">
        <v>527</v>
      </c>
      <c r="F792">
        <v>4</v>
      </c>
      <c r="G792" t="s">
        <v>618</v>
      </c>
      <c r="H792" t="s">
        <v>66</v>
      </c>
      <c r="I792" t="s">
        <v>22</v>
      </c>
      <c r="J792" t="s">
        <v>67</v>
      </c>
      <c r="K792" t="s">
        <v>34</v>
      </c>
      <c r="L792" s="6">
        <v>6000</v>
      </c>
      <c r="M792" s="6">
        <v>0</v>
      </c>
      <c r="N792" s="6">
        <v>-6000</v>
      </c>
      <c r="O792" s="6">
        <v>17424.080000000002</v>
      </c>
      <c r="P792" s="7">
        <v>0</v>
      </c>
      <c r="Q792" s="6">
        <v>0</v>
      </c>
    </row>
    <row r="793" spans="1:17">
      <c r="A793">
        <v>792</v>
      </c>
      <c r="B793" s="5">
        <v>45754</v>
      </c>
      <c r="C793" t="s">
        <v>525</v>
      </c>
      <c r="D793" t="s">
        <v>526</v>
      </c>
      <c r="E793" t="s">
        <v>527</v>
      </c>
      <c r="F793">
        <v>4</v>
      </c>
      <c r="G793" t="s">
        <v>619</v>
      </c>
      <c r="H793" t="s">
        <v>66</v>
      </c>
      <c r="I793" t="s">
        <v>22</v>
      </c>
      <c r="J793" t="s">
        <v>67</v>
      </c>
      <c r="K793" t="s">
        <v>34</v>
      </c>
      <c r="L793" s="6">
        <v>281</v>
      </c>
      <c r="M793" s="6">
        <v>0</v>
      </c>
      <c r="N793" s="6">
        <v>-281</v>
      </c>
      <c r="O793" s="6">
        <v>17143.080000000002</v>
      </c>
      <c r="P793" s="7">
        <v>0</v>
      </c>
      <c r="Q793" s="6">
        <v>0</v>
      </c>
    </row>
    <row r="794" spans="1:17">
      <c r="A794">
        <v>793</v>
      </c>
      <c r="B794" s="5">
        <v>45754</v>
      </c>
      <c r="C794" t="s">
        <v>525</v>
      </c>
      <c r="D794" t="s">
        <v>526</v>
      </c>
      <c r="E794" t="s">
        <v>527</v>
      </c>
      <c r="F794">
        <v>4</v>
      </c>
      <c r="G794" t="s">
        <v>620</v>
      </c>
      <c r="H794" t="s">
        <v>66</v>
      </c>
      <c r="I794" t="s">
        <v>22</v>
      </c>
      <c r="J794" t="s">
        <v>67</v>
      </c>
      <c r="K794" t="s">
        <v>34</v>
      </c>
      <c r="L794" s="6">
        <v>599</v>
      </c>
      <c r="M794" s="6">
        <v>0</v>
      </c>
      <c r="N794" s="6">
        <v>-599</v>
      </c>
      <c r="O794" s="6">
        <v>16544.080000000002</v>
      </c>
      <c r="P794" s="7">
        <v>0</v>
      </c>
      <c r="Q794" s="6">
        <v>0</v>
      </c>
    </row>
    <row r="795" spans="1:17">
      <c r="A795">
        <v>794</v>
      </c>
      <c r="B795" s="5">
        <v>45754</v>
      </c>
      <c r="C795" t="s">
        <v>525</v>
      </c>
      <c r="D795" t="s">
        <v>526</v>
      </c>
      <c r="E795" t="s">
        <v>527</v>
      </c>
      <c r="F795">
        <v>4</v>
      </c>
      <c r="G795" t="s">
        <v>621</v>
      </c>
      <c r="H795" t="s">
        <v>66</v>
      </c>
      <c r="I795" t="s">
        <v>22</v>
      </c>
      <c r="J795" t="s">
        <v>67</v>
      </c>
      <c r="K795" t="s">
        <v>34</v>
      </c>
      <c r="L795" s="6">
        <v>10000</v>
      </c>
      <c r="M795" s="6">
        <v>0</v>
      </c>
      <c r="N795" s="6">
        <v>-10000</v>
      </c>
      <c r="O795" s="6">
        <v>6544.08</v>
      </c>
      <c r="P795" s="7">
        <v>0</v>
      </c>
      <c r="Q795" s="6">
        <v>0</v>
      </c>
    </row>
    <row r="796" spans="1:17">
      <c r="A796">
        <v>795</v>
      </c>
      <c r="B796" s="5">
        <v>45755</v>
      </c>
      <c r="C796" t="s">
        <v>525</v>
      </c>
      <c r="D796" t="s">
        <v>526</v>
      </c>
      <c r="E796" t="s">
        <v>527</v>
      </c>
      <c r="F796">
        <v>4</v>
      </c>
      <c r="G796" t="s">
        <v>379</v>
      </c>
      <c r="H796" t="s">
        <v>75</v>
      </c>
      <c r="I796" t="s">
        <v>16</v>
      </c>
      <c r="J796" t="s">
        <v>52</v>
      </c>
      <c r="K796" t="s">
        <v>35</v>
      </c>
      <c r="L796" s="6">
        <v>0</v>
      </c>
      <c r="M796" s="6">
        <v>5000</v>
      </c>
      <c r="N796" s="6">
        <v>5000</v>
      </c>
      <c r="O796" s="6">
        <v>11544.08</v>
      </c>
      <c r="P796" s="7">
        <v>0</v>
      </c>
      <c r="Q796" s="6">
        <v>0</v>
      </c>
    </row>
    <row r="797" spans="1:17">
      <c r="A797">
        <v>796</v>
      </c>
      <c r="B797" s="5">
        <v>45755</v>
      </c>
      <c r="C797" t="s">
        <v>525</v>
      </c>
      <c r="D797" t="s">
        <v>526</v>
      </c>
      <c r="E797" t="s">
        <v>527</v>
      </c>
      <c r="F797">
        <v>4</v>
      </c>
      <c r="G797" t="s">
        <v>201</v>
      </c>
      <c r="H797" t="s">
        <v>100</v>
      </c>
      <c r="I797" t="s">
        <v>16</v>
      </c>
      <c r="J797" t="s">
        <v>52</v>
      </c>
      <c r="K797" t="s">
        <v>35</v>
      </c>
      <c r="L797" s="6">
        <v>0</v>
      </c>
      <c r="M797" s="6">
        <v>1000</v>
      </c>
      <c r="N797" s="6">
        <v>1000</v>
      </c>
      <c r="O797" s="6">
        <v>12544.08</v>
      </c>
      <c r="P797" s="7">
        <v>0</v>
      </c>
      <c r="Q797" s="6">
        <v>0</v>
      </c>
    </row>
    <row r="798" spans="1:17">
      <c r="A798">
        <v>797</v>
      </c>
      <c r="B798" s="5">
        <v>45755</v>
      </c>
      <c r="C798" t="s">
        <v>525</v>
      </c>
      <c r="D798" t="s">
        <v>526</v>
      </c>
      <c r="E798" t="s">
        <v>527</v>
      </c>
      <c r="F798">
        <v>4</v>
      </c>
      <c r="G798" t="s">
        <v>202</v>
      </c>
      <c r="H798" t="s">
        <v>134</v>
      </c>
      <c r="I798" t="s">
        <v>16</v>
      </c>
      <c r="J798" t="s">
        <v>52</v>
      </c>
      <c r="K798" t="s">
        <v>35</v>
      </c>
      <c r="L798" s="6">
        <v>0</v>
      </c>
      <c r="M798" s="6">
        <v>2000</v>
      </c>
      <c r="N798" s="6">
        <v>2000</v>
      </c>
      <c r="O798" s="6">
        <v>14544.08</v>
      </c>
      <c r="P798" s="7">
        <v>0</v>
      </c>
      <c r="Q798" s="6">
        <v>0</v>
      </c>
    </row>
    <row r="799" spans="1:17">
      <c r="A799">
        <v>798</v>
      </c>
      <c r="B799" s="5">
        <v>45755</v>
      </c>
      <c r="C799" t="s">
        <v>525</v>
      </c>
      <c r="D799" t="s">
        <v>526</v>
      </c>
      <c r="E799" t="s">
        <v>527</v>
      </c>
      <c r="F799">
        <v>4</v>
      </c>
      <c r="G799" t="s">
        <v>622</v>
      </c>
      <c r="H799" t="s">
        <v>66</v>
      </c>
      <c r="I799" t="s">
        <v>22</v>
      </c>
      <c r="J799" t="s">
        <v>67</v>
      </c>
      <c r="K799" t="s">
        <v>34</v>
      </c>
      <c r="L799" s="6">
        <v>1500</v>
      </c>
      <c r="M799" s="6">
        <v>0</v>
      </c>
      <c r="N799" s="6">
        <v>-1500</v>
      </c>
      <c r="O799" s="6">
        <v>13044.08</v>
      </c>
      <c r="P799" s="7">
        <v>0</v>
      </c>
      <c r="Q799" s="6">
        <v>0</v>
      </c>
    </row>
    <row r="800" spans="1:17">
      <c r="A800">
        <v>799</v>
      </c>
      <c r="B800" s="5">
        <v>45755</v>
      </c>
      <c r="C800" t="s">
        <v>525</v>
      </c>
      <c r="D800" t="s">
        <v>526</v>
      </c>
      <c r="E800" t="s">
        <v>527</v>
      </c>
      <c r="F800">
        <v>4</v>
      </c>
      <c r="G800" t="s">
        <v>623</v>
      </c>
      <c r="H800" t="s">
        <v>66</v>
      </c>
      <c r="I800" t="s">
        <v>22</v>
      </c>
      <c r="J800" t="s">
        <v>67</v>
      </c>
      <c r="K800" t="s">
        <v>34</v>
      </c>
      <c r="L800" s="6">
        <v>4079.21</v>
      </c>
      <c r="M800" s="6">
        <v>0</v>
      </c>
      <c r="N800" s="6">
        <v>-4079.21</v>
      </c>
      <c r="O800" s="6">
        <v>8964.8700000000008</v>
      </c>
      <c r="P800" s="7">
        <v>0</v>
      </c>
      <c r="Q800" s="6">
        <v>0</v>
      </c>
    </row>
    <row r="801" spans="1:17">
      <c r="A801">
        <v>800</v>
      </c>
      <c r="B801" s="5">
        <v>45755</v>
      </c>
      <c r="C801" t="s">
        <v>525</v>
      </c>
      <c r="D801" t="s">
        <v>526</v>
      </c>
      <c r="E801" t="s">
        <v>527</v>
      </c>
      <c r="F801">
        <v>4</v>
      </c>
      <c r="G801" t="s">
        <v>624</v>
      </c>
      <c r="H801" t="s">
        <v>66</v>
      </c>
      <c r="I801" t="s">
        <v>22</v>
      </c>
      <c r="J801" t="s">
        <v>67</v>
      </c>
      <c r="K801" t="s">
        <v>34</v>
      </c>
      <c r="L801" s="6">
        <v>114</v>
      </c>
      <c r="M801" s="6">
        <v>0</v>
      </c>
      <c r="N801" s="6">
        <v>-114</v>
      </c>
      <c r="O801" s="6">
        <v>8850.8700000000008</v>
      </c>
      <c r="P801" s="7">
        <v>0</v>
      </c>
      <c r="Q801" s="6">
        <v>0</v>
      </c>
    </row>
    <row r="802" spans="1:17">
      <c r="A802">
        <v>801</v>
      </c>
      <c r="B802" s="5">
        <v>45755</v>
      </c>
      <c r="C802" t="s">
        <v>525</v>
      </c>
      <c r="D802" t="s">
        <v>526</v>
      </c>
      <c r="E802" t="s">
        <v>527</v>
      </c>
      <c r="F802">
        <v>4</v>
      </c>
      <c r="G802" t="s">
        <v>625</v>
      </c>
      <c r="H802" t="s">
        <v>584</v>
      </c>
      <c r="I802" t="s">
        <v>18</v>
      </c>
      <c r="J802" t="s">
        <v>345</v>
      </c>
      <c r="K802" t="s">
        <v>34</v>
      </c>
      <c r="L802" s="6">
        <v>80</v>
      </c>
      <c r="M802" s="6">
        <v>0</v>
      </c>
      <c r="N802" s="6">
        <v>-80</v>
      </c>
      <c r="O802" s="6">
        <v>8770.8700000000008</v>
      </c>
      <c r="P802" s="7">
        <v>0</v>
      </c>
      <c r="Q802" s="6">
        <v>0</v>
      </c>
    </row>
    <row r="803" spans="1:17">
      <c r="A803">
        <v>802</v>
      </c>
      <c r="B803" s="5">
        <v>45755</v>
      </c>
      <c r="C803" t="s">
        <v>525</v>
      </c>
      <c r="D803" t="s">
        <v>526</v>
      </c>
      <c r="E803" t="s">
        <v>527</v>
      </c>
      <c r="F803">
        <v>4</v>
      </c>
      <c r="G803" t="s">
        <v>346</v>
      </c>
      <c r="I803" t="s">
        <v>14</v>
      </c>
      <c r="J803" t="s">
        <v>46</v>
      </c>
      <c r="K803" t="s">
        <v>34</v>
      </c>
      <c r="L803" s="6">
        <v>10</v>
      </c>
      <c r="M803" s="6">
        <v>0</v>
      </c>
      <c r="N803" s="6">
        <v>-10</v>
      </c>
      <c r="O803" s="6">
        <v>8760.8700000000008</v>
      </c>
      <c r="P803" s="7">
        <v>0.15</v>
      </c>
      <c r="Q803" s="6">
        <v>1.3</v>
      </c>
    </row>
    <row r="804" spans="1:17">
      <c r="A804">
        <v>803</v>
      </c>
      <c r="B804" s="5">
        <v>45755</v>
      </c>
      <c r="C804" t="s">
        <v>525</v>
      </c>
      <c r="D804" t="s">
        <v>526</v>
      </c>
      <c r="E804" t="s">
        <v>527</v>
      </c>
      <c r="F804">
        <v>4</v>
      </c>
      <c r="G804" t="s">
        <v>626</v>
      </c>
      <c r="H804" t="s">
        <v>627</v>
      </c>
      <c r="I804" t="s">
        <v>16</v>
      </c>
      <c r="J804" t="s">
        <v>52</v>
      </c>
      <c r="K804" t="s">
        <v>35</v>
      </c>
      <c r="L804" s="6">
        <v>0</v>
      </c>
      <c r="M804" s="6">
        <v>5000</v>
      </c>
      <c r="N804" s="6">
        <v>5000</v>
      </c>
      <c r="O804" s="6">
        <v>13760.87</v>
      </c>
      <c r="P804" s="7">
        <v>0</v>
      </c>
      <c r="Q804" s="6">
        <v>0</v>
      </c>
    </row>
    <row r="805" spans="1:17">
      <c r="A805">
        <v>804</v>
      </c>
      <c r="B805" s="5">
        <v>45755</v>
      </c>
      <c r="C805" t="s">
        <v>525</v>
      </c>
      <c r="D805" t="s">
        <v>526</v>
      </c>
      <c r="E805" t="s">
        <v>527</v>
      </c>
      <c r="F805">
        <v>4</v>
      </c>
      <c r="G805" t="s">
        <v>258</v>
      </c>
      <c r="H805" t="s">
        <v>259</v>
      </c>
      <c r="I805" t="s">
        <v>16</v>
      </c>
      <c r="J805" t="s">
        <v>52</v>
      </c>
      <c r="K805" t="s">
        <v>35</v>
      </c>
      <c r="L805" s="6">
        <v>0</v>
      </c>
      <c r="M805" s="6">
        <v>315</v>
      </c>
      <c r="N805" s="6">
        <v>315</v>
      </c>
      <c r="O805" s="6">
        <v>14075.87</v>
      </c>
      <c r="P805" s="7">
        <v>0</v>
      </c>
      <c r="Q805" s="6">
        <v>0</v>
      </c>
    </row>
    <row r="806" spans="1:17">
      <c r="A806">
        <v>805</v>
      </c>
      <c r="B806" s="5">
        <v>45755</v>
      </c>
      <c r="C806" t="s">
        <v>525</v>
      </c>
      <c r="D806" t="s">
        <v>526</v>
      </c>
      <c r="E806" t="s">
        <v>527</v>
      </c>
      <c r="F806">
        <v>4</v>
      </c>
      <c r="G806" t="s">
        <v>440</v>
      </c>
      <c r="H806" t="s">
        <v>441</v>
      </c>
      <c r="I806" t="s">
        <v>16</v>
      </c>
      <c r="J806" t="s">
        <v>52</v>
      </c>
      <c r="K806" t="s">
        <v>35</v>
      </c>
      <c r="L806" s="6">
        <v>0</v>
      </c>
      <c r="M806" s="6">
        <v>3000</v>
      </c>
      <c r="N806" s="6">
        <v>3000</v>
      </c>
      <c r="O806" s="6">
        <v>17075.87</v>
      </c>
      <c r="P806" s="7">
        <v>0</v>
      </c>
      <c r="Q806" s="6">
        <v>0</v>
      </c>
    </row>
    <row r="807" spans="1:17">
      <c r="A807">
        <v>806</v>
      </c>
      <c r="B807" s="5">
        <v>45755</v>
      </c>
      <c r="C807" t="s">
        <v>525</v>
      </c>
      <c r="D807" t="s">
        <v>526</v>
      </c>
      <c r="E807" t="s">
        <v>527</v>
      </c>
      <c r="F807">
        <v>4</v>
      </c>
      <c r="G807" t="s">
        <v>440</v>
      </c>
      <c r="H807" t="s">
        <v>441</v>
      </c>
      <c r="I807" t="s">
        <v>16</v>
      </c>
      <c r="J807" t="s">
        <v>52</v>
      </c>
      <c r="K807" t="s">
        <v>35</v>
      </c>
      <c r="L807" s="6">
        <v>0</v>
      </c>
      <c r="M807" s="6">
        <v>10000</v>
      </c>
      <c r="N807" s="6">
        <v>10000</v>
      </c>
      <c r="O807" s="6">
        <v>27075.87</v>
      </c>
      <c r="P807" s="7">
        <v>0</v>
      </c>
      <c r="Q807" s="6">
        <v>0</v>
      </c>
    </row>
    <row r="808" spans="1:17">
      <c r="A808">
        <v>807</v>
      </c>
      <c r="B808" s="5">
        <v>45755</v>
      </c>
      <c r="C808" t="s">
        <v>525</v>
      </c>
      <c r="D808" t="s">
        <v>526</v>
      </c>
      <c r="E808" t="s">
        <v>527</v>
      </c>
      <c r="F808">
        <v>4</v>
      </c>
      <c r="G808" t="s">
        <v>314</v>
      </c>
      <c r="H808" t="s">
        <v>315</v>
      </c>
      <c r="I808" t="s">
        <v>16</v>
      </c>
      <c r="J808" t="s">
        <v>52</v>
      </c>
      <c r="K808" t="s">
        <v>35</v>
      </c>
      <c r="L808" s="6">
        <v>0</v>
      </c>
      <c r="M808" s="6">
        <v>200</v>
      </c>
      <c r="N808" s="6">
        <v>200</v>
      </c>
      <c r="O808" s="6">
        <v>27275.87</v>
      </c>
      <c r="P808" s="7">
        <v>0</v>
      </c>
      <c r="Q808" s="6">
        <v>0</v>
      </c>
    </row>
    <row r="809" spans="1:17">
      <c r="A809">
        <v>808</v>
      </c>
      <c r="B809" s="5">
        <v>45755</v>
      </c>
      <c r="C809" t="s">
        <v>525</v>
      </c>
      <c r="D809" t="s">
        <v>526</v>
      </c>
      <c r="E809" t="s">
        <v>527</v>
      </c>
      <c r="F809">
        <v>4</v>
      </c>
      <c r="G809" t="s">
        <v>626</v>
      </c>
      <c r="H809" t="s">
        <v>627</v>
      </c>
      <c r="I809" t="s">
        <v>16</v>
      </c>
      <c r="J809" t="s">
        <v>52</v>
      </c>
      <c r="K809" t="s">
        <v>35</v>
      </c>
      <c r="L809" s="6">
        <v>0</v>
      </c>
      <c r="M809" s="6">
        <v>5000</v>
      </c>
      <c r="N809" s="6">
        <v>5000</v>
      </c>
      <c r="O809" s="6">
        <v>32275.87</v>
      </c>
      <c r="P809" s="7">
        <v>0</v>
      </c>
      <c r="Q809" s="6">
        <v>0</v>
      </c>
    </row>
    <row r="810" spans="1:17">
      <c r="A810">
        <v>809</v>
      </c>
      <c r="B810" s="5">
        <v>45755</v>
      </c>
      <c r="C810" t="s">
        <v>525</v>
      </c>
      <c r="D810" t="s">
        <v>526</v>
      </c>
      <c r="E810" t="s">
        <v>527</v>
      </c>
      <c r="F810">
        <v>4</v>
      </c>
      <c r="G810" t="s">
        <v>435</v>
      </c>
      <c r="H810" t="s">
        <v>436</v>
      </c>
      <c r="I810" t="s">
        <v>16</v>
      </c>
      <c r="J810" t="s">
        <v>52</v>
      </c>
      <c r="K810" t="s">
        <v>35</v>
      </c>
      <c r="L810" s="6">
        <v>0</v>
      </c>
      <c r="M810" s="6">
        <v>200</v>
      </c>
      <c r="N810" s="6">
        <v>200</v>
      </c>
      <c r="O810" s="6">
        <v>32475.87</v>
      </c>
      <c r="P810" s="7">
        <v>0</v>
      </c>
      <c r="Q810" s="6">
        <v>0</v>
      </c>
    </row>
    <row r="811" spans="1:17">
      <c r="A811">
        <v>810</v>
      </c>
      <c r="B811" s="5">
        <v>45755</v>
      </c>
      <c r="C811" t="s">
        <v>525</v>
      </c>
      <c r="D811" t="s">
        <v>526</v>
      </c>
      <c r="E811" t="s">
        <v>527</v>
      </c>
      <c r="F811">
        <v>4</v>
      </c>
      <c r="G811" t="s">
        <v>201</v>
      </c>
      <c r="H811" t="s">
        <v>100</v>
      </c>
      <c r="I811" t="s">
        <v>16</v>
      </c>
      <c r="J811" t="s">
        <v>52</v>
      </c>
      <c r="K811" t="s">
        <v>35</v>
      </c>
      <c r="L811" s="6">
        <v>0</v>
      </c>
      <c r="M811" s="6">
        <v>1500</v>
      </c>
      <c r="N811" s="6">
        <v>1500</v>
      </c>
      <c r="O811" s="6">
        <v>33975.870000000003</v>
      </c>
      <c r="P811" s="7">
        <v>0</v>
      </c>
      <c r="Q811" s="6">
        <v>0</v>
      </c>
    </row>
    <row r="812" spans="1:17">
      <c r="A812">
        <v>811</v>
      </c>
      <c r="B812" s="5">
        <v>45755</v>
      </c>
      <c r="C812" t="s">
        <v>525</v>
      </c>
      <c r="D812" t="s">
        <v>526</v>
      </c>
      <c r="E812" t="s">
        <v>527</v>
      </c>
      <c r="F812">
        <v>4</v>
      </c>
      <c r="G812" t="s">
        <v>201</v>
      </c>
      <c r="H812" t="s">
        <v>100</v>
      </c>
      <c r="I812" t="s">
        <v>16</v>
      </c>
      <c r="J812" t="s">
        <v>52</v>
      </c>
      <c r="K812" t="s">
        <v>35</v>
      </c>
      <c r="L812" s="6">
        <v>0</v>
      </c>
      <c r="M812" s="6">
        <v>1000</v>
      </c>
      <c r="N812" s="6">
        <v>1000</v>
      </c>
      <c r="O812" s="6">
        <v>34975.870000000003</v>
      </c>
      <c r="P812" s="7">
        <v>0</v>
      </c>
      <c r="Q812" s="6">
        <v>0</v>
      </c>
    </row>
    <row r="813" spans="1:17">
      <c r="A813">
        <v>812</v>
      </c>
      <c r="B813" s="5">
        <v>45755</v>
      </c>
      <c r="C813" t="s">
        <v>525</v>
      </c>
      <c r="D813" t="s">
        <v>526</v>
      </c>
      <c r="E813" t="s">
        <v>527</v>
      </c>
      <c r="F813">
        <v>4</v>
      </c>
      <c r="G813" t="s">
        <v>201</v>
      </c>
      <c r="H813" t="s">
        <v>100</v>
      </c>
      <c r="I813" t="s">
        <v>16</v>
      </c>
      <c r="J813" t="s">
        <v>52</v>
      </c>
      <c r="K813" t="s">
        <v>35</v>
      </c>
      <c r="L813" s="6">
        <v>0</v>
      </c>
      <c r="M813" s="6">
        <v>2000</v>
      </c>
      <c r="N813" s="6">
        <v>2000</v>
      </c>
      <c r="O813" s="6">
        <v>36975.870000000003</v>
      </c>
      <c r="P813" s="7">
        <v>0</v>
      </c>
      <c r="Q813" s="6">
        <v>0</v>
      </c>
    </row>
    <row r="814" spans="1:17">
      <c r="A814">
        <v>813</v>
      </c>
      <c r="B814" s="5">
        <v>45755</v>
      </c>
      <c r="C814" t="s">
        <v>525</v>
      </c>
      <c r="D814" t="s">
        <v>526</v>
      </c>
      <c r="E814" t="s">
        <v>527</v>
      </c>
      <c r="F814">
        <v>4</v>
      </c>
      <c r="G814" t="s">
        <v>201</v>
      </c>
      <c r="H814" t="s">
        <v>100</v>
      </c>
      <c r="I814" t="s">
        <v>16</v>
      </c>
      <c r="J814" t="s">
        <v>52</v>
      </c>
      <c r="K814" t="s">
        <v>35</v>
      </c>
      <c r="L814" s="6">
        <v>0</v>
      </c>
      <c r="M814" s="6">
        <v>1000</v>
      </c>
      <c r="N814" s="6">
        <v>1000</v>
      </c>
      <c r="O814" s="6">
        <v>37975.870000000003</v>
      </c>
      <c r="P814" s="7">
        <v>0</v>
      </c>
      <c r="Q814" s="6">
        <v>0</v>
      </c>
    </row>
    <row r="815" spans="1:17">
      <c r="A815">
        <v>814</v>
      </c>
      <c r="B815" s="5">
        <v>45755</v>
      </c>
      <c r="C815" t="s">
        <v>525</v>
      </c>
      <c r="D815" t="s">
        <v>526</v>
      </c>
      <c r="E815" t="s">
        <v>527</v>
      </c>
      <c r="F815">
        <v>4</v>
      </c>
      <c r="G815" t="s">
        <v>628</v>
      </c>
      <c r="H815" t="s">
        <v>66</v>
      </c>
      <c r="I815" t="s">
        <v>22</v>
      </c>
      <c r="J815" t="s">
        <v>67</v>
      </c>
      <c r="K815" t="s">
        <v>34</v>
      </c>
      <c r="L815" s="6">
        <v>3500</v>
      </c>
      <c r="M815" s="6">
        <v>0</v>
      </c>
      <c r="N815" s="6">
        <v>-3500</v>
      </c>
      <c r="O815" s="6">
        <v>34475.870000000003</v>
      </c>
      <c r="P815" s="7">
        <v>0</v>
      </c>
      <c r="Q815" s="6">
        <v>0</v>
      </c>
    </row>
    <row r="816" spans="1:17">
      <c r="A816">
        <v>815</v>
      </c>
      <c r="B816" s="5">
        <v>45755</v>
      </c>
      <c r="C816" t="s">
        <v>525</v>
      </c>
      <c r="D816" t="s">
        <v>526</v>
      </c>
      <c r="E816" t="s">
        <v>527</v>
      </c>
      <c r="F816">
        <v>4</v>
      </c>
      <c r="G816" t="s">
        <v>629</v>
      </c>
      <c r="H816" t="s">
        <v>66</v>
      </c>
      <c r="I816" t="s">
        <v>22</v>
      </c>
      <c r="J816" t="s">
        <v>67</v>
      </c>
      <c r="K816" t="s">
        <v>34</v>
      </c>
      <c r="L816" s="6">
        <v>5000</v>
      </c>
      <c r="M816" s="6">
        <v>0</v>
      </c>
      <c r="N816" s="6">
        <v>-5000</v>
      </c>
      <c r="O816" s="6">
        <v>29475.87</v>
      </c>
      <c r="P816" s="7">
        <v>0</v>
      </c>
      <c r="Q816" s="6">
        <v>0</v>
      </c>
    </row>
    <row r="817" spans="1:17">
      <c r="A817">
        <v>816</v>
      </c>
      <c r="B817" s="5">
        <v>45755</v>
      </c>
      <c r="C817" t="s">
        <v>525</v>
      </c>
      <c r="D817" t="s">
        <v>526</v>
      </c>
      <c r="E817" t="s">
        <v>527</v>
      </c>
      <c r="F817">
        <v>4</v>
      </c>
      <c r="G817" t="s">
        <v>630</v>
      </c>
      <c r="H817" t="s">
        <v>66</v>
      </c>
      <c r="I817" t="s">
        <v>22</v>
      </c>
      <c r="J817" t="s">
        <v>67</v>
      </c>
      <c r="K817" t="s">
        <v>34</v>
      </c>
      <c r="L817" s="6">
        <v>599</v>
      </c>
      <c r="M817" s="6">
        <v>0</v>
      </c>
      <c r="N817" s="6">
        <v>-599</v>
      </c>
      <c r="O817" s="6">
        <v>28876.87</v>
      </c>
      <c r="P817" s="7">
        <v>0</v>
      </c>
      <c r="Q817" s="6">
        <v>0</v>
      </c>
    </row>
    <row r="818" spans="1:17">
      <c r="A818">
        <v>817</v>
      </c>
      <c r="B818" s="5">
        <v>45755</v>
      </c>
      <c r="C818" t="s">
        <v>525</v>
      </c>
      <c r="D818" t="s">
        <v>526</v>
      </c>
      <c r="E818" t="s">
        <v>527</v>
      </c>
      <c r="F818">
        <v>4</v>
      </c>
      <c r="G818" t="s">
        <v>631</v>
      </c>
      <c r="H818" t="s">
        <v>66</v>
      </c>
      <c r="I818" t="s">
        <v>22</v>
      </c>
      <c r="J818" t="s">
        <v>67</v>
      </c>
      <c r="K818" t="s">
        <v>34</v>
      </c>
      <c r="L818" s="6">
        <v>1000</v>
      </c>
      <c r="M818" s="6">
        <v>0</v>
      </c>
      <c r="N818" s="6">
        <v>-1000</v>
      </c>
      <c r="O818" s="6">
        <v>27876.87</v>
      </c>
      <c r="P818" s="7">
        <v>0</v>
      </c>
      <c r="Q818" s="6">
        <v>0</v>
      </c>
    </row>
    <row r="819" spans="1:17">
      <c r="A819">
        <v>818</v>
      </c>
      <c r="B819" s="5">
        <v>45755</v>
      </c>
      <c r="C819" t="s">
        <v>525</v>
      </c>
      <c r="D819" t="s">
        <v>526</v>
      </c>
      <c r="E819" t="s">
        <v>527</v>
      </c>
      <c r="F819">
        <v>4</v>
      </c>
      <c r="G819" t="s">
        <v>632</v>
      </c>
      <c r="H819" t="s">
        <v>66</v>
      </c>
      <c r="I819" t="s">
        <v>22</v>
      </c>
      <c r="J819" t="s">
        <v>67</v>
      </c>
      <c r="K819" t="s">
        <v>34</v>
      </c>
      <c r="L819" s="6">
        <v>300</v>
      </c>
      <c r="M819" s="6">
        <v>0</v>
      </c>
      <c r="N819" s="6">
        <v>-300</v>
      </c>
      <c r="O819" s="6">
        <v>27576.87</v>
      </c>
      <c r="P819" s="7">
        <v>0</v>
      </c>
      <c r="Q819" s="6">
        <v>0</v>
      </c>
    </row>
    <row r="820" spans="1:17">
      <c r="A820">
        <v>819</v>
      </c>
      <c r="B820" s="5">
        <v>45755</v>
      </c>
      <c r="C820" t="s">
        <v>525</v>
      </c>
      <c r="D820" t="s">
        <v>526</v>
      </c>
      <c r="E820" t="s">
        <v>527</v>
      </c>
      <c r="F820">
        <v>4</v>
      </c>
      <c r="G820" t="s">
        <v>633</v>
      </c>
      <c r="H820" t="s">
        <v>66</v>
      </c>
      <c r="I820" t="s">
        <v>22</v>
      </c>
      <c r="J820" t="s">
        <v>67</v>
      </c>
      <c r="K820" t="s">
        <v>34</v>
      </c>
      <c r="L820" s="6">
        <v>5000</v>
      </c>
      <c r="M820" s="6">
        <v>0</v>
      </c>
      <c r="N820" s="6">
        <v>-5000</v>
      </c>
      <c r="O820" s="6">
        <v>22576.87</v>
      </c>
      <c r="P820" s="7">
        <v>0</v>
      </c>
      <c r="Q820" s="6">
        <v>0</v>
      </c>
    </row>
    <row r="821" spans="1:17">
      <c r="A821">
        <v>820</v>
      </c>
      <c r="B821" s="5">
        <v>45755</v>
      </c>
      <c r="C821" t="s">
        <v>525</v>
      </c>
      <c r="D821" t="s">
        <v>526</v>
      </c>
      <c r="E821" t="s">
        <v>527</v>
      </c>
      <c r="F821">
        <v>4</v>
      </c>
      <c r="G821" t="s">
        <v>634</v>
      </c>
      <c r="H821" t="s">
        <v>66</v>
      </c>
      <c r="I821" t="s">
        <v>22</v>
      </c>
      <c r="J821" t="s">
        <v>67</v>
      </c>
      <c r="K821" t="s">
        <v>34</v>
      </c>
      <c r="L821" s="6">
        <v>2100</v>
      </c>
      <c r="M821" s="6">
        <v>0</v>
      </c>
      <c r="N821" s="6">
        <v>-2100</v>
      </c>
      <c r="O821" s="6">
        <v>20476.87</v>
      </c>
      <c r="P821" s="7">
        <v>0</v>
      </c>
      <c r="Q821" s="6">
        <v>0</v>
      </c>
    </row>
    <row r="822" spans="1:17">
      <c r="A822">
        <v>821</v>
      </c>
      <c r="B822" s="5">
        <v>45755</v>
      </c>
      <c r="C822" t="s">
        <v>525</v>
      </c>
      <c r="D822" t="s">
        <v>526</v>
      </c>
      <c r="E822" t="s">
        <v>527</v>
      </c>
      <c r="F822">
        <v>4</v>
      </c>
      <c r="G822" t="s">
        <v>635</v>
      </c>
      <c r="H822" t="s">
        <v>66</v>
      </c>
      <c r="I822" t="s">
        <v>22</v>
      </c>
      <c r="J822" t="s">
        <v>67</v>
      </c>
      <c r="K822" t="s">
        <v>34</v>
      </c>
      <c r="L822" s="6">
        <v>3143</v>
      </c>
      <c r="M822" s="6">
        <v>0</v>
      </c>
      <c r="N822" s="6">
        <v>-3143</v>
      </c>
      <c r="O822" s="6">
        <v>17333.87</v>
      </c>
      <c r="P822" s="7">
        <v>0</v>
      </c>
      <c r="Q822" s="6">
        <v>0</v>
      </c>
    </row>
    <row r="823" spans="1:17">
      <c r="A823">
        <v>822</v>
      </c>
      <c r="B823" s="5">
        <v>45755</v>
      </c>
      <c r="C823" t="s">
        <v>525</v>
      </c>
      <c r="D823" t="s">
        <v>526</v>
      </c>
      <c r="E823" t="s">
        <v>527</v>
      </c>
      <c r="F823">
        <v>4</v>
      </c>
      <c r="G823" t="s">
        <v>636</v>
      </c>
      <c r="H823" t="s">
        <v>66</v>
      </c>
      <c r="I823" t="s">
        <v>22</v>
      </c>
      <c r="J823" t="s">
        <v>67</v>
      </c>
      <c r="K823" t="s">
        <v>34</v>
      </c>
      <c r="L823" s="6">
        <v>600</v>
      </c>
      <c r="M823" s="6">
        <v>0</v>
      </c>
      <c r="N823" s="6">
        <v>-600</v>
      </c>
      <c r="O823" s="6">
        <v>16733.87</v>
      </c>
      <c r="P823" s="7">
        <v>0</v>
      </c>
      <c r="Q823" s="6">
        <v>0</v>
      </c>
    </row>
    <row r="824" spans="1:17">
      <c r="A824">
        <v>823</v>
      </c>
      <c r="B824" s="5">
        <v>45755</v>
      </c>
      <c r="C824" t="s">
        <v>525</v>
      </c>
      <c r="D824" t="s">
        <v>526</v>
      </c>
      <c r="E824" t="s">
        <v>527</v>
      </c>
      <c r="F824">
        <v>4</v>
      </c>
      <c r="G824" t="s">
        <v>539</v>
      </c>
      <c r="H824" t="s">
        <v>540</v>
      </c>
      <c r="I824" t="s">
        <v>16</v>
      </c>
      <c r="J824" t="s">
        <v>52</v>
      </c>
      <c r="K824" t="s">
        <v>35</v>
      </c>
      <c r="L824" s="6">
        <v>0</v>
      </c>
      <c r="M824" s="6">
        <v>400</v>
      </c>
      <c r="N824" s="6">
        <v>400</v>
      </c>
      <c r="O824" s="6">
        <v>17133.87</v>
      </c>
      <c r="P824" s="7">
        <v>0</v>
      </c>
      <c r="Q824" s="6">
        <v>0</v>
      </c>
    </row>
    <row r="825" spans="1:17">
      <c r="A825">
        <v>824</v>
      </c>
      <c r="B825" s="5">
        <v>45755</v>
      </c>
      <c r="C825" t="s">
        <v>525</v>
      </c>
      <c r="D825" t="s">
        <v>526</v>
      </c>
      <c r="E825" t="s">
        <v>527</v>
      </c>
      <c r="F825">
        <v>4</v>
      </c>
      <c r="G825" t="s">
        <v>194</v>
      </c>
      <c r="H825" t="s">
        <v>195</v>
      </c>
      <c r="I825" t="s">
        <v>16</v>
      </c>
      <c r="J825" t="s">
        <v>52</v>
      </c>
      <c r="K825" t="s">
        <v>35</v>
      </c>
      <c r="L825" s="6">
        <v>0</v>
      </c>
      <c r="M825" s="6">
        <v>200</v>
      </c>
      <c r="N825" s="6">
        <v>200</v>
      </c>
      <c r="O825" s="6">
        <v>17333.87</v>
      </c>
      <c r="P825" s="7">
        <v>0</v>
      </c>
      <c r="Q825" s="6">
        <v>0</v>
      </c>
    </row>
    <row r="826" spans="1:17">
      <c r="A826">
        <v>825</v>
      </c>
      <c r="B826" s="5">
        <v>45755</v>
      </c>
      <c r="C826" t="s">
        <v>525</v>
      </c>
      <c r="D826" t="s">
        <v>526</v>
      </c>
      <c r="E826" t="s">
        <v>527</v>
      </c>
      <c r="F826">
        <v>4</v>
      </c>
      <c r="G826" t="s">
        <v>194</v>
      </c>
      <c r="H826" t="s">
        <v>195</v>
      </c>
      <c r="I826" t="s">
        <v>16</v>
      </c>
      <c r="J826" t="s">
        <v>52</v>
      </c>
      <c r="K826" t="s">
        <v>35</v>
      </c>
      <c r="L826" s="6">
        <v>0</v>
      </c>
      <c r="M826" s="6">
        <v>500</v>
      </c>
      <c r="N826" s="6">
        <v>500</v>
      </c>
      <c r="O826" s="6">
        <v>17833.87</v>
      </c>
      <c r="P826" s="7">
        <v>0</v>
      </c>
      <c r="Q826" s="6">
        <v>0</v>
      </c>
    </row>
    <row r="827" spans="1:17">
      <c r="A827">
        <v>826</v>
      </c>
      <c r="B827" s="5">
        <v>45755</v>
      </c>
      <c r="C827" t="s">
        <v>525</v>
      </c>
      <c r="D827" t="s">
        <v>526</v>
      </c>
      <c r="E827" t="s">
        <v>527</v>
      </c>
      <c r="F827">
        <v>4</v>
      </c>
      <c r="G827" t="s">
        <v>194</v>
      </c>
      <c r="H827" t="s">
        <v>195</v>
      </c>
      <c r="I827" t="s">
        <v>16</v>
      </c>
      <c r="J827" t="s">
        <v>52</v>
      </c>
      <c r="K827" t="s">
        <v>35</v>
      </c>
      <c r="L827" s="6">
        <v>0</v>
      </c>
      <c r="M827" s="6">
        <v>600</v>
      </c>
      <c r="N827" s="6">
        <v>600</v>
      </c>
      <c r="O827" s="6">
        <v>18433.87</v>
      </c>
      <c r="P827" s="7">
        <v>0</v>
      </c>
      <c r="Q827" s="6">
        <v>0</v>
      </c>
    </row>
    <row r="828" spans="1:17">
      <c r="A828">
        <v>827</v>
      </c>
      <c r="B828" s="5">
        <v>45756</v>
      </c>
      <c r="C828" t="s">
        <v>525</v>
      </c>
      <c r="D828" t="s">
        <v>526</v>
      </c>
      <c r="E828" t="s">
        <v>527</v>
      </c>
      <c r="F828">
        <v>4</v>
      </c>
      <c r="G828" t="s">
        <v>194</v>
      </c>
      <c r="H828" t="s">
        <v>195</v>
      </c>
      <c r="I828" t="s">
        <v>16</v>
      </c>
      <c r="J828" t="s">
        <v>52</v>
      </c>
      <c r="K828" t="s">
        <v>35</v>
      </c>
      <c r="L828" s="6">
        <v>0</v>
      </c>
      <c r="M828" s="6">
        <v>1000</v>
      </c>
      <c r="N828" s="6">
        <v>1000</v>
      </c>
      <c r="O828" s="6">
        <v>19433.87</v>
      </c>
      <c r="P828" s="7">
        <v>0</v>
      </c>
      <c r="Q828" s="6">
        <v>0</v>
      </c>
    </row>
    <row r="829" spans="1:17">
      <c r="A829">
        <v>828</v>
      </c>
      <c r="B829" s="5">
        <v>45756</v>
      </c>
      <c r="C829" t="s">
        <v>525</v>
      </c>
      <c r="D829" t="s">
        <v>526</v>
      </c>
      <c r="E829" t="s">
        <v>527</v>
      </c>
      <c r="F829">
        <v>5</v>
      </c>
      <c r="G829" t="s">
        <v>194</v>
      </c>
      <c r="H829" t="s">
        <v>195</v>
      </c>
      <c r="I829" t="s">
        <v>16</v>
      </c>
      <c r="J829" t="s">
        <v>52</v>
      </c>
      <c r="K829" t="s">
        <v>35</v>
      </c>
      <c r="L829" s="6">
        <v>0</v>
      </c>
      <c r="M829" s="6">
        <v>2000</v>
      </c>
      <c r="N829" s="6">
        <v>2000</v>
      </c>
      <c r="O829" s="6">
        <v>21433.87</v>
      </c>
      <c r="P829" s="7">
        <v>0</v>
      </c>
      <c r="Q829" s="6">
        <v>0</v>
      </c>
    </row>
    <row r="830" spans="1:17">
      <c r="A830">
        <v>829</v>
      </c>
      <c r="B830" s="5">
        <v>45756</v>
      </c>
      <c r="C830" t="s">
        <v>525</v>
      </c>
      <c r="D830" t="s">
        <v>526</v>
      </c>
      <c r="E830" t="s">
        <v>527</v>
      </c>
      <c r="F830">
        <v>5</v>
      </c>
      <c r="G830" t="s">
        <v>506</v>
      </c>
      <c r="H830" t="s">
        <v>507</v>
      </c>
      <c r="I830" t="s">
        <v>16</v>
      </c>
      <c r="J830" t="s">
        <v>52</v>
      </c>
      <c r="K830" t="s">
        <v>35</v>
      </c>
      <c r="L830" s="6">
        <v>0</v>
      </c>
      <c r="M830" s="6">
        <v>100</v>
      </c>
      <c r="N830" s="6">
        <v>100</v>
      </c>
      <c r="O830" s="6">
        <v>21533.87</v>
      </c>
      <c r="P830" s="7">
        <v>0</v>
      </c>
      <c r="Q830" s="6">
        <v>0</v>
      </c>
    </row>
    <row r="831" spans="1:17">
      <c r="A831">
        <v>830</v>
      </c>
      <c r="B831" s="5">
        <v>45756</v>
      </c>
      <c r="C831" t="s">
        <v>525</v>
      </c>
      <c r="D831" t="s">
        <v>526</v>
      </c>
      <c r="E831" t="s">
        <v>527</v>
      </c>
      <c r="F831">
        <v>5</v>
      </c>
      <c r="G831" t="s">
        <v>506</v>
      </c>
      <c r="H831" t="s">
        <v>507</v>
      </c>
      <c r="I831" t="s">
        <v>16</v>
      </c>
      <c r="J831" t="s">
        <v>52</v>
      </c>
      <c r="K831" t="s">
        <v>35</v>
      </c>
      <c r="L831" s="6">
        <v>0</v>
      </c>
      <c r="M831" s="6">
        <v>150</v>
      </c>
      <c r="N831" s="6">
        <v>150</v>
      </c>
      <c r="O831" s="6">
        <v>21683.87</v>
      </c>
      <c r="P831" s="7">
        <v>0</v>
      </c>
      <c r="Q831" s="6">
        <v>0</v>
      </c>
    </row>
    <row r="832" spans="1:17">
      <c r="A832">
        <v>831</v>
      </c>
      <c r="B832" s="5">
        <v>45756</v>
      </c>
      <c r="C832" t="s">
        <v>525</v>
      </c>
      <c r="D832" t="s">
        <v>526</v>
      </c>
      <c r="E832" t="s">
        <v>527</v>
      </c>
      <c r="F832">
        <v>5</v>
      </c>
      <c r="G832" t="s">
        <v>353</v>
      </c>
      <c r="H832" t="s">
        <v>354</v>
      </c>
      <c r="I832" t="s">
        <v>16</v>
      </c>
      <c r="J832" t="s">
        <v>52</v>
      </c>
      <c r="K832" t="s">
        <v>35</v>
      </c>
      <c r="L832" s="6">
        <v>0</v>
      </c>
      <c r="M832" s="6">
        <v>150</v>
      </c>
      <c r="N832" s="6">
        <v>150</v>
      </c>
      <c r="O832" s="6">
        <v>21833.87</v>
      </c>
      <c r="P832" s="7">
        <v>0</v>
      </c>
      <c r="Q832" s="6">
        <v>0</v>
      </c>
    </row>
    <row r="833" spans="1:17">
      <c r="A833">
        <v>832</v>
      </c>
      <c r="B833" s="5">
        <v>45756</v>
      </c>
      <c r="C833" t="s">
        <v>525</v>
      </c>
      <c r="D833" t="s">
        <v>526</v>
      </c>
      <c r="E833" t="s">
        <v>527</v>
      </c>
      <c r="F833">
        <v>5</v>
      </c>
      <c r="G833" t="s">
        <v>637</v>
      </c>
      <c r="H833" t="s">
        <v>66</v>
      </c>
      <c r="I833" t="s">
        <v>22</v>
      </c>
      <c r="J833" t="s">
        <v>67</v>
      </c>
      <c r="K833" t="s">
        <v>34</v>
      </c>
      <c r="L833" s="6">
        <v>10000</v>
      </c>
      <c r="M833" s="6">
        <v>0</v>
      </c>
      <c r="N833" s="6">
        <v>-10000</v>
      </c>
      <c r="O833" s="6">
        <v>11833.87</v>
      </c>
      <c r="P833" s="7">
        <v>0</v>
      </c>
      <c r="Q833" s="6">
        <v>0</v>
      </c>
    </row>
    <row r="834" spans="1:17">
      <c r="A834">
        <v>833</v>
      </c>
      <c r="B834" s="5">
        <v>45756</v>
      </c>
      <c r="C834" t="s">
        <v>525</v>
      </c>
      <c r="D834" t="s">
        <v>526</v>
      </c>
      <c r="E834" t="s">
        <v>527</v>
      </c>
      <c r="F834">
        <v>5</v>
      </c>
      <c r="G834" t="s">
        <v>638</v>
      </c>
      <c r="H834" t="s">
        <v>66</v>
      </c>
      <c r="I834" t="s">
        <v>22</v>
      </c>
      <c r="J834" t="s">
        <v>67</v>
      </c>
      <c r="K834" t="s">
        <v>34</v>
      </c>
      <c r="L834" s="6">
        <v>207.07</v>
      </c>
      <c r="M834" s="6">
        <v>0</v>
      </c>
      <c r="N834" s="6">
        <v>-207.07</v>
      </c>
      <c r="O834" s="6">
        <v>11626.8</v>
      </c>
      <c r="P834" s="7">
        <v>0</v>
      </c>
      <c r="Q834" s="6">
        <v>0</v>
      </c>
    </row>
    <row r="835" spans="1:17">
      <c r="A835">
        <v>834</v>
      </c>
      <c r="B835" s="5">
        <v>45756</v>
      </c>
      <c r="C835" t="s">
        <v>525</v>
      </c>
      <c r="D835" t="s">
        <v>526</v>
      </c>
      <c r="E835" t="s">
        <v>527</v>
      </c>
      <c r="F835">
        <v>5</v>
      </c>
      <c r="G835" t="s">
        <v>639</v>
      </c>
      <c r="H835" t="s">
        <v>66</v>
      </c>
      <c r="I835" t="s">
        <v>22</v>
      </c>
      <c r="J835" t="s">
        <v>67</v>
      </c>
      <c r="K835" t="s">
        <v>34</v>
      </c>
      <c r="L835" s="6">
        <v>4100</v>
      </c>
      <c r="M835" s="6">
        <v>0</v>
      </c>
      <c r="N835" s="6">
        <v>-4100</v>
      </c>
      <c r="O835" s="6">
        <v>7526.8</v>
      </c>
      <c r="P835" s="7">
        <v>0</v>
      </c>
      <c r="Q835" s="6">
        <v>0</v>
      </c>
    </row>
    <row r="836" spans="1:17">
      <c r="A836">
        <v>835</v>
      </c>
      <c r="B836" s="5">
        <v>45756</v>
      </c>
      <c r="C836" t="s">
        <v>525</v>
      </c>
      <c r="D836" t="s">
        <v>526</v>
      </c>
      <c r="E836" t="s">
        <v>527</v>
      </c>
      <c r="F836">
        <v>5</v>
      </c>
      <c r="G836" t="s">
        <v>640</v>
      </c>
      <c r="H836" t="s">
        <v>66</v>
      </c>
      <c r="I836" t="s">
        <v>22</v>
      </c>
      <c r="J836" t="s">
        <v>67</v>
      </c>
      <c r="K836" t="s">
        <v>34</v>
      </c>
      <c r="L836" s="6">
        <v>300</v>
      </c>
      <c r="M836" s="6">
        <v>0</v>
      </c>
      <c r="N836" s="6">
        <v>-300</v>
      </c>
      <c r="O836" s="6">
        <v>7226.8</v>
      </c>
      <c r="P836" s="7">
        <v>0</v>
      </c>
      <c r="Q836" s="6">
        <v>0</v>
      </c>
    </row>
    <row r="837" spans="1:17">
      <c r="A837">
        <v>836</v>
      </c>
      <c r="B837" s="5">
        <v>45756</v>
      </c>
      <c r="C837" t="s">
        <v>525</v>
      </c>
      <c r="D837" t="s">
        <v>526</v>
      </c>
      <c r="E837" t="s">
        <v>527</v>
      </c>
      <c r="F837">
        <v>5</v>
      </c>
      <c r="G837" t="s">
        <v>641</v>
      </c>
      <c r="H837" t="s">
        <v>66</v>
      </c>
      <c r="I837" t="s">
        <v>22</v>
      </c>
      <c r="J837" t="s">
        <v>67</v>
      </c>
      <c r="K837" t="s">
        <v>34</v>
      </c>
      <c r="L837" s="6">
        <v>1600</v>
      </c>
      <c r="M837" s="6">
        <v>0</v>
      </c>
      <c r="N837" s="6">
        <v>-1600</v>
      </c>
      <c r="O837" s="6">
        <v>5626.8</v>
      </c>
      <c r="P837" s="7">
        <v>0</v>
      </c>
      <c r="Q837" s="6">
        <v>0</v>
      </c>
    </row>
    <row r="838" spans="1:17">
      <c r="A838">
        <v>837</v>
      </c>
      <c r="B838" s="5">
        <v>45756</v>
      </c>
      <c r="C838" t="s">
        <v>525</v>
      </c>
      <c r="D838" t="s">
        <v>526</v>
      </c>
      <c r="E838" t="s">
        <v>527</v>
      </c>
      <c r="F838">
        <v>5</v>
      </c>
      <c r="G838" t="s">
        <v>642</v>
      </c>
      <c r="H838" t="s">
        <v>66</v>
      </c>
      <c r="I838" t="s">
        <v>22</v>
      </c>
      <c r="J838" t="s">
        <v>67</v>
      </c>
      <c r="K838" t="s">
        <v>34</v>
      </c>
      <c r="L838" s="6">
        <v>2000</v>
      </c>
      <c r="M838" s="6">
        <v>0</v>
      </c>
      <c r="N838" s="6">
        <v>-2000</v>
      </c>
      <c r="O838" s="6">
        <v>3626.8</v>
      </c>
      <c r="P838" s="7">
        <v>0</v>
      </c>
      <c r="Q838" s="6">
        <v>0</v>
      </c>
    </row>
    <row r="839" spans="1:17">
      <c r="A839">
        <v>838</v>
      </c>
      <c r="B839" s="5">
        <v>45756</v>
      </c>
      <c r="C839" t="s">
        <v>525</v>
      </c>
      <c r="D839" t="s">
        <v>526</v>
      </c>
      <c r="E839" t="s">
        <v>527</v>
      </c>
      <c r="F839">
        <v>5</v>
      </c>
      <c r="G839" t="s">
        <v>353</v>
      </c>
      <c r="H839" t="s">
        <v>354</v>
      </c>
      <c r="I839" t="s">
        <v>16</v>
      </c>
      <c r="J839" t="s">
        <v>52</v>
      </c>
      <c r="K839" t="s">
        <v>35</v>
      </c>
      <c r="L839" s="6">
        <v>0</v>
      </c>
      <c r="M839" s="6">
        <v>100</v>
      </c>
      <c r="N839" s="6">
        <v>100</v>
      </c>
      <c r="O839" s="6">
        <v>3726.8</v>
      </c>
      <c r="P839" s="7">
        <v>0</v>
      </c>
      <c r="Q839" s="6">
        <v>0</v>
      </c>
    </row>
    <row r="840" spans="1:17">
      <c r="A840">
        <v>839</v>
      </c>
      <c r="B840" s="5">
        <v>45756</v>
      </c>
      <c r="C840" t="s">
        <v>525</v>
      </c>
      <c r="D840" t="s">
        <v>526</v>
      </c>
      <c r="E840" t="s">
        <v>527</v>
      </c>
      <c r="F840">
        <v>5</v>
      </c>
      <c r="G840" t="s">
        <v>201</v>
      </c>
      <c r="H840" t="s">
        <v>100</v>
      </c>
      <c r="I840" t="s">
        <v>16</v>
      </c>
      <c r="J840" t="s">
        <v>52</v>
      </c>
      <c r="K840" t="s">
        <v>35</v>
      </c>
      <c r="L840" s="6">
        <v>0</v>
      </c>
      <c r="M840" s="6">
        <v>2500</v>
      </c>
      <c r="N840" s="6">
        <v>2500</v>
      </c>
      <c r="O840" s="6">
        <v>6226.8</v>
      </c>
      <c r="P840" s="7">
        <v>0</v>
      </c>
      <c r="Q840" s="6">
        <v>0</v>
      </c>
    </row>
    <row r="841" spans="1:17">
      <c r="A841">
        <v>840</v>
      </c>
      <c r="B841" s="5">
        <v>45756</v>
      </c>
      <c r="C841" t="s">
        <v>525</v>
      </c>
      <c r="D841" t="s">
        <v>526</v>
      </c>
      <c r="E841" t="s">
        <v>527</v>
      </c>
      <c r="F841">
        <v>5</v>
      </c>
      <c r="G841" t="s">
        <v>201</v>
      </c>
      <c r="H841" t="s">
        <v>100</v>
      </c>
      <c r="I841" t="s">
        <v>16</v>
      </c>
      <c r="J841" t="s">
        <v>52</v>
      </c>
      <c r="K841" t="s">
        <v>35</v>
      </c>
      <c r="L841" s="6">
        <v>0</v>
      </c>
      <c r="M841" s="6">
        <v>1000</v>
      </c>
      <c r="N841" s="6">
        <v>1000</v>
      </c>
      <c r="O841" s="6">
        <v>7226.8</v>
      </c>
      <c r="P841" s="7">
        <v>0</v>
      </c>
      <c r="Q841" s="6">
        <v>0</v>
      </c>
    </row>
    <row r="842" spans="1:17">
      <c r="A842">
        <v>841</v>
      </c>
      <c r="B842" s="5">
        <v>45756</v>
      </c>
      <c r="C842" t="s">
        <v>525</v>
      </c>
      <c r="D842" t="s">
        <v>526</v>
      </c>
      <c r="E842" t="s">
        <v>527</v>
      </c>
      <c r="F842">
        <v>5</v>
      </c>
      <c r="G842" t="s">
        <v>201</v>
      </c>
      <c r="H842" t="s">
        <v>100</v>
      </c>
      <c r="I842" t="s">
        <v>16</v>
      </c>
      <c r="J842" t="s">
        <v>52</v>
      </c>
      <c r="K842" t="s">
        <v>35</v>
      </c>
      <c r="L842" s="6">
        <v>0</v>
      </c>
      <c r="M842" s="6">
        <v>2500</v>
      </c>
      <c r="N842" s="6">
        <v>2500</v>
      </c>
      <c r="O842" s="6">
        <v>9726.7999999999993</v>
      </c>
      <c r="P842" s="7">
        <v>0</v>
      </c>
      <c r="Q842" s="6">
        <v>0</v>
      </c>
    </row>
    <row r="843" spans="1:17">
      <c r="A843">
        <v>842</v>
      </c>
      <c r="B843" s="5">
        <v>45756</v>
      </c>
      <c r="C843" t="s">
        <v>525</v>
      </c>
      <c r="D843" t="s">
        <v>526</v>
      </c>
      <c r="E843" t="s">
        <v>527</v>
      </c>
      <c r="F843">
        <v>5</v>
      </c>
      <c r="G843" t="s">
        <v>643</v>
      </c>
      <c r="H843" t="s">
        <v>644</v>
      </c>
      <c r="I843" t="s">
        <v>16</v>
      </c>
      <c r="J843" t="s">
        <v>52</v>
      </c>
      <c r="K843" t="s">
        <v>35</v>
      </c>
      <c r="L843" s="6">
        <v>0</v>
      </c>
      <c r="M843" s="6">
        <v>250</v>
      </c>
      <c r="N843" s="6">
        <v>250</v>
      </c>
      <c r="O843" s="6">
        <v>9976.7999999999993</v>
      </c>
      <c r="P843" s="7">
        <v>0</v>
      </c>
      <c r="Q843" s="6">
        <v>0</v>
      </c>
    </row>
    <row r="844" spans="1:17">
      <c r="A844">
        <v>843</v>
      </c>
      <c r="B844" s="5">
        <v>45756</v>
      </c>
      <c r="C844" t="s">
        <v>525</v>
      </c>
      <c r="D844" t="s">
        <v>526</v>
      </c>
      <c r="E844" t="s">
        <v>527</v>
      </c>
      <c r="F844">
        <v>5</v>
      </c>
      <c r="G844" t="s">
        <v>284</v>
      </c>
      <c r="H844" t="s">
        <v>156</v>
      </c>
      <c r="I844" t="s">
        <v>16</v>
      </c>
      <c r="J844" t="s">
        <v>52</v>
      </c>
      <c r="K844" t="s">
        <v>35</v>
      </c>
      <c r="L844" s="6">
        <v>0</v>
      </c>
      <c r="M844" s="6">
        <v>1000</v>
      </c>
      <c r="N844" s="6">
        <v>1000</v>
      </c>
      <c r="O844" s="6">
        <v>10976.8</v>
      </c>
      <c r="P844" s="7">
        <v>0</v>
      </c>
      <c r="Q844" s="6">
        <v>0</v>
      </c>
    </row>
    <row r="845" spans="1:17">
      <c r="A845">
        <v>844</v>
      </c>
      <c r="B845" s="5">
        <v>45756</v>
      </c>
      <c r="C845" t="s">
        <v>525</v>
      </c>
      <c r="D845" t="s">
        <v>526</v>
      </c>
      <c r="E845" t="s">
        <v>527</v>
      </c>
      <c r="F845">
        <v>5</v>
      </c>
      <c r="G845" t="s">
        <v>264</v>
      </c>
      <c r="H845" t="s">
        <v>265</v>
      </c>
      <c r="I845" t="s">
        <v>16</v>
      </c>
      <c r="J845" t="s">
        <v>52</v>
      </c>
      <c r="K845" t="s">
        <v>35</v>
      </c>
      <c r="L845" s="6">
        <v>0</v>
      </c>
      <c r="M845" s="6">
        <v>1000</v>
      </c>
      <c r="N845" s="6">
        <v>1000</v>
      </c>
      <c r="O845" s="6">
        <v>11976.8</v>
      </c>
      <c r="P845" s="7">
        <v>0</v>
      </c>
      <c r="Q845" s="6">
        <v>0</v>
      </c>
    </row>
    <row r="846" spans="1:17">
      <c r="A846">
        <v>845</v>
      </c>
      <c r="B846" s="5">
        <v>45756</v>
      </c>
      <c r="C846" t="s">
        <v>525</v>
      </c>
      <c r="D846" t="s">
        <v>526</v>
      </c>
      <c r="E846" t="s">
        <v>527</v>
      </c>
      <c r="F846">
        <v>5</v>
      </c>
      <c r="G846" t="s">
        <v>645</v>
      </c>
      <c r="H846" t="s">
        <v>66</v>
      </c>
      <c r="I846" t="s">
        <v>22</v>
      </c>
      <c r="J846" t="s">
        <v>67</v>
      </c>
      <c r="K846" t="s">
        <v>34</v>
      </c>
      <c r="L846" s="6">
        <v>272</v>
      </c>
      <c r="M846" s="6">
        <v>0</v>
      </c>
      <c r="N846" s="6">
        <v>-272</v>
      </c>
      <c r="O846" s="6">
        <v>11704.8</v>
      </c>
      <c r="P846" s="7">
        <v>0</v>
      </c>
      <c r="Q846" s="6">
        <v>0</v>
      </c>
    </row>
    <row r="847" spans="1:17">
      <c r="A847">
        <v>846</v>
      </c>
      <c r="B847" s="5">
        <v>45756</v>
      </c>
      <c r="C847" t="s">
        <v>525</v>
      </c>
      <c r="D847" t="s">
        <v>526</v>
      </c>
      <c r="E847" t="s">
        <v>527</v>
      </c>
      <c r="F847">
        <v>5</v>
      </c>
      <c r="G847" t="s">
        <v>646</v>
      </c>
      <c r="H847" t="s">
        <v>66</v>
      </c>
      <c r="I847" t="s">
        <v>22</v>
      </c>
      <c r="J847" t="s">
        <v>67</v>
      </c>
      <c r="K847" t="s">
        <v>34</v>
      </c>
      <c r="L847" s="6">
        <v>5000</v>
      </c>
      <c r="M847" s="6">
        <v>0</v>
      </c>
      <c r="N847" s="6">
        <v>-5000</v>
      </c>
      <c r="O847" s="6">
        <v>6704.8</v>
      </c>
      <c r="P847" s="7">
        <v>0</v>
      </c>
      <c r="Q847" s="6">
        <v>0</v>
      </c>
    </row>
    <row r="848" spans="1:17">
      <c r="A848">
        <v>847</v>
      </c>
      <c r="B848" s="5">
        <v>45756</v>
      </c>
      <c r="C848" t="s">
        <v>525</v>
      </c>
      <c r="D848" t="s">
        <v>526</v>
      </c>
      <c r="E848" t="s">
        <v>527</v>
      </c>
      <c r="F848">
        <v>5</v>
      </c>
      <c r="G848" t="s">
        <v>647</v>
      </c>
      <c r="H848" t="s">
        <v>66</v>
      </c>
      <c r="I848" t="s">
        <v>22</v>
      </c>
      <c r="J848" t="s">
        <v>67</v>
      </c>
      <c r="K848" t="s">
        <v>34</v>
      </c>
      <c r="L848" s="6">
        <v>137.22999999999999</v>
      </c>
      <c r="M848" s="6">
        <v>0</v>
      </c>
      <c r="N848" s="6">
        <v>-137.22999999999999</v>
      </c>
      <c r="O848" s="6">
        <v>6567.57</v>
      </c>
      <c r="P848" s="7">
        <v>0</v>
      </c>
      <c r="Q848" s="6">
        <v>0</v>
      </c>
    </row>
    <row r="849" spans="1:17">
      <c r="A849">
        <v>848</v>
      </c>
      <c r="B849" s="5">
        <v>45756</v>
      </c>
      <c r="C849" t="s">
        <v>525</v>
      </c>
      <c r="D849" t="s">
        <v>526</v>
      </c>
      <c r="E849" t="s">
        <v>527</v>
      </c>
      <c r="F849">
        <v>5</v>
      </c>
      <c r="G849" t="s">
        <v>648</v>
      </c>
      <c r="H849" t="s">
        <v>66</v>
      </c>
      <c r="I849" t="s">
        <v>22</v>
      </c>
      <c r="J849" t="s">
        <v>67</v>
      </c>
      <c r="K849" t="s">
        <v>34</v>
      </c>
      <c r="L849" s="6">
        <v>301.99</v>
      </c>
      <c r="M849" s="6">
        <v>0</v>
      </c>
      <c r="N849" s="6">
        <v>-301.99</v>
      </c>
      <c r="O849" s="6">
        <v>6265.58</v>
      </c>
      <c r="P849" s="7">
        <v>0</v>
      </c>
      <c r="Q849" s="6">
        <v>0</v>
      </c>
    </row>
    <row r="850" spans="1:17">
      <c r="A850">
        <v>849</v>
      </c>
      <c r="B850" s="5">
        <v>45756</v>
      </c>
      <c r="C850" t="s">
        <v>525</v>
      </c>
      <c r="D850" t="s">
        <v>526</v>
      </c>
      <c r="E850" t="s">
        <v>527</v>
      </c>
      <c r="F850">
        <v>5</v>
      </c>
      <c r="G850" t="s">
        <v>253</v>
      </c>
      <c r="H850" t="s">
        <v>72</v>
      </c>
      <c r="I850" t="s">
        <v>16</v>
      </c>
      <c r="J850" t="s">
        <v>52</v>
      </c>
      <c r="K850" t="s">
        <v>35</v>
      </c>
      <c r="L850" s="6">
        <v>0</v>
      </c>
      <c r="M850" s="6">
        <v>5000</v>
      </c>
      <c r="N850" s="6">
        <v>5000</v>
      </c>
      <c r="O850" s="6">
        <v>11265.58</v>
      </c>
      <c r="P850" s="7">
        <v>0</v>
      </c>
      <c r="Q850" s="6">
        <v>0</v>
      </c>
    </row>
    <row r="851" spans="1:17">
      <c r="A851">
        <v>850</v>
      </c>
      <c r="B851" s="5">
        <v>45756</v>
      </c>
      <c r="C851" t="s">
        <v>525</v>
      </c>
      <c r="D851" t="s">
        <v>526</v>
      </c>
      <c r="E851" t="s">
        <v>527</v>
      </c>
      <c r="F851">
        <v>5</v>
      </c>
      <c r="G851" t="s">
        <v>649</v>
      </c>
      <c r="H851" t="s">
        <v>650</v>
      </c>
      <c r="I851" t="s">
        <v>16</v>
      </c>
      <c r="J851" t="s">
        <v>52</v>
      </c>
      <c r="K851" t="s">
        <v>35</v>
      </c>
      <c r="L851" s="6">
        <v>0</v>
      </c>
      <c r="M851" s="6">
        <v>9896</v>
      </c>
      <c r="N851" s="6">
        <v>9896</v>
      </c>
      <c r="O851" s="6">
        <v>21161.58</v>
      </c>
      <c r="P851" s="7">
        <v>0</v>
      </c>
      <c r="Q851" s="6">
        <v>0</v>
      </c>
    </row>
    <row r="852" spans="1:17">
      <c r="A852">
        <v>851</v>
      </c>
      <c r="B852" s="5">
        <v>45756</v>
      </c>
      <c r="C852" t="s">
        <v>525</v>
      </c>
      <c r="D852" t="s">
        <v>526</v>
      </c>
      <c r="E852" t="s">
        <v>527</v>
      </c>
      <c r="F852">
        <v>5</v>
      </c>
      <c r="G852" t="s">
        <v>188</v>
      </c>
      <c r="H852" t="s">
        <v>189</v>
      </c>
      <c r="I852" t="s">
        <v>16</v>
      </c>
      <c r="J852" t="s">
        <v>52</v>
      </c>
      <c r="K852" t="s">
        <v>35</v>
      </c>
      <c r="L852" s="6">
        <v>0</v>
      </c>
      <c r="M852" s="6">
        <v>233</v>
      </c>
      <c r="N852" s="6">
        <v>233</v>
      </c>
      <c r="O852" s="6">
        <v>21394.58</v>
      </c>
      <c r="P852" s="7">
        <v>0</v>
      </c>
      <c r="Q852" s="6">
        <v>0</v>
      </c>
    </row>
    <row r="853" spans="1:17">
      <c r="A853">
        <v>852</v>
      </c>
      <c r="B853" s="5">
        <v>45756</v>
      </c>
      <c r="C853" t="s">
        <v>525</v>
      </c>
      <c r="D853" t="s">
        <v>526</v>
      </c>
      <c r="E853" t="s">
        <v>527</v>
      </c>
      <c r="F853">
        <v>5</v>
      </c>
      <c r="G853" t="s">
        <v>435</v>
      </c>
      <c r="H853" t="s">
        <v>436</v>
      </c>
      <c r="I853" t="s">
        <v>16</v>
      </c>
      <c r="J853" t="s">
        <v>52</v>
      </c>
      <c r="K853" t="s">
        <v>35</v>
      </c>
      <c r="L853" s="6">
        <v>0</v>
      </c>
      <c r="M853" s="6">
        <v>200</v>
      </c>
      <c r="N853" s="6">
        <v>200</v>
      </c>
      <c r="O853" s="6">
        <v>21594.58</v>
      </c>
      <c r="P853" s="7">
        <v>0</v>
      </c>
      <c r="Q853" s="6">
        <v>0</v>
      </c>
    </row>
    <row r="854" spans="1:17">
      <c r="A854">
        <v>853</v>
      </c>
      <c r="B854" s="5">
        <v>45756</v>
      </c>
      <c r="C854" t="s">
        <v>525</v>
      </c>
      <c r="D854" t="s">
        <v>526</v>
      </c>
      <c r="E854" t="s">
        <v>527</v>
      </c>
      <c r="F854">
        <v>5</v>
      </c>
      <c r="G854" t="s">
        <v>325</v>
      </c>
      <c r="H854" t="s">
        <v>326</v>
      </c>
      <c r="I854" t="s">
        <v>16</v>
      </c>
      <c r="J854" t="s">
        <v>52</v>
      </c>
      <c r="K854" t="s">
        <v>35</v>
      </c>
      <c r="L854" s="6">
        <v>0</v>
      </c>
      <c r="M854" s="6">
        <v>1000</v>
      </c>
      <c r="N854" s="6">
        <v>1000</v>
      </c>
      <c r="O854" s="6">
        <v>22594.58</v>
      </c>
      <c r="P854" s="7">
        <v>0</v>
      </c>
      <c r="Q854" s="6">
        <v>0</v>
      </c>
    </row>
    <row r="855" spans="1:17">
      <c r="A855">
        <v>854</v>
      </c>
      <c r="B855" s="5">
        <v>45756</v>
      </c>
      <c r="C855" t="s">
        <v>525</v>
      </c>
      <c r="D855" t="s">
        <v>526</v>
      </c>
      <c r="E855" t="s">
        <v>527</v>
      </c>
      <c r="F855">
        <v>5</v>
      </c>
      <c r="G855" t="s">
        <v>539</v>
      </c>
      <c r="H855" t="s">
        <v>540</v>
      </c>
      <c r="I855" t="s">
        <v>16</v>
      </c>
      <c r="J855" t="s">
        <v>52</v>
      </c>
      <c r="K855" t="s">
        <v>35</v>
      </c>
      <c r="L855" s="6">
        <v>0</v>
      </c>
      <c r="M855" s="6">
        <v>500</v>
      </c>
      <c r="N855" s="6">
        <v>500</v>
      </c>
      <c r="O855" s="6">
        <v>23094.58</v>
      </c>
      <c r="P855" s="7">
        <v>0</v>
      </c>
      <c r="Q855" s="6">
        <v>0</v>
      </c>
    </row>
    <row r="856" spans="1:17">
      <c r="A856">
        <v>855</v>
      </c>
      <c r="B856" s="5">
        <v>45757</v>
      </c>
      <c r="C856" t="s">
        <v>525</v>
      </c>
      <c r="D856" t="s">
        <v>526</v>
      </c>
      <c r="E856" t="s">
        <v>527</v>
      </c>
      <c r="F856">
        <v>5</v>
      </c>
      <c r="G856" t="s">
        <v>651</v>
      </c>
      <c r="H856" t="s">
        <v>652</v>
      </c>
      <c r="I856" t="s">
        <v>16</v>
      </c>
      <c r="J856" t="s">
        <v>52</v>
      </c>
      <c r="K856" t="s">
        <v>35</v>
      </c>
      <c r="L856" s="6">
        <v>0</v>
      </c>
      <c r="M856" s="6">
        <v>2000</v>
      </c>
      <c r="N856" s="6">
        <v>2000</v>
      </c>
      <c r="O856" s="6">
        <v>25094.58</v>
      </c>
      <c r="P856" s="7">
        <v>0</v>
      </c>
      <c r="Q856" s="6">
        <v>0</v>
      </c>
    </row>
    <row r="857" spans="1:17">
      <c r="A857">
        <v>856</v>
      </c>
      <c r="B857" s="5">
        <v>45757</v>
      </c>
      <c r="C857" t="s">
        <v>525</v>
      </c>
      <c r="D857" t="s">
        <v>526</v>
      </c>
      <c r="E857" t="s">
        <v>527</v>
      </c>
      <c r="F857">
        <v>5</v>
      </c>
      <c r="G857" t="s">
        <v>510</v>
      </c>
      <c r="H857" t="s">
        <v>511</v>
      </c>
      <c r="I857" t="s">
        <v>16</v>
      </c>
      <c r="J857" t="s">
        <v>52</v>
      </c>
      <c r="K857" t="s">
        <v>35</v>
      </c>
      <c r="L857" s="6">
        <v>0</v>
      </c>
      <c r="M857" s="6">
        <v>3000</v>
      </c>
      <c r="N857" s="6">
        <v>3000</v>
      </c>
      <c r="O857" s="6">
        <v>28094.58</v>
      </c>
      <c r="P857" s="7">
        <v>0</v>
      </c>
      <c r="Q857" s="6">
        <v>0</v>
      </c>
    </row>
    <row r="858" spans="1:17">
      <c r="A858">
        <v>857</v>
      </c>
      <c r="B858" s="5">
        <v>45757</v>
      </c>
      <c r="C858" t="s">
        <v>525</v>
      </c>
      <c r="D858" t="s">
        <v>526</v>
      </c>
      <c r="E858" t="s">
        <v>527</v>
      </c>
      <c r="F858">
        <v>5</v>
      </c>
      <c r="G858" t="s">
        <v>201</v>
      </c>
      <c r="H858" t="s">
        <v>100</v>
      </c>
      <c r="I858" t="s">
        <v>16</v>
      </c>
      <c r="J858" t="s">
        <v>52</v>
      </c>
      <c r="K858" t="s">
        <v>35</v>
      </c>
      <c r="L858" s="6">
        <v>0</v>
      </c>
      <c r="M858" s="6">
        <v>2500</v>
      </c>
      <c r="N858" s="6">
        <v>2500</v>
      </c>
      <c r="O858" s="6">
        <v>30594.58</v>
      </c>
      <c r="P858" s="7">
        <v>0</v>
      </c>
      <c r="Q858" s="6">
        <v>0</v>
      </c>
    </row>
    <row r="859" spans="1:17">
      <c r="A859">
        <v>858</v>
      </c>
      <c r="B859" s="5">
        <v>45757</v>
      </c>
      <c r="C859" t="s">
        <v>525</v>
      </c>
      <c r="D859" t="s">
        <v>526</v>
      </c>
      <c r="E859" t="s">
        <v>527</v>
      </c>
      <c r="F859">
        <v>5</v>
      </c>
      <c r="G859" t="s">
        <v>653</v>
      </c>
      <c r="H859" t="s">
        <v>66</v>
      </c>
      <c r="I859" t="s">
        <v>22</v>
      </c>
      <c r="J859" t="s">
        <v>67</v>
      </c>
      <c r="K859" t="s">
        <v>34</v>
      </c>
      <c r="L859" s="6">
        <v>7869.4</v>
      </c>
      <c r="M859" s="6">
        <v>0</v>
      </c>
      <c r="N859" s="6">
        <v>-7869.4</v>
      </c>
      <c r="O859" s="6">
        <v>22725.18</v>
      </c>
      <c r="P859" s="7">
        <v>0</v>
      </c>
      <c r="Q859" s="6">
        <v>0</v>
      </c>
    </row>
    <row r="860" spans="1:17">
      <c r="A860">
        <v>859</v>
      </c>
      <c r="B860" s="5">
        <v>45757</v>
      </c>
      <c r="C860" t="s">
        <v>525</v>
      </c>
      <c r="D860" t="s">
        <v>526</v>
      </c>
      <c r="E860" t="s">
        <v>527</v>
      </c>
      <c r="F860">
        <v>5</v>
      </c>
      <c r="G860" t="s">
        <v>654</v>
      </c>
      <c r="H860" t="s">
        <v>66</v>
      </c>
      <c r="I860" t="s">
        <v>22</v>
      </c>
      <c r="J860" t="s">
        <v>67</v>
      </c>
      <c r="K860" t="s">
        <v>34</v>
      </c>
      <c r="L860" s="6">
        <v>963</v>
      </c>
      <c r="M860" s="6">
        <v>0</v>
      </c>
      <c r="N860" s="6">
        <v>-963</v>
      </c>
      <c r="O860" s="6">
        <v>21762.18</v>
      </c>
      <c r="P860" s="7">
        <v>0</v>
      </c>
      <c r="Q860" s="6">
        <v>0</v>
      </c>
    </row>
    <row r="861" spans="1:17">
      <c r="A861">
        <v>860</v>
      </c>
      <c r="B861" s="5">
        <v>45757</v>
      </c>
      <c r="C861" t="s">
        <v>525</v>
      </c>
      <c r="D861" t="s">
        <v>526</v>
      </c>
      <c r="E861" t="s">
        <v>527</v>
      </c>
      <c r="F861">
        <v>5</v>
      </c>
      <c r="G861" t="s">
        <v>655</v>
      </c>
      <c r="H861" t="s">
        <v>66</v>
      </c>
      <c r="I861" t="s">
        <v>22</v>
      </c>
      <c r="J861" t="s">
        <v>67</v>
      </c>
      <c r="K861" t="s">
        <v>34</v>
      </c>
      <c r="L861" s="6">
        <v>2675.24</v>
      </c>
      <c r="M861" s="6">
        <v>0</v>
      </c>
      <c r="N861" s="6">
        <v>-2675.24</v>
      </c>
      <c r="O861" s="6">
        <v>19086.939999999999</v>
      </c>
      <c r="P861" s="7">
        <v>0</v>
      </c>
      <c r="Q861" s="6">
        <v>0</v>
      </c>
    </row>
    <row r="862" spans="1:17">
      <c r="A862">
        <v>861</v>
      </c>
      <c r="B862" s="5">
        <v>45757</v>
      </c>
      <c r="C862" t="s">
        <v>525</v>
      </c>
      <c r="D862" t="s">
        <v>526</v>
      </c>
      <c r="E862" t="s">
        <v>527</v>
      </c>
      <c r="F862">
        <v>5</v>
      </c>
      <c r="G862" t="s">
        <v>656</v>
      </c>
      <c r="H862" t="s">
        <v>66</v>
      </c>
      <c r="I862" t="s">
        <v>22</v>
      </c>
      <c r="J862" t="s">
        <v>67</v>
      </c>
      <c r="K862" t="s">
        <v>34</v>
      </c>
      <c r="L862" s="6">
        <v>2000</v>
      </c>
      <c r="M862" s="6">
        <v>0</v>
      </c>
      <c r="N862" s="6">
        <v>-2000</v>
      </c>
      <c r="O862" s="6">
        <v>17086.939999999999</v>
      </c>
      <c r="P862" s="7">
        <v>0</v>
      </c>
      <c r="Q862" s="6">
        <v>0</v>
      </c>
    </row>
    <row r="863" spans="1:17">
      <c r="A863">
        <v>862</v>
      </c>
      <c r="B863" s="5">
        <v>45757</v>
      </c>
      <c r="C863" t="s">
        <v>525</v>
      </c>
      <c r="D863" t="s">
        <v>526</v>
      </c>
      <c r="E863" t="s">
        <v>527</v>
      </c>
      <c r="F863">
        <v>5</v>
      </c>
      <c r="G863" t="s">
        <v>657</v>
      </c>
      <c r="H863" t="s">
        <v>66</v>
      </c>
      <c r="I863" t="s">
        <v>22</v>
      </c>
      <c r="J863" t="s">
        <v>67</v>
      </c>
      <c r="K863" t="s">
        <v>34</v>
      </c>
      <c r="L863" s="6">
        <v>9660.02</v>
      </c>
      <c r="M863" s="6">
        <v>0</v>
      </c>
      <c r="N863" s="6">
        <v>-9660.02</v>
      </c>
      <c r="O863" s="6">
        <v>7426.92</v>
      </c>
      <c r="P863" s="7">
        <v>0</v>
      </c>
      <c r="Q863" s="6">
        <v>0</v>
      </c>
    </row>
    <row r="864" spans="1:17">
      <c r="A864">
        <v>863</v>
      </c>
      <c r="B864" s="5">
        <v>45757</v>
      </c>
      <c r="C864" t="s">
        <v>525</v>
      </c>
      <c r="D864" t="s">
        <v>526</v>
      </c>
      <c r="E864" t="s">
        <v>527</v>
      </c>
      <c r="F864">
        <v>5</v>
      </c>
      <c r="G864" t="s">
        <v>658</v>
      </c>
      <c r="H864" t="s">
        <v>66</v>
      </c>
      <c r="I864" t="s">
        <v>22</v>
      </c>
      <c r="J864" t="s">
        <v>67</v>
      </c>
      <c r="K864" t="s">
        <v>34</v>
      </c>
      <c r="L864" s="6">
        <v>2000</v>
      </c>
      <c r="M864" s="6">
        <v>0</v>
      </c>
      <c r="N864" s="6">
        <v>-2000</v>
      </c>
      <c r="O864" s="6">
        <v>5426.92</v>
      </c>
      <c r="P864" s="7">
        <v>0</v>
      </c>
      <c r="Q864" s="6">
        <v>0</v>
      </c>
    </row>
    <row r="865" spans="1:17">
      <c r="A865">
        <v>864</v>
      </c>
      <c r="B865" s="5">
        <v>45757</v>
      </c>
      <c r="C865" t="s">
        <v>525</v>
      </c>
      <c r="D865" t="s">
        <v>526</v>
      </c>
      <c r="E865" t="s">
        <v>527</v>
      </c>
      <c r="F865">
        <v>5</v>
      </c>
      <c r="G865" t="s">
        <v>506</v>
      </c>
      <c r="H865" t="s">
        <v>507</v>
      </c>
      <c r="I865" t="s">
        <v>16</v>
      </c>
      <c r="J865" t="s">
        <v>52</v>
      </c>
      <c r="K865" t="s">
        <v>35</v>
      </c>
      <c r="L865" s="6">
        <v>0</v>
      </c>
      <c r="M865" s="6">
        <v>250</v>
      </c>
      <c r="N865" s="6">
        <v>250</v>
      </c>
      <c r="O865" s="6">
        <v>5676.92</v>
      </c>
      <c r="P865" s="7">
        <v>0</v>
      </c>
      <c r="Q865" s="6">
        <v>0</v>
      </c>
    </row>
    <row r="866" spans="1:17">
      <c r="A866">
        <v>865</v>
      </c>
      <c r="B866" s="5">
        <v>45757</v>
      </c>
      <c r="C866" t="s">
        <v>525</v>
      </c>
      <c r="D866" t="s">
        <v>526</v>
      </c>
      <c r="E866" t="s">
        <v>527</v>
      </c>
      <c r="F866">
        <v>5</v>
      </c>
      <c r="G866" t="s">
        <v>184</v>
      </c>
      <c r="H866" t="s">
        <v>185</v>
      </c>
      <c r="I866" t="s">
        <v>16</v>
      </c>
      <c r="J866" t="s">
        <v>52</v>
      </c>
      <c r="K866" t="s">
        <v>35</v>
      </c>
      <c r="L866" s="6">
        <v>0</v>
      </c>
      <c r="M866" s="6">
        <v>1000</v>
      </c>
      <c r="N866" s="6">
        <v>1000</v>
      </c>
      <c r="O866" s="6">
        <v>6676.92</v>
      </c>
      <c r="P866" s="7">
        <v>0</v>
      </c>
      <c r="Q866" s="6">
        <v>0</v>
      </c>
    </row>
    <row r="867" spans="1:17">
      <c r="A867">
        <v>866</v>
      </c>
      <c r="B867" s="5">
        <v>45757</v>
      </c>
      <c r="C867" t="s">
        <v>525</v>
      </c>
      <c r="D867" t="s">
        <v>526</v>
      </c>
      <c r="E867" t="s">
        <v>527</v>
      </c>
      <c r="F867">
        <v>5</v>
      </c>
      <c r="G867" t="s">
        <v>435</v>
      </c>
      <c r="H867" t="s">
        <v>436</v>
      </c>
      <c r="I867" t="s">
        <v>16</v>
      </c>
      <c r="J867" t="s">
        <v>52</v>
      </c>
      <c r="K867" t="s">
        <v>35</v>
      </c>
      <c r="L867" s="6">
        <v>0</v>
      </c>
      <c r="M867" s="6">
        <v>200</v>
      </c>
      <c r="N867" s="6">
        <v>200</v>
      </c>
      <c r="O867" s="6">
        <v>6876.92</v>
      </c>
      <c r="P867" s="7">
        <v>0</v>
      </c>
      <c r="Q867" s="6">
        <v>0</v>
      </c>
    </row>
    <row r="868" spans="1:17">
      <c r="A868">
        <v>867</v>
      </c>
      <c r="B868" s="5">
        <v>45757</v>
      </c>
      <c r="C868" t="s">
        <v>525</v>
      </c>
      <c r="D868" t="s">
        <v>526</v>
      </c>
      <c r="E868" t="s">
        <v>527</v>
      </c>
      <c r="F868">
        <v>5</v>
      </c>
      <c r="G868" t="s">
        <v>264</v>
      </c>
      <c r="H868" t="s">
        <v>265</v>
      </c>
      <c r="I868" t="s">
        <v>16</v>
      </c>
      <c r="J868" t="s">
        <v>52</v>
      </c>
      <c r="K868" t="s">
        <v>35</v>
      </c>
      <c r="L868" s="6">
        <v>0</v>
      </c>
      <c r="M868" s="6">
        <v>500</v>
      </c>
      <c r="N868" s="6">
        <v>500</v>
      </c>
      <c r="O868" s="6">
        <v>7376.92</v>
      </c>
      <c r="P868" s="7">
        <v>0</v>
      </c>
      <c r="Q868" s="6">
        <v>0</v>
      </c>
    </row>
    <row r="869" spans="1:17">
      <c r="A869">
        <v>868</v>
      </c>
      <c r="B869" s="5">
        <v>45757</v>
      </c>
      <c r="C869" t="s">
        <v>525</v>
      </c>
      <c r="D869" t="s">
        <v>526</v>
      </c>
      <c r="E869" t="s">
        <v>527</v>
      </c>
      <c r="F869">
        <v>5</v>
      </c>
      <c r="G869" t="s">
        <v>626</v>
      </c>
      <c r="H869" t="s">
        <v>627</v>
      </c>
      <c r="I869" t="s">
        <v>16</v>
      </c>
      <c r="J869" t="s">
        <v>52</v>
      </c>
      <c r="K869" t="s">
        <v>35</v>
      </c>
      <c r="L869" s="6">
        <v>0</v>
      </c>
      <c r="M869" s="6">
        <v>5000</v>
      </c>
      <c r="N869" s="6">
        <v>5000</v>
      </c>
      <c r="O869" s="6">
        <v>12376.92</v>
      </c>
      <c r="P869" s="7">
        <v>0</v>
      </c>
      <c r="Q869" s="6">
        <v>0</v>
      </c>
    </row>
    <row r="870" spans="1:17">
      <c r="A870">
        <v>869</v>
      </c>
      <c r="B870" s="5">
        <v>45757</v>
      </c>
      <c r="C870" t="s">
        <v>525</v>
      </c>
      <c r="D870" t="s">
        <v>526</v>
      </c>
      <c r="E870" t="s">
        <v>527</v>
      </c>
      <c r="F870">
        <v>5</v>
      </c>
      <c r="G870" t="s">
        <v>626</v>
      </c>
      <c r="H870" t="s">
        <v>627</v>
      </c>
      <c r="I870" t="s">
        <v>16</v>
      </c>
      <c r="J870" t="s">
        <v>52</v>
      </c>
      <c r="K870" t="s">
        <v>35</v>
      </c>
      <c r="L870" s="6">
        <v>0</v>
      </c>
      <c r="M870" s="6">
        <v>5000</v>
      </c>
      <c r="N870" s="6">
        <v>5000</v>
      </c>
      <c r="O870" s="6">
        <v>17376.919999999998</v>
      </c>
      <c r="P870" s="7">
        <v>0</v>
      </c>
      <c r="Q870" s="6">
        <v>0</v>
      </c>
    </row>
    <row r="871" spans="1:17">
      <c r="A871">
        <v>870</v>
      </c>
      <c r="B871" s="5">
        <v>45757</v>
      </c>
      <c r="C871" t="s">
        <v>525</v>
      </c>
      <c r="D871" t="s">
        <v>526</v>
      </c>
      <c r="E871" t="s">
        <v>527</v>
      </c>
      <c r="F871">
        <v>5</v>
      </c>
      <c r="G871" t="s">
        <v>626</v>
      </c>
      <c r="H871" t="s">
        <v>627</v>
      </c>
      <c r="I871" t="s">
        <v>16</v>
      </c>
      <c r="J871" t="s">
        <v>52</v>
      </c>
      <c r="K871" t="s">
        <v>35</v>
      </c>
      <c r="L871" s="6">
        <v>0</v>
      </c>
      <c r="M871" s="6">
        <v>5000</v>
      </c>
      <c r="N871" s="6">
        <v>5000</v>
      </c>
      <c r="O871" s="6">
        <v>22376.92</v>
      </c>
      <c r="P871" s="7">
        <v>0</v>
      </c>
      <c r="Q871" s="6">
        <v>0</v>
      </c>
    </row>
    <row r="872" spans="1:17">
      <c r="A872">
        <v>871</v>
      </c>
      <c r="B872" s="5">
        <v>45757</v>
      </c>
      <c r="C872" t="s">
        <v>525</v>
      </c>
      <c r="D872" t="s">
        <v>526</v>
      </c>
      <c r="E872" t="s">
        <v>527</v>
      </c>
      <c r="F872">
        <v>5</v>
      </c>
      <c r="G872" t="s">
        <v>188</v>
      </c>
      <c r="H872" t="s">
        <v>189</v>
      </c>
      <c r="I872" t="s">
        <v>16</v>
      </c>
      <c r="J872" t="s">
        <v>52</v>
      </c>
      <c r="K872" t="s">
        <v>35</v>
      </c>
      <c r="L872" s="6">
        <v>0</v>
      </c>
      <c r="M872" s="6">
        <v>300</v>
      </c>
      <c r="N872" s="6">
        <v>300</v>
      </c>
      <c r="O872" s="6">
        <v>22676.92</v>
      </c>
      <c r="P872" s="7">
        <v>0</v>
      </c>
      <c r="Q872" s="6">
        <v>0</v>
      </c>
    </row>
    <row r="873" spans="1:17">
      <c r="A873">
        <v>872</v>
      </c>
      <c r="B873" s="5">
        <v>45757</v>
      </c>
      <c r="C873" t="s">
        <v>525</v>
      </c>
      <c r="D873" t="s">
        <v>526</v>
      </c>
      <c r="E873" t="s">
        <v>527</v>
      </c>
      <c r="F873">
        <v>5</v>
      </c>
      <c r="G873" t="s">
        <v>415</v>
      </c>
      <c r="H873" t="s">
        <v>416</v>
      </c>
      <c r="I873" t="s">
        <v>16</v>
      </c>
      <c r="J873" t="s">
        <v>52</v>
      </c>
      <c r="K873" t="s">
        <v>35</v>
      </c>
      <c r="L873" s="6">
        <v>0</v>
      </c>
      <c r="M873" s="6">
        <v>261</v>
      </c>
      <c r="N873" s="6">
        <v>261</v>
      </c>
      <c r="O873" s="6">
        <v>22937.919999999998</v>
      </c>
      <c r="P873" s="7">
        <v>0</v>
      </c>
      <c r="Q873" s="6">
        <v>0</v>
      </c>
    </row>
    <row r="874" spans="1:17">
      <c r="A874">
        <v>873</v>
      </c>
      <c r="B874" s="5">
        <v>45757</v>
      </c>
      <c r="C874" t="s">
        <v>525</v>
      </c>
      <c r="D874" t="s">
        <v>526</v>
      </c>
      <c r="E874" t="s">
        <v>527</v>
      </c>
      <c r="F874">
        <v>5</v>
      </c>
      <c r="G874" t="s">
        <v>659</v>
      </c>
      <c r="H874" t="s">
        <v>660</v>
      </c>
      <c r="I874" t="s">
        <v>16</v>
      </c>
      <c r="J874" t="s">
        <v>52</v>
      </c>
      <c r="K874" t="s">
        <v>35</v>
      </c>
      <c r="L874" s="6">
        <v>0</v>
      </c>
      <c r="M874" s="6">
        <v>100</v>
      </c>
      <c r="N874" s="6">
        <v>100</v>
      </c>
      <c r="O874" s="6">
        <v>23037.919999999998</v>
      </c>
      <c r="P874" s="7">
        <v>0</v>
      </c>
      <c r="Q874" s="6">
        <v>0</v>
      </c>
    </row>
    <row r="875" spans="1:17">
      <c r="A875">
        <v>874</v>
      </c>
      <c r="B875" s="5">
        <v>45757</v>
      </c>
      <c r="C875" t="s">
        <v>525</v>
      </c>
      <c r="D875" t="s">
        <v>526</v>
      </c>
      <c r="E875" t="s">
        <v>527</v>
      </c>
      <c r="F875">
        <v>5</v>
      </c>
      <c r="G875" t="s">
        <v>661</v>
      </c>
      <c r="H875" t="s">
        <v>66</v>
      </c>
      <c r="I875" t="s">
        <v>22</v>
      </c>
      <c r="J875" t="s">
        <v>67</v>
      </c>
      <c r="K875" t="s">
        <v>34</v>
      </c>
      <c r="L875" s="6">
        <v>1000</v>
      </c>
      <c r="M875" s="6">
        <v>0</v>
      </c>
      <c r="N875" s="6">
        <v>-1000</v>
      </c>
      <c r="O875" s="6">
        <v>22037.919999999998</v>
      </c>
      <c r="P875" s="7">
        <v>0</v>
      </c>
      <c r="Q875" s="6">
        <v>0</v>
      </c>
    </row>
    <row r="876" spans="1:17">
      <c r="A876">
        <v>875</v>
      </c>
      <c r="B876" s="5">
        <v>45757</v>
      </c>
      <c r="C876" t="s">
        <v>525</v>
      </c>
      <c r="D876" t="s">
        <v>526</v>
      </c>
      <c r="E876" t="s">
        <v>527</v>
      </c>
      <c r="F876">
        <v>5</v>
      </c>
      <c r="G876" t="s">
        <v>662</v>
      </c>
      <c r="H876" t="s">
        <v>66</v>
      </c>
      <c r="I876" t="s">
        <v>22</v>
      </c>
      <c r="J876" t="s">
        <v>67</v>
      </c>
      <c r="K876" t="s">
        <v>34</v>
      </c>
      <c r="L876" s="6">
        <v>400</v>
      </c>
      <c r="M876" s="6">
        <v>0</v>
      </c>
      <c r="N876" s="6">
        <v>-400</v>
      </c>
      <c r="O876" s="6">
        <v>21637.919999999998</v>
      </c>
      <c r="P876" s="7">
        <v>0</v>
      </c>
      <c r="Q876" s="6">
        <v>0</v>
      </c>
    </row>
    <row r="877" spans="1:17">
      <c r="A877">
        <v>876</v>
      </c>
      <c r="B877" s="5">
        <v>45757</v>
      </c>
      <c r="C877" t="s">
        <v>525</v>
      </c>
      <c r="D877" t="s">
        <v>526</v>
      </c>
      <c r="E877" t="s">
        <v>527</v>
      </c>
      <c r="F877">
        <v>5</v>
      </c>
      <c r="G877" t="s">
        <v>663</v>
      </c>
      <c r="H877" t="s">
        <v>66</v>
      </c>
      <c r="I877" t="s">
        <v>22</v>
      </c>
      <c r="J877" t="s">
        <v>67</v>
      </c>
      <c r="K877" t="s">
        <v>34</v>
      </c>
      <c r="L877" s="6">
        <v>241.28</v>
      </c>
      <c r="M877" s="6">
        <v>0</v>
      </c>
      <c r="N877" s="6">
        <v>-241.28</v>
      </c>
      <c r="O877" s="6">
        <v>21396.639999999999</v>
      </c>
      <c r="P877" s="7">
        <v>0</v>
      </c>
      <c r="Q877" s="6">
        <v>0</v>
      </c>
    </row>
    <row r="878" spans="1:17">
      <c r="A878">
        <v>877</v>
      </c>
      <c r="B878" s="5">
        <v>45757</v>
      </c>
      <c r="C878" t="s">
        <v>525</v>
      </c>
      <c r="D878" t="s">
        <v>526</v>
      </c>
      <c r="E878" t="s">
        <v>527</v>
      </c>
      <c r="F878">
        <v>5</v>
      </c>
      <c r="G878" t="s">
        <v>664</v>
      </c>
      <c r="H878" t="s">
        <v>66</v>
      </c>
      <c r="I878" t="s">
        <v>22</v>
      </c>
      <c r="J878" t="s">
        <v>67</v>
      </c>
      <c r="K878" t="s">
        <v>34</v>
      </c>
      <c r="L878" s="6">
        <v>13519.52</v>
      </c>
      <c r="M878" s="6">
        <v>0</v>
      </c>
      <c r="N878" s="6">
        <v>-13519.52</v>
      </c>
      <c r="O878" s="6">
        <v>7877.12</v>
      </c>
      <c r="P878" s="7">
        <v>0</v>
      </c>
      <c r="Q878" s="6">
        <v>0</v>
      </c>
    </row>
    <row r="879" spans="1:17">
      <c r="A879">
        <v>878</v>
      </c>
      <c r="B879" s="5">
        <v>45757</v>
      </c>
      <c r="C879" t="s">
        <v>525</v>
      </c>
      <c r="D879" t="s">
        <v>526</v>
      </c>
      <c r="E879" t="s">
        <v>527</v>
      </c>
      <c r="F879">
        <v>6</v>
      </c>
      <c r="G879" t="s">
        <v>665</v>
      </c>
      <c r="H879" t="s">
        <v>66</v>
      </c>
      <c r="I879" t="s">
        <v>22</v>
      </c>
      <c r="J879" t="s">
        <v>67</v>
      </c>
      <c r="K879" t="s">
        <v>34</v>
      </c>
      <c r="L879" s="6">
        <v>530.64</v>
      </c>
      <c r="M879" s="6">
        <v>0</v>
      </c>
      <c r="N879" s="6">
        <v>-530.64</v>
      </c>
      <c r="O879" s="6">
        <v>7346.48</v>
      </c>
      <c r="P879" s="7">
        <v>0</v>
      </c>
      <c r="Q879" s="6">
        <v>0</v>
      </c>
    </row>
    <row r="880" spans="1:17">
      <c r="A880">
        <v>879</v>
      </c>
      <c r="B880" s="5">
        <v>45757</v>
      </c>
      <c r="C880" t="s">
        <v>525</v>
      </c>
      <c r="D880" t="s">
        <v>526</v>
      </c>
      <c r="E880" t="s">
        <v>527</v>
      </c>
      <c r="F880">
        <v>6</v>
      </c>
      <c r="G880" t="s">
        <v>666</v>
      </c>
      <c r="H880" t="s">
        <v>66</v>
      </c>
      <c r="I880" t="s">
        <v>22</v>
      </c>
      <c r="J880" t="s">
        <v>67</v>
      </c>
      <c r="K880" t="s">
        <v>34</v>
      </c>
      <c r="L880" s="6">
        <v>3203.27</v>
      </c>
      <c r="M880" s="6">
        <v>0</v>
      </c>
      <c r="N880" s="6">
        <v>-3203.27</v>
      </c>
      <c r="O880" s="6">
        <v>4143.21</v>
      </c>
      <c r="P880" s="7">
        <v>0</v>
      </c>
      <c r="Q880" s="6">
        <v>0</v>
      </c>
    </row>
    <row r="881" spans="1:17">
      <c r="A881">
        <v>880</v>
      </c>
      <c r="B881" s="5">
        <v>45758</v>
      </c>
      <c r="C881" t="s">
        <v>525</v>
      </c>
      <c r="D881" t="s">
        <v>526</v>
      </c>
      <c r="E881" t="s">
        <v>527</v>
      </c>
      <c r="F881">
        <v>6</v>
      </c>
      <c r="G881" t="s">
        <v>440</v>
      </c>
      <c r="H881" t="s">
        <v>441</v>
      </c>
      <c r="I881" t="s">
        <v>16</v>
      </c>
      <c r="J881" t="s">
        <v>52</v>
      </c>
      <c r="K881" t="s">
        <v>35</v>
      </c>
      <c r="L881" s="6">
        <v>0</v>
      </c>
      <c r="M881" s="6">
        <v>3000</v>
      </c>
      <c r="N881" s="6">
        <v>3000</v>
      </c>
      <c r="O881" s="6">
        <v>7143.21</v>
      </c>
      <c r="P881" s="7">
        <v>0</v>
      </c>
      <c r="Q881" s="6">
        <v>0</v>
      </c>
    </row>
    <row r="882" spans="1:17">
      <c r="A882">
        <v>881</v>
      </c>
      <c r="B882" s="5">
        <v>45758</v>
      </c>
      <c r="C882" t="s">
        <v>525</v>
      </c>
      <c r="D882" t="s">
        <v>526</v>
      </c>
      <c r="E882" t="s">
        <v>527</v>
      </c>
      <c r="F882">
        <v>6</v>
      </c>
      <c r="G882" t="s">
        <v>667</v>
      </c>
      <c r="H882" t="s">
        <v>668</v>
      </c>
      <c r="I882" t="s">
        <v>18</v>
      </c>
      <c r="J882" t="s">
        <v>345</v>
      </c>
      <c r="K882" t="s">
        <v>34</v>
      </c>
      <c r="L882" s="6">
        <v>155.21</v>
      </c>
      <c r="M882" s="6">
        <v>0</v>
      </c>
      <c r="N882" s="6">
        <v>-155.21</v>
      </c>
      <c r="O882" s="6">
        <v>6988</v>
      </c>
      <c r="P882" s="7">
        <v>0</v>
      </c>
      <c r="Q882" s="6">
        <v>0</v>
      </c>
    </row>
    <row r="883" spans="1:17">
      <c r="A883">
        <v>882</v>
      </c>
      <c r="B883" s="5">
        <v>45758</v>
      </c>
      <c r="C883" t="s">
        <v>525</v>
      </c>
      <c r="D883" t="s">
        <v>526</v>
      </c>
      <c r="E883" t="s">
        <v>527</v>
      </c>
      <c r="F883">
        <v>6</v>
      </c>
      <c r="G883" t="s">
        <v>346</v>
      </c>
      <c r="I883" t="s">
        <v>14</v>
      </c>
      <c r="J883" t="s">
        <v>46</v>
      </c>
      <c r="K883" t="s">
        <v>34</v>
      </c>
      <c r="L883" s="6">
        <v>20</v>
      </c>
      <c r="M883" s="6">
        <v>0</v>
      </c>
      <c r="N883" s="6">
        <v>-20</v>
      </c>
      <c r="O883" s="6">
        <v>6968</v>
      </c>
      <c r="P883" s="7">
        <v>0.15</v>
      </c>
      <c r="Q883" s="6">
        <v>2.61</v>
      </c>
    </row>
    <row r="884" spans="1:17">
      <c r="A884">
        <v>883</v>
      </c>
      <c r="B884" s="5">
        <v>45758</v>
      </c>
      <c r="C884" t="s">
        <v>525</v>
      </c>
      <c r="D884" t="s">
        <v>526</v>
      </c>
      <c r="E884" t="s">
        <v>527</v>
      </c>
      <c r="F884">
        <v>6</v>
      </c>
      <c r="G884" t="s">
        <v>669</v>
      </c>
      <c r="H884" t="s">
        <v>344</v>
      </c>
      <c r="I884" t="s">
        <v>18</v>
      </c>
      <c r="J884" t="s">
        <v>345</v>
      </c>
      <c r="K884" t="s">
        <v>34</v>
      </c>
      <c r="L884" s="6">
        <v>800</v>
      </c>
      <c r="M884" s="6">
        <v>0</v>
      </c>
      <c r="N884" s="6">
        <v>-800</v>
      </c>
      <c r="O884" s="6">
        <v>6168</v>
      </c>
      <c r="P884" s="7">
        <v>0</v>
      </c>
      <c r="Q884" s="6">
        <v>0</v>
      </c>
    </row>
    <row r="885" spans="1:17">
      <c r="A885">
        <v>884</v>
      </c>
      <c r="B885" s="5">
        <v>45758</v>
      </c>
      <c r="C885" t="s">
        <v>525</v>
      </c>
      <c r="D885" t="s">
        <v>526</v>
      </c>
      <c r="E885" t="s">
        <v>527</v>
      </c>
      <c r="F885">
        <v>6</v>
      </c>
      <c r="G885" t="s">
        <v>346</v>
      </c>
      <c r="I885" t="s">
        <v>14</v>
      </c>
      <c r="J885" t="s">
        <v>46</v>
      </c>
      <c r="K885" t="s">
        <v>34</v>
      </c>
      <c r="L885" s="6">
        <v>30</v>
      </c>
      <c r="M885" s="6">
        <v>0</v>
      </c>
      <c r="N885" s="6">
        <v>-30</v>
      </c>
      <c r="O885" s="6">
        <v>6138</v>
      </c>
      <c r="P885" s="7">
        <v>0.15</v>
      </c>
      <c r="Q885" s="6">
        <v>3.91</v>
      </c>
    </row>
    <row r="886" spans="1:17">
      <c r="A886">
        <v>885</v>
      </c>
      <c r="B886" s="5">
        <v>45758</v>
      </c>
      <c r="C886" t="s">
        <v>525</v>
      </c>
      <c r="D886" t="s">
        <v>526</v>
      </c>
      <c r="E886" t="s">
        <v>527</v>
      </c>
      <c r="F886">
        <v>6</v>
      </c>
      <c r="G886" t="s">
        <v>201</v>
      </c>
      <c r="H886" t="s">
        <v>100</v>
      </c>
      <c r="I886" t="s">
        <v>16</v>
      </c>
      <c r="J886" t="s">
        <v>52</v>
      </c>
      <c r="K886" t="s">
        <v>35</v>
      </c>
      <c r="L886" s="6">
        <v>0</v>
      </c>
      <c r="M886" s="6">
        <v>1500</v>
      </c>
      <c r="N886" s="6">
        <v>1500</v>
      </c>
      <c r="O886" s="6">
        <v>7638</v>
      </c>
      <c r="P886" s="7">
        <v>0</v>
      </c>
      <c r="Q886" s="6">
        <v>0</v>
      </c>
    </row>
    <row r="887" spans="1:17">
      <c r="A887">
        <v>886</v>
      </c>
      <c r="B887" s="5">
        <v>45758</v>
      </c>
      <c r="C887" t="s">
        <v>525</v>
      </c>
      <c r="D887" t="s">
        <v>526</v>
      </c>
      <c r="E887" t="s">
        <v>527</v>
      </c>
      <c r="F887">
        <v>6</v>
      </c>
      <c r="G887" t="s">
        <v>253</v>
      </c>
      <c r="H887" t="s">
        <v>72</v>
      </c>
      <c r="I887" t="s">
        <v>16</v>
      </c>
      <c r="J887" t="s">
        <v>52</v>
      </c>
      <c r="K887" t="s">
        <v>35</v>
      </c>
      <c r="L887" s="6">
        <v>0</v>
      </c>
      <c r="M887" s="6">
        <v>3000</v>
      </c>
      <c r="N887" s="6">
        <v>3000</v>
      </c>
      <c r="O887" s="6">
        <v>10638</v>
      </c>
      <c r="P887" s="7">
        <v>0</v>
      </c>
      <c r="Q887" s="6">
        <v>0</v>
      </c>
    </row>
    <row r="888" spans="1:17">
      <c r="A888">
        <v>887</v>
      </c>
      <c r="B888" s="5">
        <v>45758</v>
      </c>
      <c r="C888" t="s">
        <v>525</v>
      </c>
      <c r="D888" t="s">
        <v>526</v>
      </c>
      <c r="E888" t="s">
        <v>527</v>
      </c>
      <c r="F888">
        <v>6</v>
      </c>
      <c r="G888" t="s">
        <v>188</v>
      </c>
      <c r="H888" t="s">
        <v>189</v>
      </c>
      <c r="I888" t="s">
        <v>16</v>
      </c>
      <c r="J888" t="s">
        <v>52</v>
      </c>
      <c r="K888" t="s">
        <v>35</v>
      </c>
      <c r="L888" s="6">
        <v>0</v>
      </c>
      <c r="M888" s="6">
        <v>230</v>
      </c>
      <c r="N888" s="6">
        <v>230</v>
      </c>
      <c r="O888" s="6">
        <v>10868</v>
      </c>
      <c r="P888" s="7">
        <v>0</v>
      </c>
      <c r="Q888" s="6">
        <v>0</v>
      </c>
    </row>
    <row r="889" spans="1:17">
      <c r="A889">
        <v>888</v>
      </c>
      <c r="B889" s="5">
        <v>45758</v>
      </c>
      <c r="C889" t="s">
        <v>525</v>
      </c>
      <c r="D889" t="s">
        <v>526</v>
      </c>
      <c r="E889" t="s">
        <v>527</v>
      </c>
      <c r="F889">
        <v>6</v>
      </c>
      <c r="G889" t="s">
        <v>188</v>
      </c>
      <c r="H889" t="s">
        <v>189</v>
      </c>
      <c r="I889" t="s">
        <v>16</v>
      </c>
      <c r="J889" t="s">
        <v>52</v>
      </c>
      <c r="K889" t="s">
        <v>35</v>
      </c>
      <c r="L889" s="6">
        <v>0</v>
      </c>
      <c r="M889" s="6">
        <v>100</v>
      </c>
      <c r="N889" s="6">
        <v>100</v>
      </c>
      <c r="O889" s="6">
        <v>10968</v>
      </c>
      <c r="P889" s="7">
        <v>0</v>
      </c>
      <c r="Q889" s="6">
        <v>0</v>
      </c>
    </row>
    <row r="890" spans="1:17">
      <c r="A890">
        <v>889</v>
      </c>
      <c r="B890" s="5">
        <v>45758</v>
      </c>
      <c r="C890" t="s">
        <v>525</v>
      </c>
      <c r="D890" t="s">
        <v>526</v>
      </c>
      <c r="E890" t="s">
        <v>527</v>
      </c>
      <c r="F890">
        <v>6</v>
      </c>
      <c r="G890" t="s">
        <v>258</v>
      </c>
      <c r="H890" t="s">
        <v>259</v>
      </c>
      <c r="I890" t="s">
        <v>16</v>
      </c>
      <c r="J890" t="s">
        <v>52</v>
      </c>
      <c r="K890" t="s">
        <v>35</v>
      </c>
      <c r="L890" s="6">
        <v>0</v>
      </c>
      <c r="M890" s="6">
        <v>500</v>
      </c>
      <c r="N890" s="6">
        <v>500</v>
      </c>
      <c r="O890" s="6">
        <v>11468</v>
      </c>
      <c r="P890" s="7">
        <v>0</v>
      </c>
      <c r="Q890" s="6">
        <v>0</v>
      </c>
    </row>
    <row r="891" spans="1:17">
      <c r="A891">
        <v>890</v>
      </c>
      <c r="B891" s="5">
        <v>45758</v>
      </c>
      <c r="C891" t="s">
        <v>525</v>
      </c>
      <c r="D891" t="s">
        <v>526</v>
      </c>
      <c r="E891" t="s">
        <v>527</v>
      </c>
      <c r="F891">
        <v>6</v>
      </c>
      <c r="G891" t="s">
        <v>258</v>
      </c>
      <c r="H891" t="s">
        <v>259</v>
      </c>
      <c r="I891" t="s">
        <v>16</v>
      </c>
      <c r="J891" t="s">
        <v>52</v>
      </c>
      <c r="K891" t="s">
        <v>35</v>
      </c>
      <c r="L891" s="6">
        <v>0</v>
      </c>
      <c r="M891" s="6">
        <v>500</v>
      </c>
      <c r="N891" s="6">
        <v>500</v>
      </c>
      <c r="O891" s="6">
        <v>11968</v>
      </c>
      <c r="P891" s="7">
        <v>0</v>
      </c>
      <c r="Q891" s="6">
        <v>0</v>
      </c>
    </row>
    <row r="892" spans="1:17">
      <c r="A892">
        <v>891</v>
      </c>
      <c r="B892" s="5">
        <v>45758</v>
      </c>
      <c r="C892" t="s">
        <v>525</v>
      </c>
      <c r="D892" t="s">
        <v>526</v>
      </c>
      <c r="E892" t="s">
        <v>527</v>
      </c>
      <c r="F892">
        <v>6</v>
      </c>
      <c r="G892" t="s">
        <v>194</v>
      </c>
      <c r="H892" t="s">
        <v>195</v>
      </c>
      <c r="I892" t="s">
        <v>16</v>
      </c>
      <c r="J892" t="s">
        <v>52</v>
      </c>
      <c r="K892" t="s">
        <v>35</v>
      </c>
      <c r="L892" s="6">
        <v>0</v>
      </c>
      <c r="M892" s="6">
        <v>100</v>
      </c>
      <c r="N892" s="6">
        <v>100</v>
      </c>
      <c r="O892" s="6">
        <v>12068</v>
      </c>
      <c r="P892" s="7">
        <v>0</v>
      </c>
      <c r="Q892" s="6">
        <v>0</v>
      </c>
    </row>
    <row r="893" spans="1:17">
      <c r="A893">
        <v>892</v>
      </c>
      <c r="B893" s="5">
        <v>45758</v>
      </c>
      <c r="C893" t="s">
        <v>525</v>
      </c>
      <c r="D893" t="s">
        <v>526</v>
      </c>
      <c r="E893" t="s">
        <v>527</v>
      </c>
      <c r="F893">
        <v>6</v>
      </c>
      <c r="G893" t="s">
        <v>659</v>
      </c>
      <c r="H893" t="s">
        <v>660</v>
      </c>
      <c r="I893" t="s">
        <v>16</v>
      </c>
      <c r="J893" t="s">
        <v>52</v>
      </c>
      <c r="K893" t="s">
        <v>35</v>
      </c>
      <c r="L893" s="6">
        <v>0</v>
      </c>
      <c r="M893" s="6">
        <v>200</v>
      </c>
      <c r="N893" s="6">
        <v>200</v>
      </c>
      <c r="O893" s="6">
        <v>12268</v>
      </c>
      <c r="P893" s="7">
        <v>0</v>
      </c>
      <c r="Q893" s="6">
        <v>0</v>
      </c>
    </row>
    <row r="894" spans="1:17">
      <c r="A894">
        <v>893</v>
      </c>
      <c r="B894" s="5">
        <v>45758</v>
      </c>
      <c r="C894" t="s">
        <v>525</v>
      </c>
      <c r="D894" t="s">
        <v>526</v>
      </c>
      <c r="E894" t="s">
        <v>527</v>
      </c>
      <c r="F894">
        <v>6</v>
      </c>
      <c r="G894" t="s">
        <v>201</v>
      </c>
      <c r="H894" t="s">
        <v>100</v>
      </c>
      <c r="I894" t="s">
        <v>16</v>
      </c>
      <c r="J894" t="s">
        <v>52</v>
      </c>
      <c r="K894" t="s">
        <v>35</v>
      </c>
      <c r="L894" s="6">
        <v>0</v>
      </c>
      <c r="M894" s="6">
        <v>650</v>
      </c>
      <c r="N894" s="6">
        <v>650</v>
      </c>
      <c r="O894" s="6">
        <v>12918</v>
      </c>
      <c r="P894" s="7">
        <v>0</v>
      </c>
      <c r="Q894" s="6">
        <v>0</v>
      </c>
    </row>
    <row r="895" spans="1:17">
      <c r="A895">
        <v>894</v>
      </c>
      <c r="B895" s="5">
        <v>45758</v>
      </c>
      <c r="C895" t="s">
        <v>525</v>
      </c>
      <c r="D895" t="s">
        <v>526</v>
      </c>
      <c r="E895" t="s">
        <v>527</v>
      </c>
      <c r="F895">
        <v>6</v>
      </c>
      <c r="G895" t="s">
        <v>670</v>
      </c>
      <c r="H895" t="s">
        <v>66</v>
      </c>
      <c r="I895" t="s">
        <v>22</v>
      </c>
      <c r="J895" t="s">
        <v>67</v>
      </c>
      <c r="K895" t="s">
        <v>34</v>
      </c>
      <c r="L895" s="6">
        <v>2785.61</v>
      </c>
      <c r="M895" s="6">
        <v>0</v>
      </c>
      <c r="N895" s="6">
        <v>-2785.61</v>
      </c>
      <c r="O895" s="6">
        <v>10132.39</v>
      </c>
      <c r="P895" s="7">
        <v>0</v>
      </c>
      <c r="Q895" s="6">
        <v>0</v>
      </c>
    </row>
    <row r="896" spans="1:17">
      <c r="A896">
        <v>895</v>
      </c>
      <c r="B896" s="5">
        <v>45758</v>
      </c>
      <c r="C896" t="s">
        <v>525</v>
      </c>
      <c r="D896" t="s">
        <v>526</v>
      </c>
      <c r="E896" t="s">
        <v>527</v>
      </c>
      <c r="F896">
        <v>6</v>
      </c>
      <c r="G896" t="s">
        <v>671</v>
      </c>
      <c r="H896" t="s">
        <v>66</v>
      </c>
      <c r="I896" t="s">
        <v>22</v>
      </c>
      <c r="J896" t="s">
        <v>67</v>
      </c>
      <c r="K896" t="s">
        <v>34</v>
      </c>
      <c r="L896" s="6">
        <v>1773.52</v>
      </c>
      <c r="M896" s="6">
        <v>0</v>
      </c>
      <c r="N896" s="6">
        <v>-1773.52</v>
      </c>
      <c r="O896" s="6">
        <v>8358.8700000000008</v>
      </c>
      <c r="P896" s="7">
        <v>0</v>
      </c>
      <c r="Q896" s="6">
        <v>0</v>
      </c>
    </row>
    <row r="897" spans="1:17">
      <c r="A897">
        <v>896</v>
      </c>
      <c r="B897" s="5">
        <v>45758</v>
      </c>
      <c r="C897" t="s">
        <v>525</v>
      </c>
      <c r="D897" t="s">
        <v>526</v>
      </c>
      <c r="E897" t="s">
        <v>527</v>
      </c>
      <c r="F897">
        <v>6</v>
      </c>
      <c r="G897" t="s">
        <v>672</v>
      </c>
      <c r="H897" t="s">
        <v>66</v>
      </c>
      <c r="I897" t="s">
        <v>22</v>
      </c>
      <c r="J897" t="s">
        <v>67</v>
      </c>
      <c r="K897" t="s">
        <v>34</v>
      </c>
      <c r="L897" s="6">
        <v>1423.35</v>
      </c>
      <c r="M897" s="6">
        <v>0</v>
      </c>
      <c r="N897" s="6">
        <v>-1423.35</v>
      </c>
      <c r="O897" s="6">
        <v>6935.52</v>
      </c>
      <c r="P897" s="7">
        <v>0</v>
      </c>
      <c r="Q897" s="6">
        <v>0</v>
      </c>
    </row>
    <row r="898" spans="1:17">
      <c r="A898">
        <v>897</v>
      </c>
      <c r="B898" s="5">
        <v>45758</v>
      </c>
      <c r="C898" t="s">
        <v>525</v>
      </c>
      <c r="D898" t="s">
        <v>526</v>
      </c>
      <c r="E898" t="s">
        <v>527</v>
      </c>
      <c r="F898">
        <v>6</v>
      </c>
      <c r="G898" t="s">
        <v>673</v>
      </c>
      <c r="H898" t="s">
        <v>66</v>
      </c>
      <c r="I898" t="s">
        <v>22</v>
      </c>
      <c r="J898" t="s">
        <v>67</v>
      </c>
      <c r="K898" t="s">
        <v>34</v>
      </c>
      <c r="L898" s="6">
        <v>300</v>
      </c>
      <c r="M898" s="6">
        <v>0</v>
      </c>
      <c r="N898" s="6">
        <v>-300</v>
      </c>
      <c r="O898" s="6">
        <v>6635.52</v>
      </c>
      <c r="P898" s="7">
        <v>0</v>
      </c>
      <c r="Q898" s="6">
        <v>0</v>
      </c>
    </row>
    <row r="899" spans="1:17">
      <c r="A899">
        <v>898</v>
      </c>
      <c r="B899" s="5">
        <v>45758</v>
      </c>
      <c r="C899" t="s">
        <v>525</v>
      </c>
      <c r="D899" t="s">
        <v>526</v>
      </c>
      <c r="E899" t="s">
        <v>527</v>
      </c>
      <c r="F899">
        <v>6</v>
      </c>
      <c r="G899" t="s">
        <v>674</v>
      </c>
      <c r="H899" t="s">
        <v>66</v>
      </c>
      <c r="I899" t="s">
        <v>22</v>
      </c>
      <c r="J899" t="s">
        <v>67</v>
      </c>
      <c r="K899" t="s">
        <v>34</v>
      </c>
      <c r="L899" s="6">
        <v>4650</v>
      </c>
      <c r="M899" s="6">
        <v>0</v>
      </c>
      <c r="N899" s="6">
        <v>-4650</v>
      </c>
      <c r="O899" s="6">
        <v>1985.52</v>
      </c>
      <c r="P899" s="7">
        <v>0</v>
      </c>
      <c r="Q899" s="6">
        <v>0</v>
      </c>
    </row>
    <row r="900" spans="1:17">
      <c r="A900">
        <v>899</v>
      </c>
      <c r="B900" s="5">
        <v>45758</v>
      </c>
      <c r="C900" t="s">
        <v>525</v>
      </c>
      <c r="D900" t="s">
        <v>526</v>
      </c>
      <c r="E900" t="s">
        <v>527</v>
      </c>
      <c r="F900">
        <v>6</v>
      </c>
      <c r="G900" t="s">
        <v>483</v>
      </c>
      <c r="H900" t="s">
        <v>484</v>
      </c>
      <c r="I900" t="s">
        <v>16</v>
      </c>
      <c r="J900" t="s">
        <v>52</v>
      </c>
      <c r="K900" t="s">
        <v>35</v>
      </c>
      <c r="L900" s="6">
        <v>0</v>
      </c>
      <c r="M900" s="6">
        <v>400</v>
      </c>
      <c r="N900" s="6">
        <v>400</v>
      </c>
      <c r="O900" s="6">
        <v>2385.52</v>
      </c>
      <c r="P900" s="7">
        <v>0</v>
      </c>
      <c r="Q900" s="6">
        <v>0</v>
      </c>
    </row>
    <row r="901" spans="1:17">
      <c r="A901">
        <v>900</v>
      </c>
      <c r="B901" s="5">
        <v>45758</v>
      </c>
      <c r="C901" t="s">
        <v>525</v>
      </c>
      <c r="D901" t="s">
        <v>526</v>
      </c>
      <c r="E901" t="s">
        <v>527</v>
      </c>
      <c r="F901">
        <v>6</v>
      </c>
      <c r="G901" t="s">
        <v>659</v>
      </c>
      <c r="H901" t="s">
        <v>660</v>
      </c>
      <c r="I901" t="s">
        <v>16</v>
      </c>
      <c r="J901" t="s">
        <v>52</v>
      </c>
      <c r="K901" t="s">
        <v>35</v>
      </c>
      <c r="L901" s="6">
        <v>0</v>
      </c>
      <c r="M901" s="6">
        <v>100</v>
      </c>
      <c r="N901" s="6">
        <v>100</v>
      </c>
      <c r="O901" s="6">
        <v>2485.52</v>
      </c>
      <c r="P901" s="7">
        <v>0</v>
      </c>
      <c r="Q901" s="6">
        <v>0</v>
      </c>
    </row>
    <row r="902" spans="1:17">
      <c r="A902">
        <v>901</v>
      </c>
      <c r="B902" s="5">
        <v>45761</v>
      </c>
      <c r="C902" t="s">
        <v>525</v>
      </c>
      <c r="D902" t="s">
        <v>526</v>
      </c>
      <c r="E902" t="s">
        <v>527</v>
      </c>
      <c r="F902">
        <v>6</v>
      </c>
      <c r="G902" t="s">
        <v>659</v>
      </c>
      <c r="H902" t="s">
        <v>660</v>
      </c>
      <c r="I902" t="s">
        <v>16</v>
      </c>
      <c r="J902" t="s">
        <v>52</v>
      </c>
      <c r="K902" t="s">
        <v>35</v>
      </c>
      <c r="L902" s="6">
        <v>0</v>
      </c>
      <c r="M902" s="6">
        <v>100</v>
      </c>
      <c r="N902" s="6">
        <v>100</v>
      </c>
      <c r="O902" s="6">
        <v>2585.52</v>
      </c>
      <c r="P902" s="7">
        <v>0</v>
      </c>
      <c r="Q902" s="6">
        <v>0</v>
      </c>
    </row>
    <row r="903" spans="1:17">
      <c r="A903">
        <v>902</v>
      </c>
      <c r="B903" s="5">
        <v>45761</v>
      </c>
      <c r="C903" t="s">
        <v>525</v>
      </c>
      <c r="D903" t="s">
        <v>526</v>
      </c>
      <c r="E903" t="s">
        <v>527</v>
      </c>
      <c r="F903">
        <v>6</v>
      </c>
      <c r="G903" t="s">
        <v>190</v>
      </c>
      <c r="H903" t="s">
        <v>112</v>
      </c>
      <c r="I903" t="s">
        <v>16</v>
      </c>
      <c r="J903" t="s">
        <v>52</v>
      </c>
      <c r="K903" t="s">
        <v>35</v>
      </c>
      <c r="L903" s="6">
        <v>0</v>
      </c>
      <c r="M903" s="6">
        <v>20000</v>
      </c>
      <c r="N903" s="6">
        <v>20000</v>
      </c>
      <c r="O903" s="6">
        <v>22585.52</v>
      </c>
      <c r="P903" s="7">
        <v>0</v>
      </c>
      <c r="Q903" s="6">
        <v>0</v>
      </c>
    </row>
    <row r="904" spans="1:17">
      <c r="A904">
        <v>903</v>
      </c>
      <c r="B904" s="5">
        <v>45761</v>
      </c>
      <c r="C904" t="s">
        <v>525</v>
      </c>
      <c r="D904" t="s">
        <v>526</v>
      </c>
      <c r="E904" t="s">
        <v>527</v>
      </c>
      <c r="F904">
        <v>6</v>
      </c>
      <c r="G904" t="s">
        <v>675</v>
      </c>
      <c r="H904" t="s">
        <v>676</v>
      </c>
      <c r="I904" t="s">
        <v>16</v>
      </c>
      <c r="J904" t="s">
        <v>52</v>
      </c>
      <c r="K904" t="s">
        <v>35</v>
      </c>
      <c r="L904" s="6">
        <v>0</v>
      </c>
      <c r="M904" s="6">
        <v>17000</v>
      </c>
      <c r="N904" s="6">
        <v>17000</v>
      </c>
      <c r="O904" s="6">
        <v>39585.519999999997</v>
      </c>
      <c r="P904" s="7">
        <v>0</v>
      </c>
      <c r="Q904" s="6">
        <v>0</v>
      </c>
    </row>
    <row r="905" spans="1:17">
      <c r="A905">
        <v>904</v>
      </c>
      <c r="B905" s="5">
        <v>45761</v>
      </c>
      <c r="C905" t="s">
        <v>525</v>
      </c>
      <c r="D905" t="s">
        <v>526</v>
      </c>
      <c r="E905" t="s">
        <v>527</v>
      </c>
      <c r="F905">
        <v>6</v>
      </c>
      <c r="G905" t="s">
        <v>677</v>
      </c>
      <c r="H905" t="s">
        <v>66</v>
      </c>
      <c r="I905" t="s">
        <v>22</v>
      </c>
      <c r="J905" t="s">
        <v>67</v>
      </c>
      <c r="K905" t="s">
        <v>34</v>
      </c>
      <c r="L905" s="6">
        <v>300</v>
      </c>
      <c r="M905" s="6">
        <v>0</v>
      </c>
      <c r="N905" s="6">
        <v>-300</v>
      </c>
      <c r="O905" s="6">
        <v>39285.519999999997</v>
      </c>
      <c r="P905" s="7">
        <v>0</v>
      </c>
      <c r="Q905" s="6">
        <v>0</v>
      </c>
    </row>
    <row r="906" spans="1:17">
      <c r="A906">
        <v>905</v>
      </c>
      <c r="B906" s="5">
        <v>45761</v>
      </c>
      <c r="C906" t="s">
        <v>525</v>
      </c>
      <c r="D906" t="s">
        <v>526</v>
      </c>
      <c r="E906" t="s">
        <v>527</v>
      </c>
      <c r="F906">
        <v>6</v>
      </c>
      <c r="G906" t="s">
        <v>678</v>
      </c>
      <c r="H906" t="s">
        <v>66</v>
      </c>
      <c r="I906" t="s">
        <v>22</v>
      </c>
      <c r="J906" t="s">
        <v>67</v>
      </c>
      <c r="K906" t="s">
        <v>34</v>
      </c>
      <c r="L906" s="6">
        <v>400</v>
      </c>
      <c r="M906" s="6">
        <v>0</v>
      </c>
      <c r="N906" s="6">
        <v>-400</v>
      </c>
      <c r="O906" s="6">
        <v>38885.519999999997</v>
      </c>
      <c r="P906" s="7">
        <v>0</v>
      </c>
      <c r="Q906" s="6">
        <v>0</v>
      </c>
    </row>
    <row r="907" spans="1:17">
      <c r="A907">
        <v>906</v>
      </c>
      <c r="B907" s="5">
        <v>45761</v>
      </c>
      <c r="C907" t="s">
        <v>525</v>
      </c>
      <c r="D907" t="s">
        <v>526</v>
      </c>
      <c r="E907" t="s">
        <v>527</v>
      </c>
      <c r="F907">
        <v>6</v>
      </c>
      <c r="G907" t="s">
        <v>679</v>
      </c>
      <c r="H907" t="s">
        <v>66</v>
      </c>
      <c r="I907" t="s">
        <v>22</v>
      </c>
      <c r="J907" t="s">
        <v>67</v>
      </c>
      <c r="K907" t="s">
        <v>34</v>
      </c>
      <c r="L907" s="6">
        <v>14000</v>
      </c>
      <c r="M907" s="6">
        <v>0</v>
      </c>
      <c r="N907" s="6">
        <v>-14000</v>
      </c>
      <c r="O907" s="6">
        <v>24885.52</v>
      </c>
      <c r="P907" s="7">
        <v>0</v>
      </c>
      <c r="Q907" s="6">
        <v>0</v>
      </c>
    </row>
    <row r="908" spans="1:17">
      <c r="A908">
        <v>907</v>
      </c>
      <c r="B908" s="5">
        <v>45761</v>
      </c>
      <c r="C908" t="s">
        <v>525</v>
      </c>
      <c r="D908" t="s">
        <v>526</v>
      </c>
      <c r="E908" t="s">
        <v>527</v>
      </c>
      <c r="F908">
        <v>6</v>
      </c>
      <c r="G908" t="s">
        <v>680</v>
      </c>
      <c r="H908" t="s">
        <v>66</v>
      </c>
      <c r="I908" t="s">
        <v>22</v>
      </c>
      <c r="J908" t="s">
        <v>67</v>
      </c>
      <c r="K908" t="s">
        <v>34</v>
      </c>
      <c r="L908" s="6">
        <v>100</v>
      </c>
      <c r="M908" s="6">
        <v>0</v>
      </c>
      <c r="N908" s="6">
        <v>-100</v>
      </c>
      <c r="O908" s="6">
        <v>24785.52</v>
      </c>
      <c r="P908" s="7">
        <v>0</v>
      </c>
      <c r="Q908" s="6">
        <v>0</v>
      </c>
    </row>
    <row r="909" spans="1:17">
      <c r="A909">
        <v>908</v>
      </c>
      <c r="B909" s="5">
        <v>45761</v>
      </c>
      <c r="C909" t="s">
        <v>525</v>
      </c>
      <c r="D909" t="s">
        <v>526</v>
      </c>
      <c r="E909" t="s">
        <v>527</v>
      </c>
      <c r="F909">
        <v>6</v>
      </c>
      <c r="G909" t="s">
        <v>483</v>
      </c>
      <c r="H909" t="s">
        <v>484</v>
      </c>
      <c r="I909" t="s">
        <v>16</v>
      </c>
      <c r="J909" t="s">
        <v>52</v>
      </c>
      <c r="K909" t="s">
        <v>35</v>
      </c>
      <c r="L909" s="6">
        <v>0</v>
      </c>
      <c r="M909" s="6">
        <v>50</v>
      </c>
      <c r="N909" s="6">
        <v>50</v>
      </c>
      <c r="O909" s="6">
        <v>24835.52</v>
      </c>
      <c r="P909" s="7">
        <v>0</v>
      </c>
      <c r="Q909" s="6">
        <v>0</v>
      </c>
    </row>
    <row r="910" spans="1:17">
      <c r="A910">
        <v>909</v>
      </c>
      <c r="B910" s="5">
        <v>45761</v>
      </c>
      <c r="C910" t="s">
        <v>525</v>
      </c>
      <c r="D910" t="s">
        <v>526</v>
      </c>
      <c r="E910" t="s">
        <v>527</v>
      </c>
      <c r="F910">
        <v>6</v>
      </c>
      <c r="G910" t="s">
        <v>440</v>
      </c>
      <c r="H910" t="s">
        <v>441</v>
      </c>
      <c r="I910" t="s">
        <v>16</v>
      </c>
      <c r="J910" t="s">
        <v>52</v>
      </c>
      <c r="K910" t="s">
        <v>35</v>
      </c>
      <c r="L910" s="6">
        <v>0</v>
      </c>
      <c r="M910" s="6">
        <v>5650</v>
      </c>
      <c r="N910" s="6">
        <v>5650</v>
      </c>
      <c r="O910" s="6">
        <v>30485.52</v>
      </c>
      <c r="P910" s="7">
        <v>0</v>
      </c>
      <c r="Q910" s="6">
        <v>0</v>
      </c>
    </row>
    <row r="911" spans="1:17">
      <c r="A911">
        <v>910</v>
      </c>
      <c r="B911" s="5">
        <v>45761</v>
      </c>
      <c r="C911" t="s">
        <v>525</v>
      </c>
      <c r="D911" t="s">
        <v>526</v>
      </c>
      <c r="E911" t="s">
        <v>527</v>
      </c>
      <c r="F911">
        <v>6</v>
      </c>
      <c r="G911" t="s">
        <v>681</v>
      </c>
      <c r="H911" t="s">
        <v>66</v>
      </c>
      <c r="I911" t="s">
        <v>22</v>
      </c>
      <c r="J911" t="s">
        <v>67</v>
      </c>
      <c r="K911" t="s">
        <v>34</v>
      </c>
      <c r="L911" s="6">
        <v>2000</v>
      </c>
      <c r="M911" s="6">
        <v>0</v>
      </c>
      <c r="N911" s="6">
        <v>-2000</v>
      </c>
      <c r="O911" s="6">
        <v>28485.52</v>
      </c>
      <c r="P911" s="7">
        <v>0</v>
      </c>
      <c r="Q911" s="6">
        <v>0</v>
      </c>
    </row>
    <row r="912" spans="1:17">
      <c r="A912">
        <v>911</v>
      </c>
      <c r="B912" s="5">
        <v>45761</v>
      </c>
      <c r="C912" t="s">
        <v>525</v>
      </c>
      <c r="D912" t="s">
        <v>526</v>
      </c>
      <c r="E912" t="s">
        <v>527</v>
      </c>
      <c r="F912">
        <v>6</v>
      </c>
      <c r="G912" t="s">
        <v>682</v>
      </c>
      <c r="H912" t="s">
        <v>66</v>
      </c>
      <c r="I912" t="s">
        <v>22</v>
      </c>
      <c r="J912" t="s">
        <v>67</v>
      </c>
      <c r="K912" t="s">
        <v>34</v>
      </c>
      <c r="L912" s="6">
        <v>200</v>
      </c>
      <c r="M912" s="6">
        <v>0</v>
      </c>
      <c r="N912" s="6">
        <v>-200</v>
      </c>
      <c r="O912" s="6">
        <v>28285.52</v>
      </c>
      <c r="P912" s="7">
        <v>0</v>
      </c>
      <c r="Q912" s="6">
        <v>0</v>
      </c>
    </row>
    <row r="913" spans="1:17">
      <c r="A913">
        <v>912</v>
      </c>
      <c r="B913" s="5">
        <v>45761</v>
      </c>
      <c r="C913" t="s">
        <v>525</v>
      </c>
      <c r="D913" t="s">
        <v>526</v>
      </c>
      <c r="E913" t="s">
        <v>527</v>
      </c>
      <c r="F913">
        <v>6</v>
      </c>
      <c r="G913" t="s">
        <v>683</v>
      </c>
      <c r="H913" t="s">
        <v>66</v>
      </c>
      <c r="I913" t="s">
        <v>22</v>
      </c>
      <c r="J913" t="s">
        <v>67</v>
      </c>
      <c r="K913" t="s">
        <v>34</v>
      </c>
      <c r="L913" s="6">
        <v>291</v>
      </c>
      <c r="M913" s="6">
        <v>0</v>
      </c>
      <c r="N913" s="6">
        <v>-291</v>
      </c>
      <c r="O913" s="6">
        <v>27994.52</v>
      </c>
      <c r="P913" s="7">
        <v>0</v>
      </c>
      <c r="Q913" s="6">
        <v>0</v>
      </c>
    </row>
    <row r="914" spans="1:17">
      <c r="A914">
        <v>913</v>
      </c>
      <c r="B914" s="5">
        <v>45761</v>
      </c>
      <c r="C914" t="s">
        <v>525</v>
      </c>
      <c r="D914" t="s">
        <v>526</v>
      </c>
      <c r="E914" t="s">
        <v>527</v>
      </c>
      <c r="F914">
        <v>6</v>
      </c>
      <c r="G914" t="s">
        <v>440</v>
      </c>
      <c r="H914" t="s">
        <v>441</v>
      </c>
      <c r="I914" t="s">
        <v>16</v>
      </c>
      <c r="J914" t="s">
        <v>52</v>
      </c>
      <c r="K914" t="s">
        <v>35</v>
      </c>
      <c r="L914" s="6">
        <v>0</v>
      </c>
      <c r="M914" s="6">
        <v>10000</v>
      </c>
      <c r="N914" s="6">
        <v>10000</v>
      </c>
      <c r="O914" s="6">
        <v>37994.519999999997</v>
      </c>
      <c r="P914" s="7">
        <v>0</v>
      </c>
      <c r="Q914" s="6">
        <v>0</v>
      </c>
    </row>
    <row r="915" spans="1:17">
      <c r="A915">
        <v>914</v>
      </c>
      <c r="B915" s="5">
        <v>45761</v>
      </c>
      <c r="C915" t="s">
        <v>525</v>
      </c>
      <c r="D915" t="s">
        <v>526</v>
      </c>
      <c r="E915" t="s">
        <v>527</v>
      </c>
      <c r="F915">
        <v>6</v>
      </c>
      <c r="G915" t="s">
        <v>212</v>
      </c>
      <c r="H915" t="s">
        <v>213</v>
      </c>
      <c r="I915" t="s">
        <v>16</v>
      </c>
      <c r="J915" t="s">
        <v>52</v>
      </c>
      <c r="K915" t="s">
        <v>35</v>
      </c>
      <c r="L915" s="6">
        <v>0</v>
      </c>
      <c r="M915" s="6">
        <v>1000</v>
      </c>
      <c r="N915" s="6">
        <v>1000</v>
      </c>
      <c r="O915" s="6">
        <v>38994.519999999997</v>
      </c>
      <c r="P915" s="7">
        <v>0</v>
      </c>
      <c r="Q915" s="6">
        <v>0</v>
      </c>
    </row>
    <row r="916" spans="1:17">
      <c r="A916">
        <v>915</v>
      </c>
      <c r="B916" s="5">
        <v>45761</v>
      </c>
      <c r="C916" t="s">
        <v>525</v>
      </c>
      <c r="D916" t="s">
        <v>526</v>
      </c>
      <c r="E916" t="s">
        <v>527</v>
      </c>
      <c r="F916">
        <v>6</v>
      </c>
      <c r="G916" t="s">
        <v>659</v>
      </c>
      <c r="H916" t="s">
        <v>660</v>
      </c>
      <c r="I916" t="s">
        <v>16</v>
      </c>
      <c r="J916" t="s">
        <v>52</v>
      </c>
      <c r="K916" t="s">
        <v>35</v>
      </c>
      <c r="L916" s="6">
        <v>0</v>
      </c>
      <c r="M916" s="6">
        <v>100</v>
      </c>
      <c r="N916" s="6">
        <v>100</v>
      </c>
      <c r="O916" s="6">
        <v>39094.519999999997</v>
      </c>
      <c r="P916" s="7">
        <v>0</v>
      </c>
      <c r="Q916" s="6">
        <v>0</v>
      </c>
    </row>
    <row r="917" spans="1:17">
      <c r="A917">
        <v>916</v>
      </c>
      <c r="B917" s="5">
        <v>45762</v>
      </c>
      <c r="C917" t="s">
        <v>525</v>
      </c>
      <c r="D917" t="s">
        <v>526</v>
      </c>
      <c r="E917" t="s">
        <v>527</v>
      </c>
      <c r="F917">
        <v>6</v>
      </c>
      <c r="G917" t="s">
        <v>684</v>
      </c>
      <c r="H917" t="s">
        <v>66</v>
      </c>
      <c r="I917" t="s">
        <v>22</v>
      </c>
      <c r="J917" t="s">
        <v>67</v>
      </c>
      <c r="K917" t="s">
        <v>34</v>
      </c>
      <c r="L917" s="6">
        <v>357</v>
      </c>
      <c r="M917" s="6">
        <v>0</v>
      </c>
      <c r="N917" s="6">
        <v>-357</v>
      </c>
      <c r="O917" s="6">
        <v>38737.519999999997</v>
      </c>
      <c r="P917" s="7">
        <v>0</v>
      </c>
      <c r="Q917" s="6">
        <v>0</v>
      </c>
    </row>
    <row r="918" spans="1:17">
      <c r="A918">
        <v>917</v>
      </c>
      <c r="B918" s="5">
        <v>45762</v>
      </c>
      <c r="C918" t="s">
        <v>525</v>
      </c>
      <c r="D918" t="s">
        <v>526</v>
      </c>
      <c r="E918" t="s">
        <v>527</v>
      </c>
      <c r="F918">
        <v>6</v>
      </c>
      <c r="G918" t="s">
        <v>685</v>
      </c>
      <c r="H918" t="s">
        <v>66</v>
      </c>
      <c r="I918" t="s">
        <v>22</v>
      </c>
      <c r="J918" t="s">
        <v>67</v>
      </c>
      <c r="K918" t="s">
        <v>34</v>
      </c>
      <c r="L918" s="6">
        <v>4162.9399999999996</v>
      </c>
      <c r="M918" s="6">
        <v>0</v>
      </c>
      <c r="N918" s="6">
        <v>-4162.9399999999996</v>
      </c>
      <c r="O918" s="6">
        <v>34574.58</v>
      </c>
      <c r="P918" s="7">
        <v>0</v>
      </c>
      <c r="Q918" s="6">
        <v>0</v>
      </c>
    </row>
    <row r="919" spans="1:17">
      <c r="A919">
        <v>918</v>
      </c>
      <c r="B919" s="5">
        <v>45762</v>
      </c>
      <c r="C919" t="s">
        <v>525</v>
      </c>
      <c r="D919" t="s">
        <v>526</v>
      </c>
      <c r="E919" t="s">
        <v>527</v>
      </c>
      <c r="F919">
        <v>6</v>
      </c>
      <c r="G919" t="s">
        <v>686</v>
      </c>
      <c r="H919" t="s">
        <v>66</v>
      </c>
      <c r="I919" t="s">
        <v>22</v>
      </c>
      <c r="J919" t="s">
        <v>67</v>
      </c>
      <c r="K919" t="s">
        <v>34</v>
      </c>
      <c r="L919" s="6">
        <v>4162.9399999999996</v>
      </c>
      <c r="M919" s="6">
        <v>0</v>
      </c>
      <c r="N919" s="6">
        <v>-4162.9399999999996</v>
      </c>
      <c r="O919" s="6">
        <v>30411.64</v>
      </c>
      <c r="P919" s="7">
        <v>0</v>
      </c>
      <c r="Q919" s="6">
        <v>0</v>
      </c>
    </row>
    <row r="920" spans="1:17">
      <c r="A920">
        <v>919</v>
      </c>
      <c r="B920" s="5">
        <v>45762</v>
      </c>
      <c r="C920" t="s">
        <v>525</v>
      </c>
      <c r="D920" t="s">
        <v>526</v>
      </c>
      <c r="E920" t="s">
        <v>527</v>
      </c>
      <c r="F920">
        <v>6</v>
      </c>
      <c r="G920" t="s">
        <v>687</v>
      </c>
      <c r="H920" t="s">
        <v>66</v>
      </c>
      <c r="I920" t="s">
        <v>22</v>
      </c>
      <c r="J920" t="s">
        <v>67</v>
      </c>
      <c r="K920" t="s">
        <v>34</v>
      </c>
      <c r="L920" s="6">
        <v>3000</v>
      </c>
      <c r="M920" s="6">
        <v>0</v>
      </c>
      <c r="N920" s="6">
        <v>-3000</v>
      </c>
      <c r="O920" s="6">
        <v>27411.64</v>
      </c>
      <c r="P920" s="7">
        <v>0</v>
      </c>
      <c r="Q920" s="6">
        <v>0</v>
      </c>
    </row>
    <row r="921" spans="1:17">
      <c r="A921">
        <v>920</v>
      </c>
      <c r="B921" s="5">
        <v>45762</v>
      </c>
      <c r="C921" t="s">
        <v>525</v>
      </c>
      <c r="D921" t="s">
        <v>526</v>
      </c>
      <c r="E921" t="s">
        <v>527</v>
      </c>
      <c r="F921">
        <v>6</v>
      </c>
      <c r="G921" t="s">
        <v>688</v>
      </c>
      <c r="H921" t="s">
        <v>66</v>
      </c>
      <c r="I921" t="s">
        <v>22</v>
      </c>
      <c r="J921" t="s">
        <v>67</v>
      </c>
      <c r="K921" t="s">
        <v>34</v>
      </c>
      <c r="L921" s="6">
        <v>250</v>
      </c>
      <c r="M921" s="6">
        <v>0</v>
      </c>
      <c r="N921" s="6">
        <v>-250</v>
      </c>
      <c r="O921" s="6">
        <v>27161.64</v>
      </c>
      <c r="P921" s="7">
        <v>0</v>
      </c>
      <c r="Q921" s="6">
        <v>0</v>
      </c>
    </row>
    <row r="922" spans="1:17">
      <c r="A922">
        <v>921</v>
      </c>
      <c r="B922" s="5">
        <v>45762</v>
      </c>
      <c r="C922" t="s">
        <v>525</v>
      </c>
      <c r="D922" t="s">
        <v>526</v>
      </c>
      <c r="E922" t="s">
        <v>527</v>
      </c>
      <c r="F922">
        <v>6</v>
      </c>
      <c r="G922" t="s">
        <v>689</v>
      </c>
      <c r="H922" t="s">
        <v>690</v>
      </c>
      <c r="I922" t="s">
        <v>16</v>
      </c>
      <c r="J922" t="s">
        <v>52</v>
      </c>
      <c r="K922" t="s">
        <v>35</v>
      </c>
      <c r="L922" s="6">
        <v>0</v>
      </c>
      <c r="M922" s="6">
        <v>500</v>
      </c>
      <c r="N922" s="6">
        <v>500</v>
      </c>
      <c r="O922" s="6">
        <v>27661.64</v>
      </c>
      <c r="P922" s="7">
        <v>0</v>
      </c>
      <c r="Q922" s="6">
        <v>0</v>
      </c>
    </row>
    <row r="923" spans="1:17">
      <c r="A923">
        <v>922</v>
      </c>
      <c r="B923" s="5">
        <v>45762</v>
      </c>
      <c r="C923" t="s">
        <v>525</v>
      </c>
      <c r="D923" t="s">
        <v>526</v>
      </c>
      <c r="E923" t="s">
        <v>527</v>
      </c>
      <c r="F923">
        <v>6</v>
      </c>
      <c r="G923" t="s">
        <v>691</v>
      </c>
      <c r="H923" t="s">
        <v>692</v>
      </c>
      <c r="I923" t="s">
        <v>16</v>
      </c>
      <c r="J923" t="s">
        <v>52</v>
      </c>
      <c r="K923" t="s">
        <v>35</v>
      </c>
      <c r="L923" s="6">
        <v>0</v>
      </c>
      <c r="M923" s="6">
        <v>200</v>
      </c>
      <c r="N923" s="6">
        <v>200</v>
      </c>
      <c r="O923" s="6">
        <v>27861.64</v>
      </c>
      <c r="P923" s="7">
        <v>0</v>
      </c>
      <c r="Q923" s="6">
        <v>0</v>
      </c>
    </row>
    <row r="924" spans="1:17">
      <c r="A924">
        <v>923</v>
      </c>
      <c r="B924" s="5">
        <v>45762</v>
      </c>
      <c r="C924" t="s">
        <v>525</v>
      </c>
      <c r="D924" t="s">
        <v>526</v>
      </c>
      <c r="E924" t="s">
        <v>527</v>
      </c>
      <c r="F924">
        <v>6</v>
      </c>
      <c r="G924" t="s">
        <v>201</v>
      </c>
      <c r="H924" t="s">
        <v>100</v>
      </c>
      <c r="I924" t="s">
        <v>16</v>
      </c>
      <c r="J924" t="s">
        <v>52</v>
      </c>
      <c r="K924" t="s">
        <v>35</v>
      </c>
      <c r="L924" s="6">
        <v>0</v>
      </c>
      <c r="M924" s="6">
        <v>2000</v>
      </c>
      <c r="N924" s="6">
        <v>2000</v>
      </c>
      <c r="O924" s="6">
        <v>29861.64</v>
      </c>
      <c r="P924" s="7">
        <v>0</v>
      </c>
      <c r="Q924" s="6">
        <v>0</v>
      </c>
    </row>
    <row r="925" spans="1:17">
      <c r="A925">
        <v>924</v>
      </c>
      <c r="B925" s="5">
        <v>45762</v>
      </c>
      <c r="C925" t="s">
        <v>525</v>
      </c>
      <c r="D925" t="s">
        <v>526</v>
      </c>
      <c r="E925" t="s">
        <v>527</v>
      </c>
      <c r="F925">
        <v>6</v>
      </c>
      <c r="G925" t="s">
        <v>194</v>
      </c>
      <c r="H925" t="s">
        <v>195</v>
      </c>
      <c r="I925" t="s">
        <v>16</v>
      </c>
      <c r="J925" t="s">
        <v>52</v>
      </c>
      <c r="K925" t="s">
        <v>35</v>
      </c>
      <c r="L925" s="6">
        <v>0</v>
      </c>
      <c r="M925" s="6">
        <v>500</v>
      </c>
      <c r="N925" s="6">
        <v>500</v>
      </c>
      <c r="O925" s="6">
        <v>30361.64</v>
      </c>
      <c r="P925" s="7">
        <v>0</v>
      </c>
      <c r="Q925" s="6">
        <v>0</v>
      </c>
    </row>
    <row r="926" spans="1:17">
      <c r="A926">
        <v>925</v>
      </c>
      <c r="B926" s="5">
        <v>45762</v>
      </c>
      <c r="C926" t="s">
        <v>525</v>
      </c>
      <c r="D926" t="s">
        <v>526</v>
      </c>
      <c r="E926" t="s">
        <v>527</v>
      </c>
      <c r="F926">
        <v>6</v>
      </c>
      <c r="G926" t="s">
        <v>659</v>
      </c>
      <c r="H926" t="s">
        <v>660</v>
      </c>
      <c r="I926" t="s">
        <v>16</v>
      </c>
      <c r="J926" t="s">
        <v>52</v>
      </c>
      <c r="K926" t="s">
        <v>35</v>
      </c>
      <c r="L926" s="6">
        <v>0</v>
      </c>
      <c r="M926" s="6">
        <v>200</v>
      </c>
      <c r="N926" s="6">
        <v>200</v>
      </c>
      <c r="O926" s="6">
        <v>30561.64</v>
      </c>
      <c r="P926" s="7">
        <v>0</v>
      </c>
      <c r="Q926" s="6">
        <v>0</v>
      </c>
    </row>
    <row r="927" spans="1:17">
      <c r="A927">
        <v>926</v>
      </c>
      <c r="B927" s="5">
        <v>45762</v>
      </c>
      <c r="C927" t="s">
        <v>525</v>
      </c>
      <c r="D927" t="s">
        <v>526</v>
      </c>
      <c r="E927" t="s">
        <v>527</v>
      </c>
      <c r="F927">
        <v>6</v>
      </c>
      <c r="G927" t="s">
        <v>194</v>
      </c>
      <c r="H927" t="s">
        <v>195</v>
      </c>
      <c r="I927" t="s">
        <v>16</v>
      </c>
      <c r="J927" t="s">
        <v>52</v>
      </c>
      <c r="K927" t="s">
        <v>35</v>
      </c>
      <c r="L927" s="6">
        <v>0</v>
      </c>
      <c r="M927" s="6">
        <v>400</v>
      </c>
      <c r="N927" s="6">
        <v>400</v>
      </c>
      <c r="O927" s="6">
        <v>30961.64</v>
      </c>
      <c r="P927" s="7">
        <v>0</v>
      </c>
      <c r="Q927" s="6">
        <v>0</v>
      </c>
    </row>
    <row r="928" spans="1:17">
      <c r="A928">
        <v>927</v>
      </c>
      <c r="B928" s="5">
        <v>45762</v>
      </c>
      <c r="C928" t="s">
        <v>525</v>
      </c>
      <c r="D928" t="s">
        <v>526</v>
      </c>
      <c r="E928" t="s">
        <v>527</v>
      </c>
      <c r="F928">
        <v>6</v>
      </c>
      <c r="G928" t="s">
        <v>693</v>
      </c>
      <c r="H928" t="s">
        <v>66</v>
      </c>
      <c r="I928" t="s">
        <v>22</v>
      </c>
      <c r="J928" t="s">
        <v>67</v>
      </c>
      <c r="K928" t="s">
        <v>34</v>
      </c>
      <c r="L928" s="6">
        <v>9688</v>
      </c>
      <c r="M928" s="6">
        <v>0</v>
      </c>
      <c r="N928" s="6">
        <v>-9688</v>
      </c>
      <c r="O928" s="6">
        <v>21273.64</v>
      </c>
      <c r="P928" s="7">
        <v>0</v>
      </c>
      <c r="Q928" s="6">
        <v>0</v>
      </c>
    </row>
    <row r="929" spans="1:18">
      <c r="A929">
        <v>928</v>
      </c>
      <c r="B929" s="5">
        <v>45762</v>
      </c>
      <c r="C929" t="s">
        <v>525</v>
      </c>
      <c r="D929" t="s">
        <v>526</v>
      </c>
      <c r="E929" t="s">
        <v>527</v>
      </c>
      <c r="F929">
        <v>6</v>
      </c>
      <c r="G929" t="s">
        <v>694</v>
      </c>
      <c r="H929" t="s">
        <v>66</v>
      </c>
      <c r="I929" t="s">
        <v>22</v>
      </c>
      <c r="J929" t="s">
        <v>67</v>
      </c>
      <c r="K929" t="s">
        <v>34</v>
      </c>
      <c r="L929" s="6">
        <v>3000</v>
      </c>
      <c r="M929" s="6">
        <v>0</v>
      </c>
      <c r="N929" s="6">
        <v>-3000</v>
      </c>
      <c r="O929" s="6">
        <v>18273.64</v>
      </c>
      <c r="P929" s="7">
        <v>0</v>
      </c>
      <c r="Q929" s="6">
        <v>0</v>
      </c>
    </row>
    <row r="930" spans="1:18">
      <c r="A930">
        <v>929</v>
      </c>
      <c r="B930" s="5">
        <v>45762</v>
      </c>
      <c r="C930" t="s">
        <v>525</v>
      </c>
      <c r="D930" t="s">
        <v>526</v>
      </c>
      <c r="E930" t="s">
        <v>527</v>
      </c>
      <c r="F930">
        <v>6</v>
      </c>
      <c r="G930" t="s">
        <v>695</v>
      </c>
      <c r="H930" t="s">
        <v>66</v>
      </c>
      <c r="I930" t="s">
        <v>22</v>
      </c>
      <c r="J930" t="s">
        <v>67</v>
      </c>
      <c r="K930" t="s">
        <v>34</v>
      </c>
      <c r="L930" s="6">
        <v>1000</v>
      </c>
      <c r="M930" s="6">
        <v>0</v>
      </c>
      <c r="N930" s="6">
        <v>-1000</v>
      </c>
      <c r="O930" s="6">
        <v>17273.64</v>
      </c>
      <c r="P930" s="7">
        <v>0</v>
      </c>
      <c r="Q930" s="6">
        <v>0</v>
      </c>
    </row>
    <row r="931" spans="1:18">
      <c r="A931">
        <v>930</v>
      </c>
      <c r="B931" s="5">
        <v>45762</v>
      </c>
      <c r="C931" t="s">
        <v>525</v>
      </c>
      <c r="D931" t="s">
        <v>526</v>
      </c>
      <c r="E931" t="s">
        <v>527</v>
      </c>
      <c r="F931">
        <v>6</v>
      </c>
      <c r="G931" t="s">
        <v>696</v>
      </c>
      <c r="H931" t="s">
        <v>66</v>
      </c>
      <c r="I931" t="s">
        <v>22</v>
      </c>
      <c r="J931" t="s">
        <v>67</v>
      </c>
      <c r="K931" t="s">
        <v>34</v>
      </c>
      <c r="L931" s="6">
        <v>5000.04</v>
      </c>
      <c r="M931" s="6">
        <v>0</v>
      </c>
      <c r="N931" s="6">
        <v>-5000.04</v>
      </c>
      <c r="O931" s="6">
        <v>12273.6</v>
      </c>
      <c r="P931" s="7">
        <v>0</v>
      </c>
      <c r="Q931" s="6">
        <v>0</v>
      </c>
    </row>
    <row r="932" spans="1:18">
      <c r="A932">
        <v>931</v>
      </c>
      <c r="B932" s="5">
        <v>45762</v>
      </c>
      <c r="C932" t="s">
        <v>525</v>
      </c>
      <c r="D932" t="s">
        <v>526</v>
      </c>
      <c r="E932" t="s">
        <v>527</v>
      </c>
      <c r="F932">
        <v>6</v>
      </c>
      <c r="G932" t="s">
        <v>697</v>
      </c>
      <c r="H932" t="s">
        <v>66</v>
      </c>
      <c r="I932" t="s">
        <v>22</v>
      </c>
      <c r="J932" t="s">
        <v>67</v>
      </c>
      <c r="K932" t="s">
        <v>34</v>
      </c>
      <c r="L932" s="6">
        <v>397</v>
      </c>
      <c r="M932" s="6">
        <v>0</v>
      </c>
      <c r="N932" s="6">
        <v>-397</v>
      </c>
      <c r="O932" s="6">
        <v>11876.6</v>
      </c>
      <c r="P932" s="7">
        <v>0</v>
      </c>
      <c r="Q932" s="6">
        <v>0</v>
      </c>
    </row>
    <row r="933" spans="1:18">
      <c r="A933">
        <v>932</v>
      </c>
      <c r="B933" s="5">
        <v>45762</v>
      </c>
      <c r="C933" t="s">
        <v>525</v>
      </c>
      <c r="D933" t="s">
        <v>526</v>
      </c>
      <c r="E933" t="s">
        <v>527</v>
      </c>
      <c r="F933">
        <v>6</v>
      </c>
      <c r="G933" t="s">
        <v>698</v>
      </c>
      <c r="H933" t="s">
        <v>66</v>
      </c>
      <c r="I933" t="s">
        <v>22</v>
      </c>
      <c r="J933" t="s">
        <v>67</v>
      </c>
      <c r="K933" t="s">
        <v>34</v>
      </c>
      <c r="L933" s="6">
        <v>300</v>
      </c>
      <c r="M933" s="6">
        <v>0</v>
      </c>
      <c r="N933" s="6">
        <v>-300</v>
      </c>
      <c r="O933" s="6">
        <v>11576.6</v>
      </c>
      <c r="P933" s="7">
        <v>0</v>
      </c>
      <c r="Q933" s="6">
        <v>0</v>
      </c>
    </row>
    <row r="934" spans="1:18">
      <c r="A934">
        <v>933</v>
      </c>
      <c r="B934" s="5">
        <v>45762</v>
      </c>
      <c r="C934" t="s">
        <v>525</v>
      </c>
      <c r="D934" t="s">
        <v>526</v>
      </c>
      <c r="E934" t="s">
        <v>527</v>
      </c>
      <c r="F934">
        <v>6</v>
      </c>
      <c r="G934" t="s">
        <v>699</v>
      </c>
      <c r="H934" t="s">
        <v>650</v>
      </c>
      <c r="I934" t="s">
        <v>20</v>
      </c>
      <c r="J934" t="s">
        <v>20</v>
      </c>
      <c r="K934" t="s">
        <v>35</v>
      </c>
      <c r="L934" s="6">
        <v>0</v>
      </c>
      <c r="M934" s="6">
        <v>4162.9399999999996</v>
      </c>
      <c r="N934" s="6">
        <v>4162.9399999999996</v>
      </c>
      <c r="O934" s="6">
        <v>15739.54</v>
      </c>
      <c r="P934" s="7">
        <v>0</v>
      </c>
      <c r="Q934" s="6">
        <v>0</v>
      </c>
      <c r="R934" t="s">
        <v>169</v>
      </c>
    </row>
    <row r="935" spans="1:18">
      <c r="A935">
        <v>934</v>
      </c>
      <c r="B935" s="5">
        <v>45762</v>
      </c>
      <c r="C935" t="s">
        <v>525</v>
      </c>
      <c r="D935" t="s">
        <v>526</v>
      </c>
      <c r="E935" t="s">
        <v>527</v>
      </c>
      <c r="F935">
        <v>6</v>
      </c>
      <c r="G935" t="s">
        <v>700</v>
      </c>
      <c r="H935" t="s">
        <v>66</v>
      </c>
      <c r="I935" t="s">
        <v>22</v>
      </c>
      <c r="J935" t="s">
        <v>67</v>
      </c>
      <c r="K935" t="s">
        <v>34</v>
      </c>
      <c r="L935" s="6">
        <v>500</v>
      </c>
      <c r="M935" s="6">
        <v>0</v>
      </c>
      <c r="N935" s="6">
        <v>-500</v>
      </c>
      <c r="O935" s="6">
        <v>15239.54</v>
      </c>
      <c r="P935" s="7">
        <v>0</v>
      </c>
      <c r="Q935" s="6">
        <v>0</v>
      </c>
    </row>
    <row r="936" spans="1:18">
      <c r="A936">
        <v>935</v>
      </c>
      <c r="B936" s="5">
        <v>45762</v>
      </c>
      <c r="C936" t="s">
        <v>525</v>
      </c>
      <c r="D936" t="s">
        <v>526</v>
      </c>
      <c r="E936" t="s">
        <v>527</v>
      </c>
      <c r="F936">
        <v>6</v>
      </c>
      <c r="G936" t="s">
        <v>701</v>
      </c>
      <c r="H936" t="s">
        <v>66</v>
      </c>
      <c r="I936" t="s">
        <v>22</v>
      </c>
      <c r="J936" t="s">
        <v>67</v>
      </c>
      <c r="K936" t="s">
        <v>34</v>
      </c>
      <c r="L936" s="6">
        <v>550</v>
      </c>
      <c r="M936" s="6">
        <v>0</v>
      </c>
      <c r="N936" s="6">
        <v>-550</v>
      </c>
      <c r="O936" s="6">
        <v>14689.54</v>
      </c>
      <c r="P936" s="7">
        <v>0</v>
      </c>
      <c r="Q936" s="6">
        <v>0</v>
      </c>
    </row>
    <row r="937" spans="1:18">
      <c r="A937">
        <v>936</v>
      </c>
      <c r="B937" s="5">
        <v>45762</v>
      </c>
      <c r="C937" t="s">
        <v>525</v>
      </c>
      <c r="D937" t="s">
        <v>526</v>
      </c>
      <c r="E937" t="s">
        <v>527</v>
      </c>
      <c r="F937">
        <v>6</v>
      </c>
      <c r="G937" t="s">
        <v>702</v>
      </c>
      <c r="H937" t="s">
        <v>66</v>
      </c>
      <c r="I937" t="s">
        <v>22</v>
      </c>
      <c r="J937" t="s">
        <v>67</v>
      </c>
      <c r="K937" t="s">
        <v>34</v>
      </c>
      <c r="L937" s="6">
        <v>1000</v>
      </c>
      <c r="M937" s="6">
        <v>0</v>
      </c>
      <c r="N937" s="6">
        <v>-1000</v>
      </c>
      <c r="O937" s="6">
        <v>13689.54</v>
      </c>
      <c r="P937" s="7">
        <v>0</v>
      </c>
      <c r="Q937" s="6">
        <v>0</v>
      </c>
    </row>
    <row r="938" spans="1:18">
      <c r="A938">
        <v>937</v>
      </c>
      <c r="B938" s="5">
        <v>45762</v>
      </c>
      <c r="C938" t="s">
        <v>525</v>
      </c>
      <c r="D938" t="s">
        <v>526</v>
      </c>
      <c r="E938" t="s">
        <v>527</v>
      </c>
      <c r="F938">
        <v>6</v>
      </c>
      <c r="G938" t="s">
        <v>703</v>
      </c>
      <c r="H938" t="s">
        <v>668</v>
      </c>
      <c r="I938" t="s">
        <v>18</v>
      </c>
      <c r="J938" t="s">
        <v>345</v>
      </c>
      <c r="K938" t="s">
        <v>34</v>
      </c>
      <c r="L938" s="6">
        <v>115.39</v>
      </c>
      <c r="M938" s="6">
        <v>0</v>
      </c>
      <c r="N938" s="6">
        <v>-115.39</v>
      </c>
      <c r="O938" s="6">
        <v>13574.15</v>
      </c>
      <c r="P938" s="7">
        <v>0</v>
      </c>
      <c r="Q938" s="6">
        <v>0</v>
      </c>
    </row>
    <row r="939" spans="1:18">
      <c r="A939">
        <v>938</v>
      </c>
      <c r="B939" s="5">
        <v>45762</v>
      </c>
      <c r="C939" t="s">
        <v>525</v>
      </c>
      <c r="D939" t="s">
        <v>526</v>
      </c>
      <c r="E939" t="s">
        <v>527</v>
      </c>
      <c r="F939">
        <v>7</v>
      </c>
      <c r="G939" t="s">
        <v>704</v>
      </c>
      <c r="H939" t="s">
        <v>705</v>
      </c>
      <c r="I939" t="s">
        <v>18</v>
      </c>
      <c r="J939" t="s">
        <v>345</v>
      </c>
      <c r="K939" t="s">
        <v>34</v>
      </c>
      <c r="L939" s="6">
        <v>2000</v>
      </c>
      <c r="M939" s="6">
        <v>0</v>
      </c>
      <c r="N939" s="6">
        <v>-2000</v>
      </c>
      <c r="O939" s="6">
        <v>11574.15</v>
      </c>
      <c r="P939" s="7">
        <v>0</v>
      </c>
      <c r="Q939" s="6">
        <v>0</v>
      </c>
    </row>
    <row r="940" spans="1:18">
      <c r="A940">
        <v>939</v>
      </c>
      <c r="B940" s="5">
        <v>45762</v>
      </c>
      <c r="C940" t="s">
        <v>525</v>
      </c>
      <c r="D940" t="s">
        <v>526</v>
      </c>
      <c r="E940" t="s">
        <v>527</v>
      </c>
      <c r="F940">
        <v>7</v>
      </c>
      <c r="G940" t="s">
        <v>706</v>
      </c>
      <c r="H940" t="s">
        <v>344</v>
      </c>
      <c r="I940" t="s">
        <v>18</v>
      </c>
      <c r="J940" t="s">
        <v>345</v>
      </c>
      <c r="K940" t="s">
        <v>34</v>
      </c>
      <c r="L940" s="6">
        <v>2600</v>
      </c>
      <c r="M940" s="6">
        <v>0</v>
      </c>
      <c r="N940" s="6">
        <v>-2600</v>
      </c>
      <c r="O940" s="6">
        <v>8974.15</v>
      </c>
      <c r="P940" s="7">
        <v>0</v>
      </c>
      <c r="Q940" s="6">
        <v>0</v>
      </c>
    </row>
    <row r="941" spans="1:18">
      <c r="A941">
        <v>940</v>
      </c>
      <c r="B941" s="5">
        <v>45762</v>
      </c>
      <c r="C941" t="s">
        <v>525</v>
      </c>
      <c r="D941" t="s">
        <v>526</v>
      </c>
      <c r="E941" t="s">
        <v>527</v>
      </c>
      <c r="F941">
        <v>7</v>
      </c>
      <c r="G941" t="s">
        <v>346</v>
      </c>
      <c r="I941" t="s">
        <v>14</v>
      </c>
      <c r="J941" t="s">
        <v>46</v>
      </c>
      <c r="K941" t="s">
        <v>34</v>
      </c>
      <c r="L941" s="6">
        <v>20</v>
      </c>
      <c r="M941" s="6">
        <v>0</v>
      </c>
      <c r="N941" s="6">
        <v>-20</v>
      </c>
      <c r="O941" s="6">
        <v>8954.15</v>
      </c>
      <c r="P941" s="7">
        <v>0.15</v>
      </c>
      <c r="Q941" s="6">
        <v>2.61</v>
      </c>
    </row>
    <row r="942" spans="1:18">
      <c r="A942">
        <v>941</v>
      </c>
      <c r="B942" s="5">
        <v>45762</v>
      </c>
      <c r="C942" t="s">
        <v>525</v>
      </c>
      <c r="D942" t="s">
        <v>526</v>
      </c>
      <c r="E942" t="s">
        <v>527</v>
      </c>
      <c r="F942">
        <v>7</v>
      </c>
      <c r="G942" t="s">
        <v>346</v>
      </c>
      <c r="I942" t="s">
        <v>14</v>
      </c>
      <c r="J942" t="s">
        <v>46</v>
      </c>
      <c r="K942" t="s">
        <v>34</v>
      </c>
      <c r="L942" s="6">
        <v>30</v>
      </c>
      <c r="M942" s="6">
        <v>0</v>
      </c>
      <c r="N942" s="6">
        <v>-30</v>
      </c>
      <c r="O942" s="6">
        <v>8924.15</v>
      </c>
      <c r="P942" s="7">
        <v>0.15</v>
      </c>
      <c r="Q942" s="6">
        <v>3.91</v>
      </c>
    </row>
    <row r="943" spans="1:18">
      <c r="A943">
        <v>942</v>
      </c>
      <c r="B943" s="5">
        <v>45762</v>
      </c>
      <c r="C943" t="s">
        <v>525</v>
      </c>
      <c r="D943" t="s">
        <v>526</v>
      </c>
      <c r="E943" t="s">
        <v>527</v>
      </c>
      <c r="F943">
        <v>7</v>
      </c>
      <c r="G943" t="s">
        <v>346</v>
      </c>
      <c r="I943" t="s">
        <v>14</v>
      </c>
      <c r="J943" t="s">
        <v>46</v>
      </c>
      <c r="K943" t="s">
        <v>34</v>
      </c>
      <c r="L943" s="6">
        <v>30</v>
      </c>
      <c r="M943" s="6">
        <v>0</v>
      </c>
      <c r="N943" s="6">
        <v>-30</v>
      </c>
      <c r="O943" s="6">
        <v>8894.15</v>
      </c>
      <c r="P943" s="7">
        <v>0.15</v>
      </c>
      <c r="Q943" s="6">
        <v>3.91</v>
      </c>
    </row>
    <row r="944" spans="1:18">
      <c r="A944">
        <v>943</v>
      </c>
      <c r="B944" s="5">
        <v>45763</v>
      </c>
      <c r="C944" t="s">
        <v>525</v>
      </c>
      <c r="D944" t="s">
        <v>526</v>
      </c>
      <c r="E944" t="s">
        <v>527</v>
      </c>
      <c r="F944">
        <v>7</v>
      </c>
      <c r="G944" t="s">
        <v>707</v>
      </c>
      <c r="H944" t="s">
        <v>708</v>
      </c>
      <c r="I944" t="s">
        <v>16</v>
      </c>
      <c r="J944" t="s">
        <v>52</v>
      </c>
      <c r="K944" t="s">
        <v>35</v>
      </c>
      <c r="L944" s="6">
        <v>0</v>
      </c>
      <c r="M944" s="6">
        <v>90</v>
      </c>
      <c r="N944" s="6">
        <v>90</v>
      </c>
      <c r="O944" s="6">
        <v>8984.15</v>
      </c>
      <c r="P944" s="7">
        <v>0</v>
      </c>
      <c r="Q944" s="6">
        <v>0</v>
      </c>
    </row>
    <row r="945" spans="1:17">
      <c r="A945">
        <v>944</v>
      </c>
      <c r="B945" s="5">
        <v>45763</v>
      </c>
      <c r="C945" t="s">
        <v>525</v>
      </c>
      <c r="D945" t="s">
        <v>526</v>
      </c>
      <c r="E945" t="s">
        <v>527</v>
      </c>
      <c r="F945">
        <v>7</v>
      </c>
      <c r="G945" t="s">
        <v>707</v>
      </c>
      <c r="H945" t="s">
        <v>708</v>
      </c>
      <c r="I945" t="s">
        <v>16</v>
      </c>
      <c r="J945" t="s">
        <v>52</v>
      </c>
      <c r="K945" t="s">
        <v>35</v>
      </c>
      <c r="L945" s="6">
        <v>0</v>
      </c>
      <c r="M945" s="6">
        <v>100</v>
      </c>
      <c r="N945" s="6">
        <v>100</v>
      </c>
      <c r="O945" s="6">
        <v>9084.15</v>
      </c>
      <c r="P945" s="7">
        <v>0</v>
      </c>
      <c r="Q945" s="6">
        <v>0</v>
      </c>
    </row>
    <row r="946" spans="1:17">
      <c r="A946">
        <v>945</v>
      </c>
      <c r="B946" s="5">
        <v>45763</v>
      </c>
      <c r="C946" t="s">
        <v>525</v>
      </c>
      <c r="D946" t="s">
        <v>526</v>
      </c>
      <c r="E946" t="s">
        <v>527</v>
      </c>
      <c r="F946">
        <v>7</v>
      </c>
      <c r="G946" t="s">
        <v>707</v>
      </c>
      <c r="H946" t="s">
        <v>708</v>
      </c>
      <c r="I946" t="s">
        <v>16</v>
      </c>
      <c r="J946" t="s">
        <v>52</v>
      </c>
      <c r="K946" t="s">
        <v>35</v>
      </c>
      <c r="L946" s="6">
        <v>0</v>
      </c>
      <c r="M946" s="6">
        <v>100</v>
      </c>
      <c r="N946" s="6">
        <v>100</v>
      </c>
      <c r="O946" s="6">
        <v>9184.15</v>
      </c>
      <c r="P946" s="7">
        <v>0</v>
      </c>
      <c r="Q946" s="6">
        <v>0</v>
      </c>
    </row>
    <row r="947" spans="1:17">
      <c r="A947">
        <v>946</v>
      </c>
      <c r="B947" s="5">
        <v>45763</v>
      </c>
      <c r="C947" t="s">
        <v>525</v>
      </c>
      <c r="D947" t="s">
        <v>526</v>
      </c>
      <c r="E947" t="s">
        <v>527</v>
      </c>
      <c r="F947">
        <v>7</v>
      </c>
      <c r="G947" t="s">
        <v>191</v>
      </c>
      <c r="H947" t="s">
        <v>102</v>
      </c>
      <c r="I947" t="s">
        <v>16</v>
      </c>
      <c r="J947" t="s">
        <v>52</v>
      </c>
      <c r="K947" t="s">
        <v>35</v>
      </c>
      <c r="L947" s="6">
        <v>0</v>
      </c>
      <c r="M947" s="6">
        <v>1500</v>
      </c>
      <c r="N947" s="6">
        <v>1500</v>
      </c>
      <c r="O947" s="6">
        <v>10684.15</v>
      </c>
      <c r="P947" s="7">
        <v>0</v>
      </c>
      <c r="Q947" s="6">
        <v>0</v>
      </c>
    </row>
    <row r="948" spans="1:17">
      <c r="A948">
        <v>947</v>
      </c>
      <c r="B948" s="5">
        <v>45763</v>
      </c>
      <c r="C948" t="s">
        <v>525</v>
      </c>
      <c r="D948" t="s">
        <v>526</v>
      </c>
      <c r="E948" t="s">
        <v>527</v>
      </c>
      <c r="F948">
        <v>7</v>
      </c>
      <c r="G948" t="s">
        <v>709</v>
      </c>
      <c r="H948" t="s">
        <v>66</v>
      </c>
      <c r="I948" t="s">
        <v>22</v>
      </c>
      <c r="J948" t="s">
        <v>67</v>
      </c>
      <c r="K948" t="s">
        <v>34</v>
      </c>
      <c r="L948" s="6">
        <v>1600</v>
      </c>
      <c r="M948" s="6">
        <v>0</v>
      </c>
      <c r="N948" s="6">
        <v>-1600</v>
      </c>
      <c r="O948" s="6">
        <v>9084.15</v>
      </c>
      <c r="P948" s="7">
        <v>0</v>
      </c>
      <c r="Q948" s="6">
        <v>0</v>
      </c>
    </row>
    <row r="949" spans="1:17">
      <c r="A949">
        <v>948</v>
      </c>
      <c r="B949" s="5">
        <v>45763</v>
      </c>
      <c r="C949" t="s">
        <v>525</v>
      </c>
      <c r="D949" t="s">
        <v>526</v>
      </c>
      <c r="E949" t="s">
        <v>527</v>
      </c>
      <c r="F949">
        <v>7</v>
      </c>
      <c r="G949" t="s">
        <v>710</v>
      </c>
      <c r="H949" t="s">
        <v>66</v>
      </c>
      <c r="I949" t="s">
        <v>22</v>
      </c>
      <c r="J949" t="s">
        <v>67</v>
      </c>
      <c r="K949" t="s">
        <v>34</v>
      </c>
      <c r="L949" s="6">
        <v>3600</v>
      </c>
      <c r="M949" s="6">
        <v>0</v>
      </c>
      <c r="N949" s="6">
        <v>-3600</v>
      </c>
      <c r="O949" s="6">
        <v>5484.15</v>
      </c>
      <c r="P949" s="7">
        <v>0</v>
      </c>
      <c r="Q949" s="6">
        <v>0</v>
      </c>
    </row>
    <row r="950" spans="1:17">
      <c r="A950">
        <v>949</v>
      </c>
      <c r="B950" s="5">
        <v>45763</v>
      </c>
      <c r="C950" t="s">
        <v>525</v>
      </c>
      <c r="D950" t="s">
        <v>526</v>
      </c>
      <c r="E950" t="s">
        <v>527</v>
      </c>
      <c r="F950">
        <v>7</v>
      </c>
      <c r="G950" t="s">
        <v>711</v>
      </c>
      <c r="H950" t="s">
        <v>66</v>
      </c>
      <c r="I950" t="s">
        <v>22</v>
      </c>
      <c r="J950" t="s">
        <v>67</v>
      </c>
      <c r="K950" t="s">
        <v>34</v>
      </c>
      <c r="L950" s="6">
        <v>1200</v>
      </c>
      <c r="M950" s="6">
        <v>0</v>
      </c>
      <c r="N950" s="6">
        <v>-1200</v>
      </c>
      <c r="O950" s="6">
        <v>4284.1499999999996</v>
      </c>
      <c r="P950" s="7">
        <v>0</v>
      </c>
      <c r="Q950" s="6">
        <v>0</v>
      </c>
    </row>
    <row r="951" spans="1:17">
      <c r="A951">
        <v>950</v>
      </c>
      <c r="B951" s="5">
        <v>45763</v>
      </c>
      <c r="C951" t="s">
        <v>525</v>
      </c>
      <c r="D951" t="s">
        <v>526</v>
      </c>
      <c r="E951" t="s">
        <v>527</v>
      </c>
      <c r="F951">
        <v>7</v>
      </c>
      <c r="G951" t="s">
        <v>712</v>
      </c>
      <c r="H951" t="s">
        <v>66</v>
      </c>
      <c r="I951" t="s">
        <v>22</v>
      </c>
      <c r="J951" t="s">
        <v>67</v>
      </c>
      <c r="K951" t="s">
        <v>34</v>
      </c>
      <c r="L951" s="6">
        <v>411</v>
      </c>
      <c r="M951" s="6">
        <v>0</v>
      </c>
      <c r="N951" s="6">
        <v>-411</v>
      </c>
      <c r="O951" s="6">
        <v>3873.15</v>
      </c>
      <c r="P951" s="7">
        <v>0</v>
      </c>
      <c r="Q951" s="6">
        <v>0</v>
      </c>
    </row>
    <row r="952" spans="1:17">
      <c r="A952">
        <v>951</v>
      </c>
      <c r="B952" s="5">
        <v>45763</v>
      </c>
      <c r="C952" t="s">
        <v>525</v>
      </c>
      <c r="D952" t="s">
        <v>526</v>
      </c>
      <c r="E952" t="s">
        <v>527</v>
      </c>
      <c r="F952">
        <v>7</v>
      </c>
      <c r="G952" t="s">
        <v>689</v>
      </c>
      <c r="H952" t="s">
        <v>690</v>
      </c>
      <c r="I952" t="s">
        <v>16</v>
      </c>
      <c r="J952" t="s">
        <v>52</v>
      </c>
      <c r="K952" t="s">
        <v>35</v>
      </c>
      <c r="L952" s="6">
        <v>0</v>
      </c>
      <c r="M952" s="6">
        <v>500</v>
      </c>
      <c r="N952" s="6">
        <v>500</v>
      </c>
      <c r="O952" s="6">
        <v>4373.1499999999996</v>
      </c>
      <c r="P952" s="7">
        <v>0</v>
      </c>
      <c r="Q952" s="6">
        <v>0</v>
      </c>
    </row>
    <row r="953" spans="1:17">
      <c r="A953">
        <v>952</v>
      </c>
      <c r="B953" s="5">
        <v>45763</v>
      </c>
      <c r="C953" t="s">
        <v>525</v>
      </c>
      <c r="D953" t="s">
        <v>526</v>
      </c>
      <c r="E953" t="s">
        <v>527</v>
      </c>
      <c r="F953">
        <v>7</v>
      </c>
      <c r="G953" t="s">
        <v>201</v>
      </c>
      <c r="H953" t="s">
        <v>100</v>
      </c>
      <c r="I953" t="s">
        <v>16</v>
      </c>
      <c r="J953" t="s">
        <v>52</v>
      </c>
      <c r="K953" t="s">
        <v>35</v>
      </c>
      <c r="L953" s="6">
        <v>0</v>
      </c>
      <c r="M953" s="6">
        <v>750</v>
      </c>
      <c r="N953" s="6">
        <v>750</v>
      </c>
      <c r="O953" s="6">
        <v>5123.1499999999996</v>
      </c>
      <c r="P953" s="7">
        <v>0</v>
      </c>
      <c r="Q953" s="6">
        <v>0</v>
      </c>
    </row>
    <row r="954" spans="1:17">
      <c r="A954">
        <v>953</v>
      </c>
      <c r="B954" s="5">
        <v>45763</v>
      </c>
      <c r="C954" t="s">
        <v>525</v>
      </c>
      <c r="D954" t="s">
        <v>526</v>
      </c>
      <c r="E954" t="s">
        <v>527</v>
      </c>
      <c r="F954">
        <v>7</v>
      </c>
      <c r="G954" t="s">
        <v>264</v>
      </c>
      <c r="H954" t="s">
        <v>265</v>
      </c>
      <c r="I954" t="s">
        <v>16</v>
      </c>
      <c r="J954" t="s">
        <v>52</v>
      </c>
      <c r="K954" t="s">
        <v>35</v>
      </c>
      <c r="L954" s="6">
        <v>0</v>
      </c>
      <c r="M954" s="6">
        <v>500</v>
      </c>
      <c r="N954" s="6">
        <v>500</v>
      </c>
      <c r="O954" s="6">
        <v>5623.15</v>
      </c>
      <c r="P954" s="7">
        <v>0</v>
      </c>
      <c r="Q954" s="6">
        <v>0</v>
      </c>
    </row>
    <row r="955" spans="1:17">
      <c r="A955">
        <v>954</v>
      </c>
      <c r="B955" s="5">
        <v>45763</v>
      </c>
      <c r="C955" t="s">
        <v>525</v>
      </c>
      <c r="D955" t="s">
        <v>526</v>
      </c>
      <c r="E955" t="s">
        <v>527</v>
      </c>
      <c r="F955">
        <v>7</v>
      </c>
      <c r="G955" t="s">
        <v>191</v>
      </c>
      <c r="H955" t="s">
        <v>102</v>
      </c>
      <c r="I955" t="s">
        <v>16</v>
      </c>
      <c r="J955" t="s">
        <v>52</v>
      </c>
      <c r="K955" t="s">
        <v>35</v>
      </c>
      <c r="L955" s="6">
        <v>0</v>
      </c>
      <c r="M955" s="6">
        <v>500</v>
      </c>
      <c r="N955" s="6">
        <v>500</v>
      </c>
      <c r="O955" s="6">
        <v>6123.15</v>
      </c>
      <c r="P955" s="7">
        <v>0</v>
      </c>
      <c r="Q955" s="6">
        <v>0</v>
      </c>
    </row>
    <row r="956" spans="1:17">
      <c r="A956">
        <v>955</v>
      </c>
      <c r="B956" s="5">
        <v>45763</v>
      </c>
      <c r="C956" t="s">
        <v>525</v>
      </c>
      <c r="D956" t="s">
        <v>526</v>
      </c>
      <c r="E956" t="s">
        <v>527</v>
      </c>
      <c r="F956">
        <v>7</v>
      </c>
      <c r="G956" t="s">
        <v>659</v>
      </c>
      <c r="H956" t="s">
        <v>660</v>
      </c>
      <c r="I956" t="s">
        <v>16</v>
      </c>
      <c r="J956" t="s">
        <v>52</v>
      </c>
      <c r="K956" t="s">
        <v>35</v>
      </c>
      <c r="L956" s="6">
        <v>0</v>
      </c>
      <c r="M956" s="6">
        <v>100</v>
      </c>
      <c r="N956" s="6">
        <v>100</v>
      </c>
      <c r="O956" s="6">
        <v>6223.15</v>
      </c>
      <c r="P956" s="7">
        <v>0</v>
      </c>
      <c r="Q956" s="6">
        <v>0</v>
      </c>
    </row>
    <row r="957" spans="1:17">
      <c r="A957">
        <v>956</v>
      </c>
      <c r="B957" s="5">
        <v>45763</v>
      </c>
      <c r="C957" t="s">
        <v>525</v>
      </c>
      <c r="D957" t="s">
        <v>526</v>
      </c>
      <c r="E957" t="s">
        <v>527</v>
      </c>
      <c r="F957">
        <v>7</v>
      </c>
      <c r="G957" t="s">
        <v>548</v>
      </c>
      <c r="H957" t="s">
        <v>549</v>
      </c>
      <c r="I957" t="s">
        <v>16</v>
      </c>
      <c r="J957" t="s">
        <v>52</v>
      </c>
      <c r="K957" t="s">
        <v>35</v>
      </c>
      <c r="L957" s="6">
        <v>0</v>
      </c>
      <c r="M957" s="6">
        <v>2000</v>
      </c>
      <c r="N957" s="6">
        <v>2000</v>
      </c>
      <c r="O957" s="6">
        <v>8223.15</v>
      </c>
      <c r="P957" s="7">
        <v>0</v>
      </c>
      <c r="Q957" s="6">
        <v>0</v>
      </c>
    </row>
    <row r="958" spans="1:17">
      <c r="A958">
        <v>957</v>
      </c>
      <c r="B958" s="5">
        <v>45763</v>
      </c>
      <c r="C958" t="s">
        <v>525</v>
      </c>
      <c r="D958" t="s">
        <v>526</v>
      </c>
      <c r="E958" t="s">
        <v>527</v>
      </c>
      <c r="F958">
        <v>7</v>
      </c>
      <c r="G958" t="s">
        <v>548</v>
      </c>
      <c r="H958" t="s">
        <v>549</v>
      </c>
      <c r="I958" t="s">
        <v>16</v>
      </c>
      <c r="J958" t="s">
        <v>52</v>
      </c>
      <c r="K958" t="s">
        <v>35</v>
      </c>
      <c r="L958" s="6">
        <v>0</v>
      </c>
      <c r="M958" s="6">
        <v>2000</v>
      </c>
      <c r="N958" s="6">
        <v>2000</v>
      </c>
      <c r="O958" s="6">
        <v>10223.15</v>
      </c>
      <c r="P958" s="7">
        <v>0</v>
      </c>
      <c r="Q958" s="6">
        <v>0</v>
      </c>
    </row>
    <row r="959" spans="1:17">
      <c r="A959">
        <v>958</v>
      </c>
      <c r="B959" s="5">
        <v>45763</v>
      </c>
      <c r="C959" t="s">
        <v>525</v>
      </c>
      <c r="D959" t="s">
        <v>526</v>
      </c>
      <c r="E959" t="s">
        <v>527</v>
      </c>
      <c r="F959">
        <v>7</v>
      </c>
      <c r="G959" t="s">
        <v>707</v>
      </c>
      <c r="H959" t="s">
        <v>708</v>
      </c>
      <c r="I959" t="s">
        <v>16</v>
      </c>
      <c r="J959" t="s">
        <v>52</v>
      </c>
      <c r="K959" t="s">
        <v>35</v>
      </c>
      <c r="L959" s="6">
        <v>0</v>
      </c>
      <c r="M959" s="6">
        <v>50</v>
      </c>
      <c r="N959" s="6">
        <v>50</v>
      </c>
      <c r="O959" s="6">
        <v>10273.15</v>
      </c>
      <c r="P959" s="7">
        <v>0</v>
      </c>
      <c r="Q959" s="6">
        <v>0</v>
      </c>
    </row>
    <row r="960" spans="1:17">
      <c r="A960">
        <v>959</v>
      </c>
      <c r="B960" s="5">
        <v>45763</v>
      </c>
      <c r="C960" t="s">
        <v>525</v>
      </c>
      <c r="D960" t="s">
        <v>526</v>
      </c>
      <c r="E960" t="s">
        <v>527</v>
      </c>
      <c r="F960">
        <v>7</v>
      </c>
      <c r="G960" t="s">
        <v>707</v>
      </c>
      <c r="H960" t="s">
        <v>708</v>
      </c>
      <c r="I960" t="s">
        <v>16</v>
      </c>
      <c r="J960" t="s">
        <v>52</v>
      </c>
      <c r="K960" t="s">
        <v>35</v>
      </c>
      <c r="L960" s="6">
        <v>0</v>
      </c>
      <c r="M960" s="6">
        <v>60</v>
      </c>
      <c r="N960" s="6">
        <v>60</v>
      </c>
      <c r="O960" s="6">
        <v>10333.15</v>
      </c>
      <c r="P960" s="7">
        <v>0</v>
      </c>
      <c r="Q960" s="6">
        <v>0</v>
      </c>
    </row>
    <row r="961" spans="1:17">
      <c r="A961">
        <v>960</v>
      </c>
      <c r="B961" s="5">
        <v>45763</v>
      </c>
      <c r="C961" t="s">
        <v>525</v>
      </c>
      <c r="D961" t="s">
        <v>526</v>
      </c>
      <c r="E961" t="s">
        <v>527</v>
      </c>
      <c r="F961">
        <v>7</v>
      </c>
      <c r="G961" t="s">
        <v>707</v>
      </c>
      <c r="H961" t="s">
        <v>708</v>
      </c>
      <c r="I961" t="s">
        <v>16</v>
      </c>
      <c r="J961" t="s">
        <v>52</v>
      </c>
      <c r="K961" t="s">
        <v>35</v>
      </c>
      <c r="L961" s="6">
        <v>0</v>
      </c>
      <c r="M961" s="6">
        <v>100</v>
      </c>
      <c r="N961" s="6">
        <v>100</v>
      </c>
      <c r="O961" s="6">
        <v>10433.15</v>
      </c>
      <c r="P961" s="7">
        <v>0</v>
      </c>
      <c r="Q961" s="6">
        <v>0</v>
      </c>
    </row>
    <row r="962" spans="1:17">
      <c r="A962">
        <v>961</v>
      </c>
      <c r="B962" s="5">
        <v>45764</v>
      </c>
      <c r="C962" t="s">
        <v>525</v>
      </c>
      <c r="D962" t="s">
        <v>526</v>
      </c>
      <c r="E962" t="s">
        <v>527</v>
      </c>
      <c r="F962">
        <v>7</v>
      </c>
      <c r="G962" t="s">
        <v>435</v>
      </c>
      <c r="H962" t="s">
        <v>436</v>
      </c>
      <c r="I962" t="s">
        <v>16</v>
      </c>
      <c r="J962" t="s">
        <v>52</v>
      </c>
      <c r="K962" t="s">
        <v>35</v>
      </c>
      <c r="L962" s="6">
        <v>0</v>
      </c>
      <c r="M962" s="6">
        <v>200</v>
      </c>
      <c r="N962" s="6">
        <v>200</v>
      </c>
      <c r="O962" s="6">
        <v>10633.15</v>
      </c>
      <c r="P962" s="7">
        <v>0</v>
      </c>
      <c r="Q962" s="6">
        <v>0</v>
      </c>
    </row>
    <row r="963" spans="1:17">
      <c r="A963">
        <v>962</v>
      </c>
      <c r="B963" s="5">
        <v>45764</v>
      </c>
      <c r="C963" t="s">
        <v>525</v>
      </c>
      <c r="D963" t="s">
        <v>526</v>
      </c>
      <c r="E963" t="s">
        <v>527</v>
      </c>
      <c r="F963">
        <v>7</v>
      </c>
      <c r="G963" t="s">
        <v>713</v>
      </c>
      <c r="H963" t="s">
        <v>66</v>
      </c>
      <c r="I963" t="s">
        <v>22</v>
      </c>
      <c r="J963" t="s">
        <v>67</v>
      </c>
      <c r="K963" t="s">
        <v>34</v>
      </c>
      <c r="L963" s="6">
        <v>2500</v>
      </c>
      <c r="M963" s="6">
        <v>0</v>
      </c>
      <c r="N963" s="6">
        <v>-2500</v>
      </c>
      <c r="O963" s="6">
        <v>8133.15</v>
      </c>
      <c r="P963" s="7">
        <v>0</v>
      </c>
      <c r="Q963" s="6">
        <v>0</v>
      </c>
    </row>
    <row r="964" spans="1:17">
      <c r="A964">
        <v>963</v>
      </c>
      <c r="B964" s="5">
        <v>45764</v>
      </c>
      <c r="C964" t="s">
        <v>525</v>
      </c>
      <c r="D964" t="s">
        <v>526</v>
      </c>
      <c r="E964" t="s">
        <v>527</v>
      </c>
      <c r="F964">
        <v>7</v>
      </c>
      <c r="G964" t="s">
        <v>714</v>
      </c>
      <c r="H964" t="s">
        <v>66</v>
      </c>
      <c r="I964" t="s">
        <v>22</v>
      </c>
      <c r="J964" t="s">
        <v>67</v>
      </c>
      <c r="K964" t="s">
        <v>34</v>
      </c>
      <c r="L964" s="6">
        <v>320</v>
      </c>
      <c r="M964" s="6">
        <v>0</v>
      </c>
      <c r="N964" s="6">
        <v>-320</v>
      </c>
      <c r="O964" s="6">
        <v>7813.15</v>
      </c>
      <c r="P964" s="7">
        <v>0</v>
      </c>
      <c r="Q964" s="6">
        <v>0</v>
      </c>
    </row>
    <row r="965" spans="1:17">
      <c r="A965">
        <v>964</v>
      </c>
      <c r="B965" s="5">
        <v>45764</v>
      </c>
      <c r="C965" t="s">
        <v>525</v>
      </c>
      <c r="D965" t="s">
        <v>526</v>
      </c>
      <c r="E965" t="s">
        <v>527</v>
      </c>
      <c r="F965">
        <v>7</v>
      </c>
      <c r="G965" t="s">
        <v>715</v>
      </c>
      <c r="H965" t="s">
        <v>66</v>
      </c>
      <c r="I965" t="s">
        <v>22</v>
      </c>
      <c r="J965" t="s">
        <v>67</v>
      </c>
      <c r="K965" t="s">
        <v>34</v>
      </c>
      <c r="L965" s="6">
        <v>2773.91</v>
      </c>
      <c r="M965" s="6">
        <v>0</v>
      </c>
      <c r="N965" s="6">
        <v>-2773.91</v>
      </c>
      <c r="O965" s="6">
        <v>5039.24</v>
      </c>
      <c r="P965" s="7">
        <v>0</v>
      </c>
      <c r="Q965" s="6">
        <v>0</v>
      </c>
    </row>
    <row r="966" spans="1:17">
      <c r="A966">
        <v>965</v>
      </c>
      <c r="B966" s="5">
        <v>45764</v>
      </c>
      <c r="C966" t="s">
        <v>525</v>
      </c>
      <c r="D966" t="s">
        <v>526</v>
      </c>
      <c r="E966" t="s">
        <v>527</v>
      </c>
      <c r="F966">
        <v>7</v>
      </c>
      <c r="G966" t="s">
        <v>716</v>
      </c>
      <c r="H966" t="s">
        <v>66</v>
      </c>
      <c r="I966" t="s">
        <v>22</v>
      </c>
      <c r="J966" t="s">
        <v>67</v>
      </c>
      <c r="K966" t="s">
        <v>34</v>
      </c>
      <c r="L966" s="6">
        <v>2264</v>
      </c>
      <c r="M966" s="6">
        <v>0</v>
      </c>
      <c r="N966" s="6">
        <v>-2264</v>
      </c>
      <c r="O966" s="6">
        <v>2775.24</v>
      </c>
      <c r="P966" s="7">
        <v>0</v>
      </c>
      <c r="Q966" s="6">
        <v>0</v>
      </c>
    </row>
    <row r="967" spans="1:17">
      <c r="A967">
        <v>966</v>
      </c>
      <c r="B967" s="5">
        <v>45764</v>
      </c>
      <c r="C967" t="s">
        <v>525</v>
      </c>
      <c r="D967" t="s">
        <v>526</v>
      </c>
      <c r="E967" t="s">
        <v>527</v>
      </c>
      <c r="F967">
        <v>7</v>
      </c>
      <c r="G967" t="s">
        <v>548</v>
      </c>
      <c r="H967" t="s">
        <v>549</v>
      </c>
      <c r="I967" t="s">
        <v>16</v>
      </c>
      <c r="J967" t="s">
        <v>52</v>
      </c>
      <c r="K967" t="s">
        <v>35</v>
      </c>
      <c r="L967" s="6">
        <v>0</v>
      </c>
      <c r="M967" s="6">
        <v>1900</v>
      </c>
      <c r="N967" s="6">
        <v>1900</v>
      </c>
      <c r="O967" s="6">
        <v>4675.24</v>
      </c>
      <c r="P967" s="7">
        <v>0</v>
      </c>
      <c r="Q967" s="6">
        <v>0</v>
      </c>
    </row>
    <row r="968" spans="1:17">
      <c r="A968">
        <v>967</v>
      </c>
      <c r="B968" s="5">
        <v>45764</v>
      </c>
      <c r="C968" t="s">
        <v>525</v>
      </c>
      <c r="D968" t="s">
        <v>526</v>
      </c>
      <c r="E968" t="s">
        <v>527</v>
      </c>
      <c r="F968">
        <v>7</v>
      </c>
      <c r="G968" t="s">
        <v>689</v>
      </c>
      <c r="H968" t="s">
        <v>690</v>
      </c>
      <c r="I968" t="s">
        <v>16</v>
      </c>
      <c r="J968" t="s">
        <v>52</v>
      </c>
      <c r="K968" t="s">
        <v>35</v>
      </c>
      <c r="L968" s="6">
        <v>0</v>
      </c>
      <c r="M968" s="6">
        <v>1000</v>
      </c>
      <c r="N968" s="6">
        <v>1000</v>
      </c>
      <c r="O968" s="6">
        <v>5675.24</v>
      </c>
      <c r="P968" s="7">
        <v>0</v>
      </c>
      <c r="Q968" s="6">
        <v>0</v>
      </c>
    </row>
    <row r="969" spans="1:17">
      <c r="A969">
        <v>968</v>
      </c>
      <c r="B969" s="5">
        <v>45764</v>
      </c>
      <c r="C969" t="s">
        <v>525</v>
      </c>
      <c r="D969" t="s">
        <v>526</v>
      </c>
      <c r="E969" t="s">
        <v>527</v>
      </c>
      <c r="F969">
        <v>7</v>
      </c>
      <c r="G969" t="s">
        <v>201</v>
      </c>
      <c r="H969" t="s">
        <v>100</v>
      </c>
      <c r="I969" t="s">
        <v>16</v>
      </c>
      <c r="J969" t="s">
        <v>52</v>
      </c>
      <c r="K969" t="s">
        <v>35</v>
      </c>
      <c r="L969" s="6">
        <v>0</v>
      </c>
      <c r="M969" s="6">
        <v>2500</v>
      </c>
      <c r="N969" s="6">
        <v>2500</v>
      </c>
      <c r="O969" s="6">
        <v>8175.24</v>
      </c>
      <c r="P969" s="7">
        <v>0</v>
      </c>
      <c r="Q969" s="6">
        <v>0</v>
      </c>
    </row>
    <row r="970" spans="1:17">
      <c r="A970">
        <v>969</v>
      </c>
      <c r="B970" s="5">
        <v>45764</v>
      </c>
      <c r="C970" t="s">
        <v>525</v>
      </c>
      <c r="D970" t="s">
        <v>526</v>
      </c>
      <c r="E970" t="s">
        <v>527</v>
      </c>
      <c r="F970">
        <v>7</v>
      </c>
      <c r="G970" t="s">
        <v>212</v>
      </c>
      <c r="H970" t="s">
        <v>213</v>
      </c>
      <c r="I970" t="s">
        <v>16</v>
      </c>
      <c r="J970" t="s">
        <v>52</v>
      </c>
      <c r="K970" t="s">
        <v>35</v>
      </c>
      <c r="L970" s="6">
        <v>0</v>
      </c>
      <c r="M970" s="6">
        <v>1000</v>
      </c>
      <c r="N970" s="6">
        <v>1000</v>
      </c>
      <c r="O970" s="6">
        <v>9175.24</v>
      </c>
      <c r="P970" s="7">
        <v>0</v>
      </c>
      <c r="Q970" s="6">
        <v>0</v>
      </c>
    </row>
    <row r="971" spans="1:17">
      <c r="A971">
        <v>970</v>
      </c>
      <c r="B971" s="5">
        <v>45764</v>
      </c>
      <c r="C971" t="s">
        <v>525</v>
      </c>
      <c r="D971" t="s">
        <v>526</v>
      </c>
      <c r="E971" t="s">
        <v>527</v>
      </c>
      <c r="F971">
        <v>7</v>
      </c>
      <c r="G971" t="s">
        <v>717</v>
      </c>
      <c r="H971" t="s">
        <v>718</v>
      </c>
      <c r="I971" t="s">
        <v>16</v>
      </c>
      <c r="J971" t="s">
        <v>52</v>
      </c>
      <c r="K971" t="s">
        <v>35</v>
      </c>
      <c r="L971" s="6">
        <v>0</v>
      </c>
      <c r="M971" s="6">
        <v>2500</v>
      </c>
      <c r="N971" s="6">
        <v>2500</v>
      </c>
      <c r="O971" s="6">
        <v>11675.24</v>
      </c>
      <c r="P971" s="7">
        <v>0</v>
      </c>
      <c r="Q971" s="6">
        <v>0</v>
      </c>
    </row>
    <row r="972" spans="1:17">
      <c r="A972">
        <v>971</v>
      </c>
      <c r="B972" s="5">
        <v>45764</v>
      </c>
      <c r="C972" t="s">
        <v>525</v>
      </c>
      <c r="D972" t="s">
        <v>526</v>
      </c>
      <c r="E972" t="s">
        <v>527</v>
      </c>
      <c r="F972">
        <v>7</v>
      </c>
      <c r="G972" t="s">
        <v>191</v>
      </c>
      <c r="H972" t="s">
        <v>102</v>
      </c>
      <c r="I972" t="s">
        <v>16</v>
      </c>
      <c r="J972" t="s">
        <v>52</v>
      </c>
      <c r="K972" t="s">
        <v>35</v>
      </c>
      <c r="L972" s="6">
        <v>0</v>
      </c>
      <c r="M972" s="6">
        <v>380</v>
      </c>
      <c r="N972" s="6">
        <v>380</v>
      </c>
      <c r="O972" s="6">
        <v>12055.24</v>
      </c>
      <c r="P972" s="7">
        <v>0</v>
      </c>
      <c r="Q972" s="6">
        <v>0</v>
      </c>
    </row>
    <row r="973" spans="1:17">
      <c r="A973">
        <v>972</v>
      </c>
      <c r="B973" s="5">
        <v>45764</v>
      </c>
      <c r="C973" t="s">
        <v>525</v>
      </c>
      <c r="D973" t="s">
        <v>526</v>
      </c>
      <c r="E973" t="s">
        <v>527</v>
      </c>
      <c r="F973">
        <v>7</v>
      </c>
      <c r="G973" t="s">
        <v>719</v>
      </c>
      <c r="H973" t="s">
        <v>720</v>
      </c>
      <c r="I973" t="s">
        <v>16</v>
      </c>
      <c r="J973" t="s">
        <v>52</v>
      </c>
      <c r="K973" t="s">
        <v>35</v>
      </c>
      <c r="L973" s="6">
        <v>0</v>
      </c>
      <c r="M973" s="6">
        <v>255</v>
      </c>
      <c r="N973" s="6">
        <v>255</v>
      </c>
      <c r="O973" s="6">
        <v>12310.24</v>
      </c>
      <c r="P973" s="7">
        <v>0</v>
      </c>
      <c r="Q973" s="6">
        <v>0</v>
      </c>
    </row>
    <row r="974" spans="1:17">
      <c r="A974">
        <v>973</v>
      </c>
      <c r="B974" s="5">
        <v>45764</v>
      </c>
      <c r="C974" t="s">
        <v>525</v>
      </c>
      <c r="D974" t="s">
        <v>526</v>
      </c>
      <c r="E974" t="s">
        <v>527</v>
      </c>
      <c r="F974">
        <v>7</v>
      </c>
      <c r="G974" t="s">
        <v>212</v>
      </c>
      <c r="H974" t="s">
        <v>213</v>
      </c>
      <c r="I974" t="s">
        <v>16</v>
      </c>
      <c r="J974" t="s">
        <v>52</v>
      </c>
      <c r="K974" t="s">
        <v>35</v>
      </c>
      <c r="L974" s="6">
        <v>0</v>
      </c>
      <c r="M974" s="6">
        <v>500</v>
      </c>
      <c r="N974" s="6">
        <v>500</v>
      </c>
      <c r="O974" s="6">
        <v>12810.24</v>
      </c>
      <c r="P974" s="7">
        <v>0</v>
      </c>
      <c r="Q974" s="6">
        <v>0</v>
      </c>
    </row>
    <row r="975" spans="1:17">
      <c r="A975">
        <v>974</v>
      </c>
      <c r="B975" s="5">
        <v>45764</v>
      </c>
      <c r="C975" t="s">
        <v>525</v>
      </c>
      <c r="D975" t="s">
        <v>526</v>
      </c>
      <c r="E975" t="s">
        <v>527</v>
      </c>
      <c r="F975">
        <v>7</v>
      </c>
      <c r="G975" t="s">
        <v>721</v>
      </c>
      <c r="H975" t="s">
        <v>66</v>
      </c>
      <c r="I975" t="s">
        <v>22</v>
      </c>
      <c r="J975" t="s">
        <v>67</v>
      </c>
      <c r="K975" t="s">
        <v>34</v>
      </c>
      <c r="L975" s="6">
        <v>3800</v>
      </c>
      <c r="M975" s="6">
        <v>0</v>
      </c>
      <c r="N975" s="6">
        <v>-3800</v>
      </c>
      <c r="O975" s="6">
        <v>9010.24</v>
      </c>
      <c r="P975" s="7">
        <v>0</v>
      </c>
      <c r="Q975" s="6">
        <v>0</v>
      </c>
    </row>
    <row r="976" spans="1:17">
      <c r="A976">
        <v>975</v>
      </c>
      <c r="B976" s="5">
        <v>45764</v>
      </c>
      <c r="C976" t="s">
        <v>525</v>
      </c>
      <c r="D976" t="s">
        <v>526</v>
      </c>
      <c r="E976" t="s">
        <v>527</v>
      </c>
      <c r="F976">
        <v>7</v>
      </c>
      <c r="G976" t="s">
        <v>722</v>
      </c>
      <c r="H976" t="s">
        <v>66</v>
      </c>
      <c r="I976" t="s">
        <v>22</v>
      </c>
      <c r="J976" t="s">
        <v>67</v>
      </c>
      <c r="K976" t="s">
        <v>34</v>
      </c>
      <c r="L976" s="6">
        <v>255</v>
      </c>
      <c r="M976" s="6">
        <v>0</v>
      </c>
      <c r="N976" s="6">
        <v>-255</v>
      </c>
      <c r="O976" s="6">
        <v>8755.24</v>
      </c>
      <c r="P976" s="7">
        <v>0</v>
      </c>
      <c r="Q976" s="6">
        <v>0</v>
      </c>
    </row>
    <row r="977" spans="1:17">
      <c r="A977">
        <v>976</v>
      </c>
      <c r="B977" s="5">
        <v>45764</v>
      </c>
      <c r="C977" t="s">
        <v>525</v>
      </c>
      <c r="D977" t="s">
        <v>526</v>
      </c>
      <c r="E977" t="s">
        <v>527</v>
      </c>
      <c r="F977">
        <v>7</v>
      </c>
      <c r="G977" t="s">
        <v>723</v>
      </c>
      <c r="H977" t="s">
        <v>66</v>
      </c>
      <c r="I977" t="s">
        <v>22</v>
      </c>
      <c r="J977" t="s">
        <v>67</v>
      </c>
      <c r="K977" t="s">
        <v>34</v>
      </c>
      <c r="L977" s="6">
        <v>300</v>
      </c>
      <c r="M977" s="6">
        <v>0</v>
      </c>
      <c r="N977" s="6">
        <v>-300</v>
      </c>
      <c r="O977" s="6">
        <v>8455.24</v>
      </c>
      <c r="P977" s="7">
        <v>0</v>
      </c>
      <c r="Q977" s="6">
        <v>0</v>
      </c>
    </row>
    <row r="978" spans="1:17">
      <c r="A978">
        <v>977</v>
      </c>
      <c r="B978" s="5">
        <v>45764</v>
      </c>
      <c r="C978" t="s">
        <v>525</v>
      </c>
      <c r="D978" t="s">
        <v>526</v>
      </c>
      <c r="E978" t="s">
        <v>527</v>
      </c>
      <c r="F978">
        <v>7</v>
      </c>
      <c r="G978" t="s">
        <v>724</v>
      </c>
      <c r="H978" t="s">
        <v>66</v>
      </c>
      <c r="I978" t="s">
        <v>22</v>
      </c>
      <c r="J978" t="s">
        <v>67</v>
      </c>
      <c r="K978" t="s">
        <v>34</v>
      </c>
      <c r="L978" s="6">
        <v>250</v>
      </c>
      <c r="M978" s="6">
        <v>0</v>
      </c>
      <c r="N978" s="6">
        <v>-250</v>
      </c>
      <c r="O978" s="6">
        <v>8205.24</v>
      </c>
      <c r="P978" s="7">
        <v>0</v>
      </c>
      <c r="Q978" s="6">
        <v>0</v>
      </c>
    </row>
    <row r="979" spans="1:17">
      <c r="A979">
        <v>978</v>
      </c>
      <c r="B979" s="5">
        <v>45764</v>
      </c>
      <c r="C979" t="s">
        <v>525</v>
      </c>
      <c r="D979" t="s">
        <v>526</v>
      </c>
      <c r="E979" t="s">
        <v>527</v>
      </c>
      <c r="F979">
        <v>7</v>
      </c>
      <c r="G979" t="s">
        <v>725</v>
      </c>
      <c r="H979" t="s">
        <v>66</v>
      </c>
      <c r="I979" t="s">
        <v>22</v>
      </c>
      <c r="J979" t="s">
        <v>67</v>
      </c>
      <c r="K979" t="s">
        <v>34</v>
      </c>
      <c r="L979" s="6">
        <v>559</v>
      </c>
      <c r="M979" s="6">
        <v>0</v>
      </c>
      <c r="N979" s="6">
        <v>-559</v>
      </c>
      <c r="O979" s="6">
        <v>7646.24</v>
      </c>
      <c r="P979" s="7">
        <v>0</v>
      </c>
      <c r="Q979" s="6">
        <v>0</v>
      </c>
    </row>
    <row r="980" spans="1:17">
      <c r="A980">
        <v>979</v>
      </c>
      <c r="B980" s="5">
        <v>45764</v>
      </c>
      <c r="C980" t="s">
        <v>525</v>
      </c>
      <c r="D980" t="s">
        <v>526</v>
      </c>
      <c r="E980" t="s">
        <v>527</v>
      </c>
      <c r="F980">
        <v>7</v>
      </c>
      <c r="G980" t="s">
        <v>278</v>
      </c>
      <c r="H980" t="s">
        <v>89</v>
      </c>
      <c r="I980" t="s">
        <v>16</v>
      </c>
      <c r="J980" t="s">
        <v>52</v>
      </c>
      <c r="K980" t="s">
        <v>35</v>
      </c>
      <c r="L980" s="6">
        <v>0</v>
      </c>
      <c r="M980" s="6">
        <v>260</v>
      </c>
      <c r="N980" s="6">
        <v>260</v>
      </c>
      <c r="O980" s="6">
        <v>7906.24</v>
      </c>
      <c r="P980" s="7">
        <v>0</v>
      </c>
      <c r="Q980" s="6">
        <v>0</v>
      </c>
    </row>
    <row r="981" spans="1:17">
      <c r="A981">
        <v>980</v>
      </c>
      <c r="B981" s="5">
        <v>45764</v>
      </c>
      <c r="C981" t="s">
        <v>525</v>
      </c>
      <c r="D981" t="s">
        <v>526</v>
      </c>
      <c r="E981" t="s">
        <v>527</v>
      </c>
      <c r="F981">
        <v>7</v>
      </c>
      <c r="G981" t="s">
        <v>278</v>
      </c>
      <c r="H981" t="s">
        <v>89</v>
      </c>
      <c r="I981" t="s">
        <v>16</v>
      </c>
      <c r="J981" t="s">
        <v>52</v>
      </c>
      <c r="K981" t="s">
        <v>35</v>
      </c>
      <c r="L981" s="6">
        <v>0</v>
      </c>
      <c r="M981" s="6">
        <v>200</v>
      </c>
      <c r="N981" s="6">
        <v>200</v>
      </c>
      <c r="O981" s="6">
        <v>8106.24</v>
      </c>
      <c r="P981" s="7">
        <v>0</v>
      </c>
      <c r="Q981" s="6">
        <v>0</v>
      </c>
    </row>
    <row r="982" spans="1:17">
      <c r="A982">
        <v>981</v>
      </c>
      <c r="B982" s="5">
        <v>45764</v>
      </c>
      <c r="C982" t="s">
        <v>525</v>
      </c>
      <c r="D982" t="s">
        <v>526</v>
      </c>
      <c r="E982" t="s">
        <v>527</v>
      </c>
      <c r="F982">
        <v>7</v>
      </c>
      <c r="G982" t="s">
        <v>253</v>
      </c>
      <c r="H982" t="s">
        <v>72</v>
      </c>
      <c r="I982" t="s">
        <v>16</v>
      </c>
      <c r="J982" t="s">
        <v>52</v>
      </c>
      <c r="K982" t="s">
        <v>35</v>
      </c>
      <c r="L982" s="6">
        <v>0</v>
      </c>
      <c r="M982" s="6">
        <v>3000</v>
      </c>
      <c r="N982" s="6">
        <v>3000</v>
      </c>
      <c r="O982" s="6">
        <v>11106.24</v>
      </c>
      <c r="P982" s="7">
        <v>0</v>
      </c>
      <c r="Q982" s="6">
        <v>0</v>
      </c>
    </row>
    <row r="983" spans="1:17">
      <c r="A983">
        <v>982</v>
      </c>
      <c r="B983" s="5">
        <v>45764</v>
      </c>
      <c r="C983" t="s">
        <v>525</v>
      </c>
      <c r="D983" t="s">
        <v>526</v>
      </c>
      <c r="E983" t="s">
        <v>527</v>
      </c>
      <c r="F983">
        <v>7</v>
      </c>
      <c r="G983" t="s">
        <v>659</v>
      </c>
      <c r="H983" t="s">
        <v>660</v>
      </c>
      <c r="I983" t="s">
        <v>16</v>
      </c>
      <c r="J983" t="s">
        <v>52</v>
      </c>
      <c r="K983" t="s">
        <v>35</v>
      </c>
      <c r="L983" s="6">
        <v>0</v>
      </c>
      <c r="M983" s="6">
        <v>100</v>
      </c>
      <c r="N983" s="6">
        <v>100</v>
      </c>
      <c r="O983" s="6">
        <v>11206.24</v>
      </c>
      <c r="P983" s="7">
        <v>0</v>
      </c>
      <c r="Q983" s="6">
        <v>0</v>
      </c>
    </row>
    <row r="984" spans="1:17">
      <c r="A984">
        <v>983</v>
      </c>
      <c r="B984" s="5">
        <v>45766</v>
      </c>
      <c r="C984" t="s">
        <v>525</v>
      </c>
      <c r="D984" t="s">
        <v>526</v>
      </c>
      <c r="E984" t="s">
        <v>527</v>
      </c>
      <c r="F984">
        <v>7</v>
      </c>
      <c r="G984" t="s">
        <v>726</v>
      </c>
      <c r="H984" t="s">
        <v>66</v>
      </c>
      <c r="I984" t="s">
        <v>22</v>
      </c>
      <c r="J984" t="s">
        <v>67</v>
      </c>
      <c r="K984" t="s">
        <v>34</v>
      </c>
      <c r="L984" s="6">
        <v>4100</v>
      </c>
      <c r="M984" s="6">
        <v>0</v>
      </c>
      <c r="N984" s="6">
        <v>-4100</v>
      </c>
      <c r="O984" s="6">
        <v>7106.24</v>
      </c>
      <c r="P984" s="7">
        <v>0</v>
      </c>
      <c r="Q984" s="6">
        <v>0</v>
      </c>
    </row>
    <row r="985" spans="1:17">
      <c r="A985">
        <v>984</v>
      </c>
      <c r="B985" s="5">
        <v>45769</v>
      </c>
      <c r="C985" t="s">
        <v>525</v>
      </c>
      <c r="D985" t="s">
        <v>526</v>
      </c>
      <c r="E985" t="s">
        <v>527</v>
      </c>
      <c r="F985">
        <v>7</v>
      </c>
      <c r="G985" t="s">
        <v>415</v>
      </c>
      <c r="H985" t="s">
        <v>416</v>
      </c>
      <c r="I985" t="s">
        <v>16</v>
      </c>
      <c r="J985" t="s">
        <v>52</v>
      </c>
      <c r="K985" t="s">
        <v>35</v>
      </c>
      <c r="L985" s="6">
        <v>0</v>
      </c>
      <c r="M985" s="6">
        <v>307</v>
      </c>
      <c r="N985" s="6">
        <v>307</v>
      </c>
      <c r="O985" s="6">
        <v>7413.24</v>
      </c>
      <c r="P985" s="7">
        <v>0</v>
      </c>
      <c r="Q985" s="6">
        <v>0</v>
      </c>
    </row>
    <row r="986" spans="1:17">
      <c r="A986">
        <v>985</v>
      </c>
      <c r="B986" s="5">
        <v>45769</v>
      </c>
      <c r="C986" t="s">
        <v>525</v>
      </c>
      <c r="D986" t="s">
        <v>526</v>
      </c>
      <c r="E986" t="s">
        <v>527</v>
      </c>
      <c r="F986">
        <v>7</v>
      </c>
      <c r="G986" t="s">
        <v>264</v>
      </c>
      <c r="H986" t="s">
        <v>265</v>
      </c>
      <c r="I986" t="s">
        <v>16</v>
      </c>
      <c r="J986" t="s">
        <v>52</v>
      </c>
      <c r="K986" t="s">
        <v>35</v>
      </c>
      <c r="L986" s="6">
        <v>0</v>
      </c>
      <c r="M986" s="6">
        <v>400</v>
      </c>
      <c r="N986" s="6">
        <v>400</v>
      </c>
      <c r="O986" s="6">
        <v>7813.24</v>
      </c>
      <c r="P986" s="7">
        <v>0</v>
      </c>
      <c r="Q986" s="6">
        <v>0</v>
      </c>
    </row>
    <row r="987" spans="1:17">
      <c r="A987">
        <v>986</v>
      </c>
      <c r="B987" s="5">
        <v>45769</v>
      </c>
      <c r="C987" t="s">
        <v>525</v>
      </c>
      <c r="D987" t="s">
        <v>526</v>
      </c>
      <c r="E987" t="s">
        <v>527</v>
      </c>
      <c r="F987">
        <v>7</v>
      </c>
      <c r="G987" t="s">
        <v>506</v>
      </c>
      <c r="H987" t="s">
        <v>507</v>
      </c>
      <c r="I987" t="s">
        <v>16</v>
      </c>
      <c r="J987" t="s">
        <v>52</v>
      </c>
      <c r="K987" t="s">
        <v>35</v>
      </c>
      <c r="L987" s="6">
        <v>0</v>
      </c>
      <c r="M987" s="6">
        <v>250</v>
      </c>
      <c r="N987" s="6">
        <v>250</v>
      </c>
      <c r="O987" s="6">
        <v>8063.24</v>
      </c>
      <c r="P987" s="7">
        <v>0</v>
      </c>
      <c r="Q987" s="6">
        <v>0</v>
      </c>
    </row>
    <row r="988" spans="1:17">
      <c r="A988">
        <v>987</v>
      </c>
      <c r="B988" s="5">
        <v>45769</v>
      </c>
      <c r="C988" t="s">
        <v>525</v>
      </c>
      <c r="D988" t="s">
        <v>526</v>
      </c>
      <c r="E988" t="s">
        <v>527</v>
      </c>
      <c r="F988">
        <v>7</v>
      </c>
      <c r="G988" t="s">
        <v>190</v>
      </c>
      <c r="H988" t="s">
        <v>112</v>
      </c>
      <c r="I988" t="s">
        <v>16</v>
      </c>
      <c r="J988" t="s">
        <v>52</v>
      </c>
      <c r="K988" t="s">
        <v>35</v>
      </c>
      <c r="L988" s="6">
        <v>0</v>
      </c>
      <c r="M988" s="6">
        <v>21000</v>
      </c>
      <c r="N988" s="6">
        <v>21000</v>
      </c>
      <c r="O988" s="6">
        <v>29063.24</v>
      </c>
      <c r="P988" s="7">
        <v>0</v>
      </c>
      <c r="Q988" s="6">
        <v>0</v>
      </c>
    </row>
    <row r="989" spans="1:17">
      <c r="A989">
        <v>988</v>
      </c>
      <c r="B989" s="5">
        <v>45769</v>
      </c>
      <c r="C989" t="s">
        <v>525</v>
      </c>
      <c r="D989" t="s">
        <v>526</v>
      </c>
      <c r="E989" t="s">
        <v>527</v>
      </c>
      <c r="F989">
        <v>8</v>
      </c>
      <c r="G989" t="s">
        <v>727</v>
      </c>
      <c r="H989" t="s">
        <v>728</v>
      </c>
      <c r="I989" t="s">
        <v>16</v>
      </c>
      <c r="J989" t="s">
        <v>52</v>
      </c>
      <c r="K989" t="s">
        <v>35</v>
      </c>
      <c r="L989" s="6">
        <v>0</v>
      </c>
      <c r="M989" s="6">
        <v>100</v>
      </c>
      <c r="N989" s="6">
        <v>100</v>
      </c>
      <c r="O989" s="6">
        <v>29163.24</v>
      </c>
      <c r="P989" s="7">
        <v>0</v>
      </c>
      <c r="Q989" s="6">
        <v>0</v>
      </c>
    </row>
    <row r="990" spans="1:17">
      <c r="A990">
        <v>989</v>
      </c>
      <c r="B990" s="5">
        <v>45769</v>
      </c>
      <c r="C990" t="s">
        <v>525</v>
      </c>
      <c r="D990" t="s">
        <v>526</v>
      </c>
      <c r="E990" t="s">
        <v>527</v>
      </c>
      <c r="F990">
        <v>8</v>
      </c>
      <c r="G990" t="s">
        <v>212</v>
      </c>
      <c r="H990" t="s">
        <v>213</v>
      </c>
      <c r="I990" t="s">
        <v>16</v>
      </c>
      <c r="J990" t="s">
        <v>52</v>
      </c>
      <c r="K990" t="s">
        <v>35</v>
      </c>
      <c r="L990" s="6">
        <v>0</v>
      </c>
      <c r="M990" s="6">
        <v>100</v>
      </c>
      <c r="N990" s="6">
        <v>100</v>
      </c>
      <c r="O990" s="6">
        <v>29263.24</v>
      </c>
      <c r="P990" s="7">
        <v>0</v>
      </c>
      <c r="Q990" s="6">
        <v>0</v>
      </c>
    </row>
    <row r="991" spans="1:17">
      <c r="A991">
        <v>990</v>
      </c>
      <c r="B991" s="5">
        <v>45769</v>
      </c>
      <c r="C991" t="s">
        <v>525</v>
      </c>
      <c r="D991" t="s">
        <v>526</v>
      </c>
      <c r="E991" t="s">
        <v>527</v>
      </c>
      <c r="F991">
        <v>8</v>
      </c>
      <c r="G991" t="s">
        <v>435</v>
      </c>
      <c r="H991" t="s">
        <v>436</v>
      </c>
      <c r="I991" t="s">
        <v>16</v>
      </c>
      <c r="J991" t="s">
        <v>52</v>
      </c>
      <c r="K991" t="s">
        <v>35</v>
      </c>
      <c r="L991" s="6">
        <v>0</v>
      </c>
      <c r="M991" s="6">
        <v>200</v>
      </c>
      <c r="N991" s="6">
        <v>200</v>
      </c>
      <c r="O991" s="6">
        <v>29463.24</v>
      </c>
      <c r="P991" s="7">
        <v>0</v>
      </c>
      <c r="Q991" s="6">
        <v>0</v>
      </c>
    </row>
    <row r="992" spans="1:17">
      <c r="A992">
        <v>991</v>
      </c>
      <c r="B992" s="5">
        <v>45769</v>
      </c>
      <c r="C992" t="s">
        <v>525</v>
      </c>
      <c r="D992" t="s">
        <v>526</v>
      </c>
      <c r="E992" t="s">
        <v>527</v>
      </c>
      <c r="F992">
        <v>8</v>
      </c>
      <c r="G992" t="s">
        <v>615</v>
      </c>
      <c r="H992" t="s">
        <v>616</v>
      </c>
      <c r="I992" t="s">
        <v>16</v>
      </c>
      <c r="J992" t="s">
        <v>52</v>
      </c>
      <c r="K992" t="s">
        <v>35</v>
      </c>
      <c r="L992" s="6">
        <v>0</v>
      </c>
      <c r="M992" s="6">
        <v>200</v>
      </c>
      <c r="N992" s="6">
        <v>200</v>
      </c>
      <c r="O992" s="6">
        <v>29663.24</v>
      </c>
      <c r="P992" s="7">
        <v>0</v>
      </c>
      <c r="Q992" s="6">
        <v>0</v>
      </c>
    </row>
    <row r="993" spans="1:17">
      <c r="A993">
        <v>992</v>
      </c>
      <c r="B993" s="5">
        <v>45769</v>
      </c>
      <c r="C993" t="s">
        <v>525</v>
      </c>
      <c r="D993" t="s">
        <v>526</v>
      </c>
      <c r="E993" t="s">
        <v>527</v>
      </c>
      <c r="F993">
        <v>8</v>
      </c>
      <c r="G993" t="s">
        <v>727</v>
      </c>
      <c r="H993" t="s">
        <v>728</v>
      </c>
      <c r="I993" t="s">
        <v>16</v>
      </c>
      <c r="J993" t="s">
        <v>52</v>
      </c>
      <c r="K993" t="s">
        <v>35</v>
      </c>
      <c r="L993" s="6">
        <v>0</v>
      </c>
      <c r="M993" s="6">
        <v>100</v>
      </c>
      <c r="N993" s="6">
        <v>100</v>
      </c>
      <c r="O993" s="6">
        <v>29763.24</v>
      </c>
      <c r="P993" s="7">
        <v>0</v>
      </c>
      <c r="Q993" s="6">
        <v>0</v>
      </c>
    </row>
    <row r="994" spans="1:17">
      <c r="A994">
        <v>993</v>
      </c>
      <c r="B994" s="5">
        <v>45769</v>
      </c>
      <c r="C994" t="s">
        <v>525</v>
      </c>
      <c r="D994" t="s">
        <v>526</v>
      </c>
      <c r="E994" t="s">
        <v>527</v>
      </c>
      <c r="F994">
        <v>8</v>
      </c>
      <c r="G994" t="s">
        <v>212</v>
      </c>
      <c r="H994" t="s">
        <v>213</v>
      </c>
      <c r="I994" t="s">
        <v>16</v>
      </c>
      <c r="J994" t="s">
        <v>52</v>
      </c>
      <c r="K994" t="s">
        <v>35</v>
      </c>
      <c r="L994" s="6">
        <v>0</v>
      </c>
      <c r="M994" s="6">
        <v>150</v>
      </c>
      <c r="N994" s="6">
        <v>150</v>
      </c>
      <c r="O994" s="6">
        <v>29913.24</v>
      </c>
      <c r="P994" s="7">
        <v>0</v>
      </c>
      <c r="Q994" s="6">
        <v>0</v>
      </c>
    </row>
    <row r="995" spans="1:17">
      <c r="A995">
        <v>994</v>
      </c>
      <c r="B995" s="5">
        <v>45769</v>
      </c>
      <c r="C995" t="s">
        <v>525</v>
      </c>
      <c r="D995" t="s">
        <v>526</v>
      </c>
      <c r="E995" t="s">
        <v>527</v>
      </c>
      <c r="F995">
        <v>8</v>
      </c>
      <c r="G995" t="s">
        <v>212</v>
      </c>
      <c r="H995" t="s">
        <v>213</v>
      </c>
      <c r="I995" t="s">
        <v>16</v>
      </c>
      <c r="J995" t="s">
        <v>52</v>
      </c>
      <c r="K995" t="s">
        <v>35</v>
      </c>
      <c r="L995" s="6">
        <v>0</v>
      </c>
      <c r="M995" s="6">
        <v>150</v>
      </c>
      <c r="N995" s="6">
        <v>150</v>
      </c>
      <c r="O995" s="6">
        <v>30063.24</v>
      </c>
      <c r="P995" s="7">
        <v>0</v>
      </c>
      <c r="Q995" s="6">
        <v>0</v>
      </c>
    </row>
    <row r="996" spans="1:17">
      <c r="A996">
        <v>995</v>
      </c>
      <c r="B996" s="5">
        <v>45769</v>
      </c>
      <c r="C996" t="s">
        <v>525</v>
      </c>
      <c r="D996" t="s">
        <v>526</v>
      </c>
      <c r="E996" t="s">
        <v>527</v>
      </c>
      <c r="F996">
        <v>8</v>
      </c>
      <c r="G996" t="s">
        <v>659</v>
      </c>
      <c r="H996" t="s">
        <v>660</v>
      </c>
      <c r="I996" t="s">
        <v>16</v>
      </c>
      <c r="J996" t="s">
        <v>52</v>
      </c>
      <c r="K996" t="s">
        <v>35</v>
      </c>
      <c r="L996" s="6">
        <v>0</v>
      </c>
      <c r="M996" s="6">
        <v>200</v>
      </c>
      <c r="N996" s="6">
        <v>200</v>
      </c>
      <c r="O996" s="6">
        <v>30263.24</v>
      </c>
      <c r="P996" s="7">
        <v>0</v>
      </c>
      <c r="Q996" s="6">
        <v>0</v>
      </c>
    </row>
    <row r="997" spans="1:17">
      <c r="A997">
        <v>996</v>
      </c>
      <c r="B997" s="5">
        <v>45769</v>
      </c>
      <c r="C997" t="s">
        <v>525</v>
      </c>
      <c r="D997" t="s">
        <v>526</v>
      </c>
      <c r="E997" t="s">
        <v>527</v>
      </c>
      <c r="F997">
        <v>8</v>
      </c>
      <c r="G997" t="s">
        <v>729</v>
      </c>
      <c r="H997" t="s">
        <v>66</v>
      </c>
      <c r="I997" t="s">
        <v>22</v>
      </c>
      <c r="J997" t="s">
        <v>67</v>
      </c>
      <c r="K997" t="s">
        <v>34</v>
      </c>
      <c r="L997" s="6">
        <v>5043</v>
      </c>
      <c r="M997" s="6">
        <v>0</v>
      </c>
      <c r="N997" s="6">
        <v>-5043</v>
      </c>
      <c r="O997" s="6">
        <v>25220.240000000002</v>
      </c>
      <c r="P997" s="7">
        <v>0</v>
      </c>
      <c r="Q997" s="6">
        <v>0</v>
      </c>
    </row>
    <row r="998" spans="1:17">
      <c r="A998">
        <v>997</v>
      </c>
      <c r="B998" s="5">
        <v>45769</v>
      </c>
      <c r="C998" t="s">
        <v>525</v>
      </c>
      <c r="D998" t="s">
        <v>526</v>
      </c>
      <c r="E998" t="s">
        <v>527</v>
      </c>
      <c r="F998">
        <v>8</v>
      </c>
      <c r="G998" t="s">
        <v>730</v>
      </c>
      <c r="H998" t="s">
        <v>66</v>
      </c>
      <c r="I998" t="s">
        <v>22</v>
      </c>
      <c r="J998" t="s">
        <v>67</v>
      </c>
      <c r="K998" t="s">
        <v>34</v>
      </c>
      <c r="L998" s="6">
        <v>3685</v>
      </c>
      <c r="M998" s="6">
        <v>0</v>
      </c>
      <c r="N998" s="6">
        <v>-3685</v>
      </c>
      <c r="O998" s="6">
        <v>21535.24</v>
      </c>
      <c r="P998" s="7">
        <v>0</v>
      </c>
      <c r="Q998" s="6">
        <v>0</v>
      </c>
    </row>
    <row r="999" spans="1:17">
      <c r="A999">
        <v>998</v>
      </c>
      <c r="B999" s="5">
        <v>45769</v>
      </c>
      <c r="C999" t="s">
        <v>525</v>
      </c>
      <c r="D999" t="s">
        <v>526</v>
      </c>
      <c r="E999" t="s">
        <v>527</v>
      </c>
      <c r="F999">
        <v>8</v>
      </c>
      <c r="G999" t="s">
        <v>731</v>
      </c>
      <c r="H999" t="s">
        <v>66</v>
      </c>
      <c r="I999" t="s">
        <v>22</v>
      </c>
      <c r="J999" t="s">
        <v>67</v>
      </c>
      <c r="K999" t="s">
        <v>34</v>
      </c>
      <c r="L999" s="6">
        <v>2500</v>
      </c>
      <c r="M999" s="6">
        <v>0</v>
      </c>
      <c r="N999" s="6">
        <v>-2500</v>
      </c>
      <c r="O999" s="6">
        <v>19035.240000000002</v>
      </c>
      <c r="P999" s="7">
        <v>0</v>
      </c>
      <c r="Q999" s="6">
        <v>0</v>
      </c>
    </row>
    <row r="1000" spans="1:17">
      <c r="A1000">
        <v>999</v>
      </c>
      <c r="B1000" s="5">
        <v>45769</v>
      </c>
      <c r="C1000" t="s">
        <v>525</v>
      </c>
      <c r="D1000" t="s">
        <v>526</v>
      </c>
      <c r="E1000" t="s">
        <v>527</v>
      </c>
      <c r="F1000">
        <v>8</v>
      </c>
      <c r="G1000" t="s">
        <v>732</v>
      </c>
      <c r="H1000" t="s">
        <v>66</v>
      </c>
      <c r="I1000" t="s">
        <v>22</v>
      </c>
      <c r="J1000" t="s">
        <v>67</v>
      </c>
      <c r="K1000" t="s">
        <v>34</v>
      </c>
      <c r="L1000" s="6">
        <v>32.78</v>
      </c>
      <c r="M1000" s="6">
        <v>0</v>
      </c>
      <c r="N1000" s="6">
        <v>-32.78</v>
      </c>
      <c r="O1000" s="6">
        <v>19002.46</v>
      </c>
      <c r="P1000" s="7">
        <v>0</v>
      </c>
      <c r="Q1000" s="6">
        <v>0</v>
      </c>
    </row>
    <row r="1001" spans="1:17">
      <c r="A1001">
        <v>1000</v>
      </c>
      <c r="B1001" s="5">
        <v>45769</v>
      </c>
      <c r="C1001" t="s">
        <v>525</v>
      </c>
      <c r="D1001" t="s">
        <v>526</v>
      </c>
      <c r="E1001" t="s">
        <v>527</v>
      </c>
      <c r="F1001">
        <v>8</v>
      </c>
      <c r="G1001" t="s">
        <v>733</v>
      </c>
      <c r="H1001" t="s">
        <v>66</v>
      </c>
      <c r="I1001" t="s">
        <v>22</v>
      </c>
      <c r="J1001" t="s">
        <v>67</v>
      </c>
      <c r="K1001" t="s">
        <v>34</v>
      </c>
      <c r="L1001" s="6">
        <v>1000</v>
      </c>
      <c r="M1001" s="6">
        <v>0</v>
      </c>
      <c r="N1001" s="6">
        <v>-1000</v>
      </c>
      <c r="O1001" s="6">
        <v>18002.46</v>
      </c>
      <c r="P1001" s="7">
        <v>0</v>
      </c>
      <c r="Q1001" s="6">
        <v>0</v>
      </c>
    </row>
    <row r="1002" spans="1:17">
      <c r="A1002">
        <v>1001</v>
      </c>
      <c r="B1002" s="5">
        <v>45769</v>
      </c>
      <c r="C1002" t="s">
        <v>525</v>
      </c>
      <c r="D1002" t="s">
        <v>526</v>
      </c>
      <c r="E1002" t="s">
        <v>527</v>
      </c>
      <c r="F1002">
        <v>8</v>
      </c>
      <c r="G1002" t="s">
        <v>734</v>
      </c>
      <c r="H1002" t="s">
        <v>66</v>
      </c>
      <c r="I1002" t="s">
        <v>22</v>
      </c>
      <c r="J1002" t="s">
        <v>67</v>
      </c>
      <c r="K1002" t="s">
        <v>34</v>
      </c>
      <c r="L1002" s="6">
        <v>146.96</v>
      </c>
      <c r="M1002" s="6">
        <v>0</v>
      </c>
      <c r="N1002" s="6">
        <v>-146.96</v>
      </c>
      <c r="O1002" s="6">
        <v>17855.5</v>
      </c>
      <c r="P1002" s="7">
        <v>0</v>
      </c>
      <c r="Q1002" s="6">
        <v>0</v>
      </c>
    </row>
    <row r="1003" spans="1:17">
      <c r="A1003">
        <v>1002</v>
      </c>
      <c r="B1003" s="5">
        <v>45769</v>
      </c>
      <c r="C1003" t="s">
        <v>525</v>
      </c>
      <c r="D1003" t="s">
        <v>526</v>
      </c>
      <c r="E1003" t="s">
        <v>527</v>
      </c>
      <c r="F1003">
        <v>8</v>
      </c>
      <c r="G1003" t="s">
        <v>735</v>
      </c>
      <c r="H1003" t="s">
        <v>66</v>
      </c>
      <c r="I1003" t="s">
        <v>22</v>
      </c>
      <c r="J1003" t="s">
        <v>67</v>
      </c>
      <c r="K1003" t="s">
        <v>34</v>
      </c>
      <c r="L1003" s="6">
        <v>1850</v>
      </c>
      <c r="M1003" s="6">
        <v>0</v>
      </c>
      <c r="N1003" s="6">
        <v>-1850</v>
      </c>
      <c r="O1003" s="6">
        <v>16005.5</v>
      </c>
      <c r="P1003" s="7">
        <v>0</v>
      </c>
      <c r="Q1003" s="6">
        <v>0</v>
      </c>
    </row>
    <row r="1004" spans="1:17">
      <c r="A1004">
        <v>1003</v>
      </c>
      <c r="B1004" s="5">
        <v>45769</v>
      </c>
      <c r="C1004" t="s">
        <v>525</v>
      </c>
      <c r="D1004" t="s">
        <v>526</v>
      </c>
      <c r="E1004" t="s">
        <v>527</v>
      </c>
      <c r="F1004">
        <v>8</v>
      </c>
      <c r="G1004" t="s">
        <v>736</v>
      </c>
      <c r="H1004" t="s">
        <v>66</v>
      </c>
      <c r="I1004" t="s">
        <v>22</v>
      </c>
      <c r="J1004" t="s">
        <v>67</v>
      </c>
      <c r="K1004" t="s">
        <v>34</v>
      </c>
      <c r="L1004" s="6">
        <v>1448</v>
      </c>
      <c r="M1004" s="6">
        <v>0</v>
      </c>
      <c r="N1004" s="6">
        <v>-1448</v>
      </c>
      <c r="O1004" s="6">
        <v>14557.5</v>
      </c>
      <c r="P1004" s="7">
        <v>0</v>
      </c>
      <c r="Q1004" s="6">
        <v>0</v>
      </c>
    </row>
    <row r="1005" spans="1:17">
      <c r="A1005">
        <v>1004</v>
      </c>
      <c r="B1005" s="5">
        <v>45769</v>
      </c>
      <c r="C1005" t="s">
        <v>525</v>
      </c>
      <c r="D1005" t="s">
        <v>526</v>
      </c>
      <c r="E1005" t="s">
        <v>527</v>
      </c>
      <c r="F1005">
        <v>8</v>
      </c>
      <c r="G1005" t="s">
        <v>737</v>
      </c>
      <c r="H1005" t="s">
        <v>66</v>
      </c>
      <c r="I1005" t="s">
        <v>22</v>
      </c>
      <c r="J1005" t="s">
        <v>67</v>
      </c>
      <c r="K1005" t="s">
        <v>34</v>
      </c>
      <c r="L1005" s="6">
        <v>2500</v>
      </c>
      <c r="M1005" s="6">
        <v>0</v>
      </c>
      <c r="N1005" s="6">
        <v>-2500</v>
      </c>
      <c r="O1005" s="6">
        <v>12057.5</v>
      </c>
      <c r="P1005" s="7">
        <v>0</v>
      </c>
      <c r="Q1005" s="6">
        <v>0</v>
      </c>
    </row>
    <row r="1006" spans="1:17">
      <c r="A1006">
        <v>1005</v>
      </c>
      <c r="B1006" s="5">
        <v>45769</v>
      </c>
      <c r="C1006" t="s">
        <v>525</v>
      </c>
      <c r="D1006" t="s">
        <v>526</v>
      </c>
      <c r="E1006" t="s">
        <v>527</v>
      </c>
      <c r="F1006">
        <v>8</v>
      </c>
      <c r="G1006" t="s">
        <v>738</v>
      </c>
      <c r="H1006" t="s">
        <v>66</v>
      </c>
      <c r="I1006" t="s">
        <v>22</v>
      </c>
      <c r="J1006" t="s">
        <v>67</v>
      </c>
      <c r="K1006" t="s">
        <v>34</v>
      </c>
      <c r="L1006" s="6">
        <v>995</v>
      </c>
      <c r="M1006" s="6">
        <v>0</v>
      </c>
      <c r="N1006" s="6">
        <v>-995</v>
      </c>
      <c r="O1006" s="6">
        <v>11062.5</v>
      </c>
      <c r="P1006" s="7">
        <v>0</v>
      </c>
      <c r="Q1006" s="6">
        <v>0</v>
      </c>
    </row>
    <row r="1007" spans="1:17">
      <c r="A1007">
        <v>1006</v>
      </c>
      <c r="B1007" s="5">
        <v>45769</v>
      </c>
      <c r="C1007" t="s">
        <v>525</v>
      </c>
      <c r="D1007" t="s">
        <v>526</v>
      </c>
      <c r="E1007" t="s">
        <v>527</v>
      </c>
      <c r="F1007">
        <v>8</v>
      </c>
      <c r="G1007" t="s">
        <v>739</v>
      </c>
      <c r="H1007" t="s">
        <v>66</v>
      </c>
      <c r="I1007" t="s">
        <v>22</v>
      </c>
      <c r="J1007" t="s">
        <v>67</v>
      </c>
      <c r="K1007" t="s">
        <v>34</v>
      </c>
      <c r="L1007" s="6">
        <v>219.16</v>
      </c>
      <c r="M1007" s="6">
        <v>0</v>
      </c>
      <c r="N1007" s="6">
        <v>-219.16</v>
      </c>
      <c r="O1007" s="6">
        <v>10843.34</v>
      </c>
      <c r="P1007" s="7">
        <v>0</v>
      </c>
      <c r="Q1007" s="6">
        <v>0</v>
      </c>
    </row>
    <row r="1008" spans="1:17">
      <c r="A1008">
        <v>1007</v>
      </c>
      <c r="B1008" s="5">
        <v>45769</v>
      </c>
      <c r="C1008" t="s">
        <v>525</v>
      </c>
      <c r="D1008" t="s">
        <v>526</v>
      </c>
      <c r="E1008" t="s">
        <v>527</v>
      </c>
      <c r="F1008">
        <v>8</v>
      </c>
      <c r="G1008" t="s">
        <v>212</v>
      </c>
      <c r="H1008" t="s">
        <v>213</v>
      </c>
      <c r="I1008" t="s">
        <v>16</v>
      </c>
      <c r="J1008" t="s">
        <v>52</v>
      </c>
      <c r="K1008" t="s">
        <v>35</v>
      </c>
      <c r="L1008" s="6">
        <v>0</v>
      </c>
      <c r="M1008" s="6">
        <v>150</v>
      </c>
      <c r="N1008" s="6">
        <v>150</v>
      </c>
      <c r="O1008" s="6">
        <v>10993.34</v>
      </c>
      <c r="P1008" s="7">
        <v>0</v>
      </c>
      <c r="Q1008" s="6">
        <v>0</v>
      </c>
    </row>
    <row r="1009" spans="1:17">
      <c r="A1009">
        <v>1008</v>
      </c>
      <c r="B1009" s="5">
        <v>45769</v>
      </c>
      <c r="C1009" t="s">
        <v>525</v>
      </c>
      <c r="D1009" t="s">
        <v>526</v>
      </c>
      <c r="E1009" t="s">
        <v>527</v>
      </c>
      <c r="F1009">
        <v>8</v>
      </c>
      <c r="G1009" t="s">
        <v>740</v>
      </c>
      <c r="H1009" t="s">
        <v>66</v>
      </c>
      <c r="I1009" t="s">
        <v>22</v>
      </c>
      <c r="J1009" t="s">
        <v>67</v>
      </c>
      <c r="K1009" t="s">
        <v>34</v>
      </c>
      <c r="L1009" s="6">
        <v>469</v>
      </c>
      <c r="M1009" s="6">
        <v>0</v>
      </c>
      <c r="N1009" s="6">
        <v>-469</v>
      </c>
      <c r="O1009" s="6">
        <v>10524.34</v>
      </c>
      <c r="P1009" s="7">
        <v>0</v>
      </c>
      <c r="Q1009" s="6">
        <v>0</v>
      </c>
    </row>
    <row r="1010" spans="1:17">
      <c r="A1010">
        <v>1009</v>
      </c>
      <c r="B1010" s="5">
        <v>45769</v>
      </c>
      <c r="C1010" t="s">
        <v>525</v>
      </c>
      <c r="D1010" t="s">
        <v>526</v>
      </c>
      <c r="E1010" t="s">
        <v>527</v>
      </c>
      <c r="F1010">
        <v>8</v>
      </c>
      <c r="G1010" t="s">
        <v>741</v>
      </c>
      <c r="H1010" t="s">
        <v>66</v>
      </c>
      <c r="I1010" t="s">
        <v>22</v>
      </c>
      <c r="J1010" t="s">
        <v>67</v>
      </c>
      <c r="K1010" t="s">
        <v>34</v>
      </c>
      <c r="L1010" s="6">
        <v>4000</v>
      </c>
      <c r="M1010" s="6">
        <v>0</v>
      </c>
      <c r="N1010" s="6">
        <v>-4000</v>
      </c>
      <c r="O1010" s="6">
        <v>6524.34</v>
      </c>
      <c r="P1010" s="7">
        <v>0</v>
      </c>
      <c r="Q1010" s="6">
        <v>0</v>
      </c>
    </row>
    <row r="1011" spans="1:17">
      <c r="A1011">
        <v>1010</v>
      </c>
      <c r="B1011" s="5">
        <v>45769</v>
      </c>
      <c r="C1011" t="s">
        <v>525</v>
      </c>
      <c r="D1011" t="s">
        <v>526</v>
      </c>
      <c r="E1011" t="s">
        <v>527</v>
      </c>
      <c r="F1011">
        <v>8</v>
      </c>
      <c r="G1011" t="s">
        <v>691</v>
      </c>
      <c r="H1011" t="s">
        <v>692</v>
      </c>
      <c r="I1011" t="s">
        <v>16</v>
      </c>
      <c r="J1011" t="s">
        <v>52</v>
      </c>
      <c r="K1011" t="s">
        <v>35</v>
      </c>
      <c r="L1011" s="6">
        <v>0</v>
      </c>
      <c r="M1011" s="6">
        <v>200</v>
      </c>
      <c r="N1011" s="6">
        <v>200</v>
      </c>
      <c r="O1011" s="6">
        <v>6724.34</v>
      </c>
      <c r="P1011" s="7">
        <v>0</v>
      </c>
      <c r="Q1011" s="6">
        <v>0</v>
      </c>
    </row>
    <row r="1012" spans="1:17">
      <c r="A1012">
        <v>1011</v>
      </c>
      <c r="B1012" s="5">
        <v>45769</v>
      </c>
      <c r="C1012" t="s">
        <v>525</v>
      </c>
      <c r="D1012" t="s">
        <v>526</v>
      </c>
      <c r="E1012" t="s">
        <v>527</v>
      </c>
      <c r="F1012">
        <v>8</v>
      </c>
      <c r="G1012" t="s">
        <v>194</v>
      </c>
      <c r="H1012" t="s">
        <v>195</v>
      </c>
      <c r="I1012" t="s">
        <v>16</v>
      </c>
      <c r="J1012" t="s">
        <v>52</v>
      </c>
      <c r="K1012" t="s">
        <v>35</v>
      </c>
      <c r="L1012" s="6">
        <v>0</v>
      </c>
      <c r="M1012" s="6">
        <v>240</v>
      </c>
      <c r="N1012" s="6">
        <v>240</v>
      </c>
      <c r="O1012" s="6">
        <v>6964.34</v>
      </c>
      <c r="P1012" s="7">
        <v>0</v>
      </c>
      <c r="Q1012" s="6">
        <v>0</v>
      </c>
    </row>
    <row r="1013" spans="1:17">
      <c r="A1013">
        <v>1012</v>
      </c>
      <c r="B1013" s="5">
        <v>45769</v>
      </c>
      <c r="C1013" t="s">
        <v>525</v>
      </c>
      <c r="D1013" t="s">
        <v>526</v>
      </c>
      <c r="E1013" t="s">
        <v>527</v>
      </c>
      <c r="F1013">
        <v>8</v>
      </c>
      <c r="G1013" t="s">
        <v>194</v>
      </c>
      <c r="H1013" t="s">
        <v>195</v>
      </c>
      <c r="I1013" t="s">
        <v>16</v>
      </c>
      <c r="J1013" t="s">
        <v>52</v>
      </c>
      <c r="K1013" t="s">
        <v>35</v>
      </c>
      <c r="L1013" s="6">
        <v>0</v>
      </c>
      <c r="M1013" s="6">
        <v>250</v>
      </c>
      <c r="N1013" s="6">
        <v>250</v>
      </c>
      <c r="O1013" s="6">
        <v>7214.34</v>
      </c>
      <c r="P1013" s="7">
        <v>0</v>
      </c>
      <c r="Q1013" s="6">
        <v>0</v>
      </c>
    </row>
    <row r="1014" spans="1:17">
      <c r="A1014">
        <v>1013</v>
      </c>
      <c r="B1014" s="5">
        <v>45769</v>
      </c>
      <c r="C1014" t="s">
        <v>525</v>
      </c>
      <c r="D1014" t="s">
        <v>526</v>
      </c>
      <c r="E1014" t="s">
        <v>527</v>
      </c>
      <c r="F1014">
        <v>8</v>
      </c>
      <c r="G1014" t="s">
        <v>194</v>
      </c>
      <c r="H1014" t="s">
        <v>195</v>
      </c>
      <c r="I1014" t="s">
        <v>16</v>
      </c>
      <c r="J1014" t="s">
        <v>52</v>
      </c>
      <c r="K1014" t="s">
        <v>35</v>
      </c>
      <c r="L1014" s="6">
        <v>0</v>
      </c>
      <c r="M1014" s="6">
        <v>73</v>
      </c>
      <c r="N1014" s="6">
        <v>73</v>
      </c>
      <c r="O1014" s="6">
        <v>7287.34</v>
      </c>
      <c r="P1014" s="7">
        <v>0</v>
      </c>
      <c r="Q1014" s="6">
        <v>0</v>
      </c>
    </row>
    <row r="1015" spans="1:17">
      <c r="A1015">
        <v>1014</v>
      </c>
      <c r="B1015" s="5">
        <v>45769</v>
      </c>
      <c r="C1015" t="s">
        <v>525</v>
      </c>
      <c r="D1015" t="s">
        <v>526</v>
      </c>
      <c r="E1015" t="s">
        <v>527</v>
      </c>
      <c r="F1015">
        <v>8</v>
      </c>
      <c r="G1015" t="s">
        <v>329</v>
      </c>
      <c r="H1015" t="s">
        <v>330</v>
      </c>
      <c r="I1015" t="s">
        <v>16</v>
      </c>
      <c r="J1015" t="s">
        <v>52</v>
      </c>
      <c r="K1015" t="s">
        <v>35</v>
      </c>
      <c r="L1015" s="6">
        <v>0</v>
      </c>
      <c r="M1015" s="6">
        <v>1000</v>
      </c>
      <c r="N1015" s="6">
        <v>1000</v>
      </c>
      <c r="O1015" s="6">
        <v>8287.34</v>
      </c>
      <c r="P1015" s="7">
        <v>0</v>
      </c>
      <c r="Q1015" s="6">
        <v>0</v>
      </c>
    </row>
    <row r="1016" spans="1:17">
      <c r="A1016">
        <v>1015</v>
      </c>
      <c r="B1016" s="5">
        <v>45769</v>
      </c>
      <c r="C1016" t="s">
        <v>525</v>
      </c>
      <c r="D1016" t="s">
        <v>526</v>
      </c>
      <c r="E1016" t="s">
        <v>527</v>
      </c>
      <c r="F1016">
        <v>8</v>
      </c>
      <c r="G1016" t="s">
        <v>742</v>
      </c>
      <c r="H1016" t="s">
        <v>743</v>
      </c>
      <c r="I1016" t="s">
        <v>18</v>
      </c>
      <c r="J1016" t="s">
        <v>345</v>
      </c>
      <c r="K1016" t="s">
        <v>34</v>
      </c>
      <c r="L1016" s="6">
        <v>5300</v>
      </c>
      <c r="M1016" s="6">
        <v>0</v>
      </c>
      <c r="N1016" s="6">
        <v>-5300</v>
      </c>
      <c r="O1016" s="6">
        <v>2987.34</v>
      </c>
      <c r="P1016" s="7">
        <v>0</v>
      </c>
      <c r="Q1016" s="6">
        <v>0</v>
      </c>
    </row>
    <row r="1017" spans="1:17">
      <c r="A1017">
        <v>1016</v>
      </c>
      <c r="B1017" s="5">
        <v>45769</v>
      </c>
      <c r="C1017" t="s">
        <v>525</v>
      </c>
      <c r="D1017" t="s">
        <v>526</v>
      </c>
      <c r="E1017" t="s">
        <v>527</v>
      </c>
      <c r="F1017">
        <v>8</v>
      </c>
      <c r="G1017" t="s">
        <v>346</v>
      </c>
      <c r="I1017" t="s">
        <v>14</v>
      </c>
      <c r="J1017" t="s">
        <v>46</v>
      </c>
      <c r="K1017" t="s">
        <v>34</v>
      </c>
      <c r="L1017" s="6">
        <v>30</v>
      </c>
      <c r="M1017" s="6">
        <v>0</v>
      </c>
      <c r="N1017" s="6">
        <v>-30</v>
      </c>
      <c r="O1017" s="6">
        <v>2957.34</v>
      </c>
      <c r="P1017" s="7">
        <v>0.15</v>
      </c>
      <c r="Q1017" s="6">
        <v>3.91</v>
      </c>
    </row>
    <row r="1018" spans="1:17">
      <c r="A1018">
        <v>1017</v>
      </c>
      <c r="B1018" s="5">
        <v>45770</v>
      </c>
      <c r="C1018" t="s">
        <v>525</v>
      </c>
      <c r="D1018" t="s">
        <v>526</v>
      </c>
      <c r="E1018" t="s">
        <v>527</v>
      </c>
      <c r="F1018">
        <v>8</v>
      </c>
      <c r="G1018" t="s">
        <v>440</v>
      </c>
      <c r="H1018" t="s">
        <v>441</v>
      </c>
      <c r="I1018" t="s">
        <v>16</v>
      </c>
      <c r="J1018" t="s">
        <v>52</v>
      </c>
      <c r="K1018" t="s">
        <v>35</v>
      </c>
      <c r="L1018" s="6">
        <v>0</v>
      </c>
      <c r="M1018" s="6">
        <v>3000</v>
      </c>
      <c r="N1018" s="6">
        <v>3000</v>
      </c>
      <c r="O1018" s="6">
        <v>5957.34</v>
      </c>
      <c r="P1018" s="7">
        <v>0</v>
      </c>
      <c r="Q1018" s="6">
        <v>0</v>
      </c>
    </row>
    <row r="1019" spans="1:17">
      <c r="A1019">
        <v>1018</v>
      </c>
      <c r="B1019" s="5">
        <v>45770</v>
      </c>
      <c r="C1019" t="s">
        <v>525</v>
      </c>
      <c r="D1019" t="s">
        <v>526</v>
      </c>
      <c r="E1019" t="s">
        <v>527</v>
      </c>
      <c r="F1019">
        <v>8</v>
      </c>
      <c r="G1019" t="s">
        <v>744</v>
      </c>
      <c r="H1019" t="s">
        <v>66</v>
      </c>
      <c r="I1019" t="s">
        <v>22</v>
      </c>
      <c r="J1019" t="s">
        <v>67</v>
      </c>
      <c r="K1019" t="s">
        <v>34</v>
      </c>
      <c r="L1019" s="6">
        <v>424.44</v>
      </c>
      <c r="M1019" s="6">
        <v>0</v>
      </c>
      <c r="N1019" s="6">
        <v>-424.44</v>
      </c>
      <c r="O1019" s="6">
        <v>5532.9</v>
      </c>
      <c r="P1019" s="7">
        <v>0</v>
      </c>
      <c r="Q1019" s="6">
        <v>0</v>
      </c>
    </row>
    <row r="1020" spans="1:17">
      <c r="A1020">
        <v>1019</v>
      </c>
      <c r="B1020" s="5">
        <v>45770</v>
      </c>
      <c r="C1020" t="s">
        <v>525</v>
      </c>
      <c r="D1020" t="s">
        <v>526</v>
      </c>
      <c r="E1020" t="s">
        <v>527</v>
      </c>
      <c r="F1020">
        <v>8</v>
      </c>
      <c r="G1020" t="s">
        <v>745</v>
      </c>
      <c r="H1020" t="s">
        <v>66</v>
      </c>
      <c r="I1020" t="s">
        <v>22</v>
      </c>
      <c r="J1020" t="s">
        <v>67</v>
      </c>
      <c r="K1020" t="s">
        <v>34</v>
      </c>
      <c r="L1020" s="6">
        <v>98</v>
      </c>
      <c r="M1020" s="6">
        <v>0</v>
      </c>
      <c r="N1020" s="6">
        <v>-98</v>
      </c>
      <c r="O1020" s="6">
        <v>5434.9</v>
      </c>
      <c r="P1020" s="7">
        <v>0</v>
      </c>
      <c r="Q1020" s="6">
        <v>0</v>
      </c>
    </row>
    <row r="1021" spans="1:17">
      <c r="A1021">
        <v>1020</v>
      </c>
      <c r="B1021" s="5">
        <v>45770</v>
      </c>
      <c r="C1021" t="s">
        <v>525</v>
      </c>
      <c r="D1021" t="s">
        <v>526</v>
      </c>
      <c r="E1021" t="s">
        <v>527</v>
      </c>
      <c r="F1021">
        <v>8</v>
      </c>
      <c r="G1021" t="s">
        <v>194</v>
      </c>
      <c r="H1021" t="s">
        <v>195</v>
      </c>
      <c r="I1021" t="s">
        <v>16</v>
      </c>
      <c r="J1021" t="s">
        <v>52</v>
      </c>
      <c r="K1021" t="s">
        <v>35</v>
      </c>
      <c r="L1021" s="6">
        <v>0</v>
      </c>
      <c r="M1021" s="6">
        <v>99</v>
      </c>
      <c r="N1021" s="6">
        <v>99</v>
      </c>
      <c r="O1021" s="6">
        <v>5533.9</v>
      </c>
      <c r="P1021" s="7">
        <v>0</v>
      </c>
      <c r="Q1021" s="6">
        <v>0</v>
      </c>
    </row>
    <row r="1022" spans="1:17">
      <c r="A1022">
        <v>1021</v>
      </c>
      <c r="B1022" s="5">
        <v>45770</v>
      </c>
      <c r="C1022" t="s">
        <v>525</v>
      </c>
      <c r="D1022" t="s">
        <v>526</v>
      </c>
      <c r="E1022" t="s">
        <v>527</v>
      </c>
      <c r="F1022">
        <v>8</v>
      </c>
      <c r="G1022" t="s">
        <v>659</v>
      </c>
      <c r="H1022" t="s">
        <v>660</v>
      </c>
      <c r="I1022" t="s">
        <v>16</v>
      </c>
      <c r="J1022" t="s">
        <v>52</v>
      </c>
      <c r="K1022" t="s">
        <v>35</v>
      </c>
      <c r="L1022" s="6">
        <v>0</v>
      </c>
      <c r="M1022" s="6">
        <v>100</v>
      </c>
      <c r="N1022" s="6">
        <v>100</v>
      </c>
      <c r="O1022" s="6">
        <v>5633.9</v>
      </c>
      <c r="P1022" s="7">
        <v>0</v>
      </c>
      <c r="Q1022" s="6">
        <v>0</v>
      </c>
    </row>
    <row r="1023" spans="1:17">
      <c r="A1023">
        <v>1022</v>
      </c>
      <c r="B1023" s="5">
        <v>45770</v>
      </c>
      <c r="C1023" t="s">
        <v>525</v>
      </c>
      <c r="D1023" t="s">
        <v>526</v>
      </c>
      <c r="E1023" t="s">
        <v>527</v>
      </c>
      <c r="F1023">
        <v>8</v>
      </c>
      <c r="G1023" t="s">
        <v>691</v>
      </c>
      <c r="H1023" t="s">
        <v>692</v>
      </c>
      <c r="I1023" t="s">
        <v>16</v>
      </c>
      <c r="J1023" t="s">
        <v>52</v>
      </c>
      <c r="K1023" t="s">
        <v>35</v>
      </c>
      <c r="L1023" s="6">
        <v>0</v>
      </c>
      <c r="M1023" s="6">
        <v>400</v>
      </c>
      <c r="N1023" s="6">
        <v>400</v>
      </c>
      <c r="O1023" s="6">
        <v>6033.9</v>
      </c>
      <c r="P1023" s="7">
        <v>0</v>
      </c>
      <c r="Q1023" s="6">
        <v>0</v>
      </c>
    </row>
    <row r="1024" spans="1:17">
      <c r="A1024">
        <v>1023</v>
      </c>
      <c r="B1024" s="5">
        <v>45770</v>
      </c>
      <c r="C1024" t="s">
        <v>525</v>
      </c>
      <c r="D1024" t="s">
        <v>526</v>
      </c>
      <c r="E1024" t="s">
        <v>527</v>
      </c>
      <c r="F1024">
        <v>8</v>
      </c>
      <c r="G1024" t="s">
        <v>746</v>
      </c>
      <c r="H1024" t="s">
        <v>66</v>
      </c>
      <c r="I1024" t="s">
        <v>22</v>
      </c>
      <c r="J1024" t="s">
        <v>67</v>
      </c>
      <c r="K1024" t="s">
        <v>34</v>
      </c>
      <c r="L1024" s="6">
        <v>131.69</v>
      </c>
      <c r="M1024" s="6">
        <v>0</v>
      </c>
      <c r="N1024" s="6">
        <v>-131.69</v>
      </c>
      <c r="O1024" s="6">
        <v>5902.21</v>
      </c>
      <c r="P1024" s="7">
        <v>0</v>
      </c>
      <c r="Q1024" s="6">
        <v>0</v>
      </c>
    </row>
    <row r="1025" spans="1:17">
      <c r="A1025">
        <v>1024</v>
      </c>
      <c r="B1025" s="5">
        <v>45770</v>
      </c>
      <c r="C1025" t="s">
        <v>525</v>
      </c>
      <c r="D1025" t="s">
        <v>526</v>
      </c>
      <c r="E1025" t="s">
        <v>527</v>
      </c>
      <c r="F1025">
        <v>8</v>
      </c>
      <c r="G1025" t="s">
        <v>747</v>
      </c>
      <c r="H1025" t="s">
        <v>66</v>
      </c>
      <c r="I1025" t="s">
        <v>22</v>
      </c>
      <c r="J1025" t="s">
        <v>67</v>
      </c>
      <c r="K1025" t="s">
        <v>34</v>
      </c>
      <c r="L1025" s="6">
        <v>500</v>
      </c>
      <c r="M1025" s="6">
        <v>0</v>
      </c>
      <c r="N1025" s="6">
        <v>-500</v>
      </c>
      <c r="O1025" s="6">
        <v>5402.21</v>
      </c>
      <c r="P1025" s="7">
        <v>0</v>
      </c>
      <c r="Q1025" s="6">
        <v>0</v>
      </c>
    </row>
    <row r="1026" spans="1:17">
      <c r="A1026">
        <v>1025</v>
      </c>
      <c r="B1026" s="5">
        <v>45770</v>
      </c>
      <c r="C1026" t="s">
        <v>525</v>
      </c>
      <c r="D1026" t="s">
        <v>526</v>
      </c>
      <c r="E1026" t="s">
        <v>527</v>
      </c>
      <c r="F1026">
        <v>8</v>
      </c>
      <c r="G1026" t="s">
        <v>748</v>
      </c>
      <c r="H1026" t="s">
        <v>66</v>
      </c>
      <c r="I1026" t="s">
        <v>22</v>
      </c>
      <c r="J1026" t="s">
        <v>67</v>
      </c>
      <c r="K1026" t="s">
        <v>34</v>
      </c>
      <c r="L1026" s="6">
        <v>300</v>
      </c>
      <c r="M1026" s="6">
        <v>0</v>
      </c>
      <c r="N1026" s="6">
        <v>-300</v>
      </c>
      <c r="O1026" s="6">
        <v>5102.21</v>
      </c>
      <c r="P1026" s="7">
        <v>0</v>
      </c>
      <c r="Q1026" s="6">
        <v>0</v>
      </c>
    </row>
    <row r="1027" spans="1:17">
      <c r="A1027">
        <v>1026</v>
      </c>
      <c r="B1027" s="5">
        <v>45770</v>
      </c>
      <c r="C1027" t="s">
        <v>525</v>
      </c>
      <c r="D1027" t="s">
        <v>526</v>
      </c>
      <c r="E1027" t="s">
        <v>527</v>
      </c>
      <c r="F1027">
        <v>8</v>
      </c>
      <c r="G1027" t="s">
        <v>194</v>
      </c>
      <c r="H1027" t="s">
        <v>195</v>
      </c>
      <c r="I1027" t="s">
        <v>16</v>
      </c>
      <c r="J1027" t="s">
        <v>52</v>
      </c>
      <c r="K1027" t="s">
        <v>35</v>
      </c>
      <c r="L1027" s="6">
        <v>0</v>
      </c>
      <c r="M1027" s="6">
        <v>25</v>
      </c>
      <c r="N1027" s="6">
        <v>25</v>
      </c>
      <c r="O1027" s="6">
        <v>5127.21</v>
      </c>
      <c r="P1027" s="7">
        <v>0</v>
      </c>
      <c r="Q1027" s="6">
        <v>0</v>
      </c>
    </row>
    <row r="1028" spans="1:17">
      <c r="A1028">
        <v>1027</v>
      </c>
      <c r="B1028" s="5">
        <v>45770</v>
      </c>
      <c r="C1028" t="s">
        <v>525</v>
      </c>
      <c r="D1028" t="s">
        <v>526</v>
      </c>
      <c r="E1028" t="s">
        <v>527</v>
      </c>
      <c r="F1028">
        <v>8</v>
      </c>
      <c r="G1028" t="s">
        <v>258</v>
      </c>
      <c r="H1028" t="s">
        <v>259</v>
      </c>
      <c r="I1028" t="s">
        <v>16</v>
      </c>
      <c r="J1028" t="s">
        <v>52</v>
      </c>
      <c r="K1028" t="s">
        <v>35</v>
      </c>
      <c r="L1028" s="6">
        <v>0</v>
      </c>
      <c r="M1028" s="6">
        <v>250</v>
      </c>
      <c r="N1028" s="6">
        <v>250</v>
      </c>
      <c r="O1028" s="6">
        <v>5377.21</v>
      </c>
      <c r="P1028" s="7">
        <v>0</v>
      </c>
      <c r="Q1028" s="6">
        <v>0</v>
      </c>
    </row>
    <row r="1029" spans="1:17">
      <c r="A1029">
        <v>1028</v>
      </c>
      <c r="B1029" s="5">
        <v>45770</v>
      </c>
      <c r="C1029" t="s">
        <v>525</v>
      </c>
      <c r="D1029" t="s">
        <v>526</v>
      </c>
      <c r="E1029" t="s">
        <v>527</v>
      </c>
      <c r="F1029">
        <v>8</v>
      </c>
      <c r="G1029" t="s">
        <v>749</v>
      </c>
      <c r="H1029" t="s">
        <v>750</v>
      </c>
      <c r="I1029" t="s">
        <v>16</v>
      </c>
      <c r="J1029" t="s">
        <v>52</v>
      </c>
      <c r="K1029" t="s">
        <v>35</v>
      </c>
      <c r="L1029" s="6">
        <v>0</v>
      </c>
      <c r="M1029" s="6">
        <v>300</v>
      </c>
      <c r="N1029" s="6">
        <v>300</v>
      </c>
      <c r="O1029" s="6">
        <v>5677.21</v>
      </c>
      <c r="P1029" s="7">
        <v>0</v>
      </c>
      <c r="Q1029" s="6">
        <v>0</v>
      </c>
    </row>
    <row r="1030" spans="1:17">
      <c r="A1030">
        <v>1029</v>
      </c>
      <c r="B1030" s="5">
        <v>45771</v>
      </c>
      <c r="C1030" t="s">
        <v>525</v>
      </c>
      <c r="D1030" t="s">
        <v>526</v>
      </c>
      <c r="E1030" t="s">
        <v>527</v>
      </c>
      <c r="F1030">
        <v>8</v>
      </c>
      <c r="G1030" t="s">
        <v>415</v>
      </c>
      <c r="H1030" t="s">
        <v>416</v>
      </c>
      <c r="I1030" t="s">
        <v>16</v>
      </c>
      <c r="J1030" t="s">
        <v>52</v>
      </c>
      <c r="K1030" t="s">
        <v>35</v>
      </c>
      <c r="L1030" s="6">
        <v>0</v>
      </c>
      <c r="M1030" s="6">
        <v>175</v>
      </c>
      <c r="N1030" s="6">
        <v>175</v>
      </c>
      <c r="O1030" s="6">
        <v>5852.21</v>
      </c>
      <c r="P1030" s="7">
        <v>0</v>
      </c>
      <c r="Q1030" s="6">
        <v>0</v>
      </c>
    </row>
    <row r="1031" spans="1:17">
      <c r="A1031">
        <v>1030</v>
      </c>
      <c r="B1031" s="5">
        <v>45771</v>
      </c>
      <c r="C1031" t="s">
        <v>525</v>
      </c>
      <c r="D1031" t="s">
        <v>526</v>
      </c>
      <c r="E1031" t="s">
        <v>527</v>
      </c>
      <c r="F1031">
        <v>8</v>
      </c>
      <c r="G1031" t="s">
        <v>440</v>
      </c>
      <c r="H1031" t="s">
        <v>441</v>
      </c>
      <c r="I1031" t="s">
        <v>16</v>
      </c>
      <c r="J1031" t="s">
        <v>52</v>
      </c>
      <c r="K1031" t="s">
        <v>35</v>
      </c>
      <c r="L1031" s="6">
        <v>0</v>
      </c>
      <c r="M1031" s="6">
        <v>3000</v>
      </c>
      <c r="N1031" s="6">
        <v>3000</v>
      </c>
      <c r="O1031" s="6">
        <v>8852.2099999999991</v>
      </c>
      <c r="P1031" s="7">
        <v>0</v>
      </c>
      <c r="Q1031" s="6">
        <v>0</v>
      </c>
    </row>
    <row r="1032" spans="1:17">
      <c r="A1032">
        <v>1031</v>
      </c>
      <c r="B1032" s="5">
        <v>45771</v>
      </c>
      <c r="C1032" t="s">
        <v>525</v>
      </c>
      <c r="D1032" t="s">
        <v>526</v>
      </c>
      <c r="E1032" t="s">
        <v>527</v>
      </c>
      <c r="F1032">
        <v>8</v>
      </c>
      <c r="G1032" t="s">
        <v>751</v>
      </c>
      <c r="H1032" t="s">
        <v>752</v>
      </c>
      <c r="I1032" t="s">
        <v>16</v>
      </c>
      <c r="J1032" t="s">
        <v>52</v>
      </c>
      <c r="K1032" t="s">
        <v>35</v>
      </c>
      <c r="L1032" s="6">
        <v>0</v>
      </c>
      <c r="M1032" s="6">
        <v>300</v>
      </c>
      <c r="N1032" s="6">
        <v>300</v>
      </c>
      <c r="O1032" s="6">
        <v>9152.2099999999991</v>
      </c>
      <c r="P1032" s="7">
        <v>0</v>
      </c>
      <c r="Q1032" s="6">
        <v>0</v>
      </c>
    </row>
    <row r="1033" spans="1:17">
      <c r="A1033">
        <v>1032</v>
      </c>
      <c r="B1033" s="5">
        <v>45771</v>
      </c>
      <c r="C1033" t="s">
        <v>525</v>
      </c>
      <c r="D1033" t="s">
        <v>526</v>
      </c>
      <c r="E1033" t="s">
        <v>527</v>
      </c>
      <c r="F1033">
        <v>8</v>
      </c>
      <c r="G1033" t="s">
        <v>753</v>
      </c>
      <c r="H1033" t="s">
        <v>743</v>
      </c>
      <c r="I1033" t="s">
        <v>18</v>
      </c>
      <c r="J1033" t="s">
        <v>345</v>
      </c>
      <c r="K1033" t="s">
        <v>34</v>
      </c>
      <c r="L1033" s="6">
        <v>8200</v>
      </c>
      <c r="M1033" s="6">
        <v>0</v>
      </c>
      <c r="N1033" s="6">
        <v>-8200</v>
      </c>
      <c r="O1033" s="6">
        <v>952.21</v>
      </c>
      <c r="P1033" s="7">
        <v>0</v>
      </c>
      <c r="Q1033" s="6">
        <v>0</v>
      </c>
    </row>
    <row r="1034" spans="1:17">
      <c r="A1034">
        <v>1033</v>
      </c>
      <c r="B1034" s="5">
        <v>45771</v>
      </c>
      <c r="C1034" t="s">
        <v>525</v>
      </c>
      <c r="D1034" t="s">
        <v>526</v>
      </c>
      <c r="E1034" t="s">
        <v>527</v>
      </c>
      <c r="F1034">
        <v>8</v>
      </c>
      <c r="G1034" t="s">
        <v>346</v>
      </c>
      <c r="I1034" t="s">
        <v>14</v>
      </c>
      <c r="J1034" t="s">
        <v>46</v>
      </c>
      <c r="K1034" t="s">
        <v>34</v>
      </c>
      <c r="L1034" s="6">
        <v>30</v>
      </c>
      <c r="M1034" s="6">
        <v>0</v>
      </c>
      <c r="N1034" s="6">
        <v>-30</v>
      </c>
      <c r="O1034" s="6">
        <v>922.21</v>
      </c>
      <c r="P1034" s="7">
        <v>0.15</v>
      </c>
      <c r="Q1034" s="6">
        <v>3.91</v>
      </c>
    </row>
    <row r="1035" spans="1:17">
      <c r="A1035">
        <v>1034</v>
      </c>
      <c r="B1035" s="5">
        <v>45771</v>
      </c>
      <c r="C1035" t="s">
        <v>525</v>
      </c>
      <c r="D1035" t="s">
        <v>526</v>
      </c>
      <c r="E1035" t="s">
        <v>527</v>
      </c>
      <c r="F1035">
        <v>8</v>
      </c>
      <c r="G1035" t="s">
        <v>258</v>
      </c>
      <c r="H1035" t="s">
        <v>259</v>
      </c>
      <c r="I1035" t="s">
        <v>16</v>
      </c>
      <c r="J1035" t="s">
        <v>52</v>
      </c>
      <c r="K1035" t="s">
        <v>35</v>
      </c>
      <c r="L1035" s="6">
        <v>0</v>
      </c>
      <c r="M1035" s="6">
        <v>250</v>
      </c>
      <c r="N1035" s="6">
        <v>250</v>
      </c>
      <c r="O1035" s="6">
        <v>1172.21</v>
      </c>
      <c r="P1035" s="7">
        <v>0</v>
      </c>
      <c r="Q1035" s="6">
        <v>0</v>
      </c>
    </row>
    <row r="1036" spans="1:17">
      <c r="A1036">
        <v>1035</v>
      </c>
      <c r="B1036" s="5">
        <v>45771</v>
      </c>
      <c r="C1036" t="s">
        <v>525</v>
      </c>
      <c r="D1036" t="s">
        <v>526</v>
      </c>
      <c r="E1036" t="s">
        <v>527</v>
      </c>
      <c r="F1036">
        <v>8</v>
      </c>
      <c r="G1036" t="s">
        <v>201</v>
      </c>
      <c r="H1036" t="s">
        <v>100</v>
      </c>
      <c r="I1036" t="s">
        <v>16</v>
      </c>
      <c r="J1036" t="s">
        <v>52</v>
      </c>
      <c r="K1036" t="s">
        <v>35</v>
      </c>
      <c r="L1036" s="6">
        <v>0</v>
      </c>
      <c r="M1036" s="6">
        <v>1600</v>
      </c>
      <c r="N1036" s="6">
        <v>1600</v>
      </c>
      <c r="O1036" s="6">
        <v>2772.21</v>
      </c>
      <c r="P1036" s="7">
        <v>0</v>
      </c>
      <c r="Q1036" s="6">
        <v>0</v>
      </c>
    </row>
    <row r="1037" spans="1:17">
      <c r="A1037">
        <v>1036</v>
      </c>
      <c r="B1037" s="5">
        <v>45771</v>
      </c>
      <c r="C1037" t="s">
        <v>525</v>
      </c>
      <c r="D1037" t="s">
        <v>526</v>
      </c>
      <c r="E1037" t="s">
        <v>527</v>
      </c>
      <c r="F1037">
        <v>8</v>
      </c>
      <c r="G1037" t="s">
        <v>754</v>
      </c>
      <c r="H1037" t="s">
        <v>66</v>
      </c>
      <c r="I1037" t="s">
        <v>22</v>
      </c>
      <c r="J1037" t="s">
        <v>67</v>
      </c>
      <c r="K1037" t="s">
        <v>34</v>
      </c>
      <c r="L1037" s="6">
        <v>269</v>
      </c>
      <c r="M1037" s="6">
        <v>0</v>
      </c>
      <c r="N1037" s="6">
        <v>-269</v>
      </c>
      <c r="O1037" s="6">
        <v>2503.21</v>
      </c>
      <c r="P1037" s="7">
        <v>0</v>
      </c>
      <c r="Q1037" s="6">
        <v>0</v>
      </c>
    </row>
    <row r="1038" spans="1:17">
      <c r="A1038">
        <v>1037</v>
      </c>
      <c r="B1038" s="5">
        <v>45771</v>
      </c>
      <c r="C1038" t="s">
        <v>525</v>
      </c>
      <c r="D1038" t="s">
        <v>526</v>
      </c>
      <c r="E1038" t="s">
        <v>527</v>
      </c>
      <c r="F1038">
        <v>8</v>
      </c>
      <c r="G1038" t="s">
        <v>212</v>
      </c>
      <c r="H1038" t="s">
        <v>213</v>
      </c>
      <c r="I1038" t="s">
        <v>16</v>
      </c>
      <c r="J1038" t="s">
        <v>52</v>
      </c>
      <c r="K1038" t="s">
        <v>35</v>
      </c>
      <c r="L1038" s="6">
        <v>0</v>
      </c>
      <c r="M1038" s="6">
        <v>5000</v>
      </c>
      <c r="N1038" s="6">
        <v>5000</v>
      </c>
      <c r="O1038" s="6">
        <v>7503.21</v>
      </c>
      <c r="P1038" s="7">
        <v>0</v>
      </c>
      <c r="Q1038" s="6">
        <v>0</v>
      </c>
    </row>
    <row r="1039" spans="1:17">
      <c r="A1039">
        <v>1038</v>
      </c>
      <c r="B1039" s="5">
        <v>45771</v>
      </c>
      <c r="C1039" t="s">
        <v>525</v>
      </c>
      <c r="D1039" t="s">
        <v>526</v>
      </c>
      <c r="E1039" t="s">
        <v>527</v>
      </c>
      <c r="F1039">
        <v>8</v>
      </c>
      <c r="G1039" t="s">
        <v>689</v>
      </c>
      <c r="H1039" t="s">
        <v>690</v>
      </c>
      <c r="I1039" t="s">
        <v>16</v>
      </c>
      <c r="J1039" t="s">
        <v>52</v>
      </c>
      <c r="K1039" t="s">
        <v>35</v>
      </c>
      <c r="L1039" s="6">
        <v>0</v>
      </c>
      <c r="M1039" s="6">
        <v>800</v>
      </c>
      <c r="N1039" s="6">
        <v>800</v>
      </c>
      <c r="O1039" s="6">
        <v>8303.2099999999991</v>
      </c>
      <c r="P1039" s="7">
        <v>0</v>
      </c>
      <c r="Q1039" s="6">
        <v>0</v>
      </c>
    </row>
    <row r="1040" spans="1:17">
      <c r="A1040">
        <v>1039</v>
      </c>
      <c r="B1040" s="5">
        <v>45772</v>
      </c>
      <c r="C1040" t="s">
        <v>525</v>
      </c>
      <c r="D1040" t="s">
        <v>526</v>
      </c>
      <c r="E1040" t="s">
        <v>527</v>
      </c>
      <c r="F1040">
        <v>8</v>
      </c>
      <c r="G1040" t="s">
        <v>444</v>
      </c>
      <c r="H1040" t="s">
        <v>445</v>
      </c>
      <c r="I1040" t="s">
        <v>16</v>
      </c>
      <c r="J1040" t="s">
        <v>52</v>
      </c>
      <c r="K1040" t="s">
        <v>35</v>
      </c>
      <c r="L1040" s="6">
        <v>0</v>
      </c>
      <c r="M1040" s="6">
        <v>56</v>
      </c>
      <c r="N1040" s="6">
        <v>56</v>
      </c>
      <c r="O1040" s="6">
        <v>8359.2099999999991</v>
      </c>
      <c r="P1040" s="7">
        <v>0</v>
      </c>
      <c r="Q1040" s="6">
        <v>0</v>
      </c>
    </row>
    <row r="1041" spans="1:17">
      <c r="A1041">
        <v>1040</v>
      </c>
      <c r="B1041" s="5">
        <v>45772</v>
      </c>
      <c r="C1041" t="s">
        <v>525</v>
      </c>
      <c r="D1041" t="s">
        <v>526</v>
      </c>
      <c r="E1041" t="s">
        <v>527</v>
      </c>
      <c r="F1041">
        <v>8</v>
      </c>
      <c r="G1041" t="s">
        <v>444</v>
      </c>
      <c r="H1041" t="s">
        <v>445</v>
      </c>
      <c r="I1041" t="s">
        <v>16</v>
      </c>
      <c r="J1041" t="s">
        <v>52</v>
      </c>
      <c r="K1041" t="s">
        <v>35</v>
      </c>
      <c r="L1041" s="6">
        <v>0</v>
      </c>
      <c r="M1041" s="6">
        <v>38</v>
      </c>
      <c r="N1041" s="6">
        <v>38</v>
      </c>
      <c r="O1041" s="6">
        <v>8397.2099999999991</v>
      </c>
      <c r="P1041" s="7">
        <v>0</v>
      </c>
      <c r="Q1041" s="6">
        <v>0</v>
      </c>
    </row>
    <row r="1042" spans="1:17">
      <c r="A1042">
        <v>1041</v>
      </c>
      <c r="B1042" s="5">
        <v>45772</v>
      </c>
      <c r="C1042" t="s">
        <v>525</v>
      </c>
      <c r="D1042" t="s">
        <v>526</v>
      </c>
      <c r="E1042" t="s">
        <v>527</v>
      </c>
      <c r="F1042">
        <v>8</v>
      </c>
      <c r="G1042" t="s">
        <v>755</v>
      </c>
      <c r="H1042" t="s">
        <v>756</v>
      </c>
      <c r="I1042" t="s">
        <v>16</v>
      </c>
      <c r="J1042" t="s">
        <v>52</v>
      </c>
      <c r="K1042" t="s">
        <v>35</v>
      </c>
      <c r="L1042" s="6">
        <v>0</v>
      </c>
      <c r="M1042" s="6">
        <v>4000</v>
      </c>
      <c r="N1042" s="6">
        <v>4000</v>
      </c>
      <c r="O1042" s="6">
        <v>12397.21</v>
      </c>
      <c r="P1042" s="7">
        <v>0</v>
      </c>
      <c r="Q1042" s="6">
        <v>0</v>
      </c>
    </row>
    <row r="1043" spans="1:17">
      <c r="A1043">
        <v>1042</v>
      </c>
      <c r="B1043" s="5">
        <v>45772</v>
      </c>
      <c r="C1043" t="s">
        <v>525</v>
      </c>
      <c r="D1043" t="s">
        <v>526</v>
      </c>
      <c r="E1043" t="s">
        <v>527</v>
      </c>
      <c r="F1043">
        <v>8</v>
      </c>
      <c r="G1043" t="s">
        <v>201</v>
      </c>
      <c r="H1043" t="s">
        <v>100</v>
      </c>
      <c r="I1043" t="s">
        <v>16</v>
      </c>
      <c r="J1043" t="s">
        <v>52</v>
      </c>
      <c r="K1043" t="s">
        <v>35</v>
      </c>
      <c r="L1043" s="6">
        <v>0</v>
      </c>
      <c r="M1043" s="6">
        <v>1000</v>
      </c>
      <c r="N1043" s="6">
        <v>1000</v>
      </c>
      <c r="O1043" s="6">
        <v>13397.21</v>
      </c>
      <c r="P1043" s="7">
        <v>0</v>
      </c>
      <c r="Q1043" s="6">
        <v>0</v>
      </c>
    </row>
    <row r="1044" spans="1:17">
      <c r="A1044">
        <v>1043</v>
      </c>
      <c r="B1044" s="5">
        <v>45772</v>
      </c>
      <c r="C1044" t="s">
        <v>525</v>
      </c>
      <c r="D1044" t="s">
        <v>526</v>
      </c>
      <c r="E1044" t="s">
        <v>527</v>
      </c>
      <c r="F1044">
        <v>8</v>
      </c>
      <c r="G1044" t="s">
        <v>201</v>
      </c>
      <c r="H1044" t="s">
        <v>100</v>
      </c>
      <c r="I1044" t="s">
        <v>16</v>
      </c>
      <c r="J1044" t="s">
        <v>52</v>
      </c>
      <c r="K1044" t="s">
        <v>35</v>
      </c>
      <c r="L1044" s="6">
        <v>0</v>
      </c>
      <c r="M1044" s="6">
        <v>1000</v>
      </c>
      <c r="N1044" s="6">
        <v>1000</v>
      </c>
      <c r="O1044" s="6">
        <v>14397.21</v>
      </c>
      <c r="P1044" s="7">
        <v>0</v>
      </c>
      <c r="Q1044" s="6">
        <v>0</v>
      </c>
    </row>
    <row r="1045" spans="1:17">
      <c r="A1045">
        <v>1044</v>
      </c>
      <c r="B1045" s="5">
        <v>45772</v>
      </c>
      <c r="C1045" t="s">
        <v>525</v>
      </c>
      <c r="D1045" t="s">
        <v>526</v>
      </c>
      <c r="E1045" t="s">
        <v>527</v>
      </c>
      <c r="F1045">
        <v>8</v>
      </c>
      <c r="G1045" t="s">
        <v>689</v>
      </c>
      <c r="H1045" t="s">
        <v>690</v>
      </c>
      <c r="I1045" t="s">
        <v>16</v>
      </c>
      <c r="J1045" t="s">
        <v>52</v>
      </c>
      <c r="K1045" t="s">
        <v>35</v>
      </c>
      <c r="L1045" s="6">
        <v>0</v>
      </c>
      <c r="M1045" s="6">
        <v>1000</v>
      </c>
      <c r="N1045" s="6">
        <v>1000</v>
      </c>
      <c r="O1045" s="6">
        <v>15397.21</v>
      </c>
      <c r="P1045" s="7">
        <v>0</v>
      </c>
      <c r="Q1045" s="6">
        <v>0</v>
      </c>
    </row>
    <row r="1046" spans="1:17">
      <c r="A1046">
        <v>1045</v>
      </c>
      <c r="B1046" s="5">
        <v>45772</v>
      </c>
      <c r="C1046" t="s">
        <v>525</v>
      </c>
      <c r="D1046" t="s">
        <v>526</v>
      </c>
      <c r="E1046" t="s">
        <v>527</v>
      </c>
      <c r="F1046">
        <v>8</v>
      </c>
      <c r="G1046" t="s">
        <v>757</v>
      </c>
      <c r="H1046" t="s">
        <v>66</v>
      </c>
      <c r="I1046" t="s">
        <v>22</v>
      </c>
      <c r="J1046" t="s">
        <v>67</v>
      </c>
      <c r="K1046" t="s">
        <v>34</v>
      </c>
      <c r="L1046" s="6">
        <v>686.02</v>
      </c>
      <c r="M1046" s="6">
        <v>0</v>
      </c>
      <c r="N1046" s="6">
        <v>-686.02</v>
      </c>
      <c r="O1046" s="6">
        <v>14711.19</v>
      </c>
      <c r="P1046" s="7">
        <v>0</v>
      </c>
      <c r="Q1046" s="6">
        <v>0</v>
      </c>
    </row>
    <row r="1047" spans="1:17">
      <c r="A1047">
        <v>1046</v>
      </c>
      <c r="B1047" s="5">
        <v>45772</v>
      </c>
      <c r="C1047" t="s">
        <v>525</v>
      </c>
      <c r="D1047" t="s">
        <v>526</v>
      </c>
      <c r="E1047" t="s">
        <v>527</v>
      </c>
      <c r="F1047">
        <v>8</v>
      </c>
      <c r="G1047" t="s">
        <v>589</v>
      </c>
      <c r="H1047" t="s">
        <v>590</v>
      </c>
      <c r="I1047" t="s">
        <v>16</v>
      </c>
      <c r="J1047" t="s">
        <v>52</v>
      </c>
      <c r="K1047" t="s">
        <v>35</v>
      </c>
      <c r="L1047" s="6">
        <v>0</v>
      </c>
      <c r="M1047" s="6">
        <v>500</v>
      </c>
      <c r="N1047" s="6">
        <v>500</v>
      </c>
      <c r="O1047" s="6">
        <v>15211.19</v>
      </c>
      <c r="P1047" s="7">
        <v>0</v>
      </c>
      <c r="Q1047" s="6">
        <v>0</v>
      </c>
    </row>
    <row r="1048" spans="1:17">
      <c r="A1048">
        <v>1047</v>
      </c>
      <c r="B1048" s="5">
        <v>45772</v>
      </c>
      <c r="C1048" t="s">
        <v>525</v>
      </c>
      <c r="D1048" t="s">
        <v>526</v>
      </c>
      <c r="E1048" t="s">
        <v>527</v>
      </c>
      <c r="F1048">
        <v>8</v>
      </c>
      <c r="G1048" t="s">
        <v>758</v>
      </c>
      <c r="H1048" t="s">
        <v>759</v>
      </c>
      <c r="I1048" t="s">
        <v>16</v>
      </c>
      <c r="J1048" t="s">
        <v>52</v>
      </c>
      <c r="K1048" t="s">
        <v>35</v>
      </c>
      <c r="L1048" s="6">
        <v>0</v>
      </c>
      <c r="M1048" s="6">
        <v>2000</v>
      </c>
      <c r="N1048" s="6">
        <v>2000</v>
      </c>
      <c r="O1048" s="6">
        <v>17211.189999999999</v>
      </c>
      <c r="P1048" s="7">
        <v>0</v>
      </c>
      <c r="Q1048" s="6">
        <v>0</v>
      </c>
    </row>
    <row r="1049" spans="1:17">
      <c r="A1049">
        <v>1048</v>
      </c>
      <c r="B1049" s="5">
        <v>45772</v>
      </c>
      <c r="C1049" t="s">
        <v>525</v>
      </c>
      <c r="D1049" t="s">
        <v>526</v>
      </c>
      <c r="E1049" t="s">
        <v>527</v>
      </c>
      <c r="F1049">
        <v>9</v>
      </c>
      <c r="G1049" t="s">
        <v>760</v>
      </c>
      <c r="H1049" t="s">
        <v>66</v>
      </c>
      <c r="I1049" t="s">
        <v>22</v>
      </c>
      <c r="J1049" t="s">
        <v>67</v>
      </c>
      <c r="K1049" t="s">
        <v>34</v>
      </c>
      <c r="L1049" s="6">
        <v>2500</v>
      </c>
      <c r="M1049" s="6">
        <v>0</v>
      </c>
      <c r="N1049" s="6">
        <v>-2500</v>
      </c>
      <c r="O1049" s="6">
        <v>14711.19</v>
      </c>
      <c r="P1049" s="7">
        <v>0</v>
      </c>
      <c r="Q1049" s="6">
        <v>0</v>
      </c>
    </row>
    <row r="1050" spans="1:17">
      <c r="A1050">
        <v>1049</v>
      </c>
      <c r="B1050" s="5">
        <v>45772</v>
      </c>
      <c r="C1050" t="s">
        <v>525</v>
      </c>
      <c r="D1050" t="s">
        <v>526</v>
      </c>
      <c r="E1050" t="s">
        <v>527</v>
      </c>
      <c r="F1050">
        <v>9</v>
      </c>
      <c r="G1050" t="s">
        <v>761</v>
      </c>
      <c r="H1050" t="s">
        <v>66</v>
      </c>
      <c r="I1050" t="s">
        <v>22</v>
      </c>
      <c r="J1050" t="s">
        <v>67</v>
      </c>
      <c r="K1050" t="s">
        <v>34</v>
      </c>
      <c r="L1050" s="6">
        <v>2800</v>
      </c>
      <c r="M1050" s="6">
        <v>0</v>
      </c>
      <c r="N1050" s="6">
        <v>-2800</v>
      </c>
      <c r="O1050" s="6">
        <v>11911.19</v>
      </c>
      <c r="P1050" s="7">
        <v>0</v>
      </c>
      <c r="Q1050" s="6">
        <v>0</v>
      </c>
    </row>
    <row r="1051" spans="1:17">
      <c r="A1051">
        <v>1050</v>
      </c>
      <c r="B1051" s="5">
        <v>45772</v>
      </c>
      <c r="C1051" t="s">
        <v>525</v>
      </c>
      <c r="D1051" t="s">
        <v>526</v>
      </c>
      <c r="E1051" t="s">
        <v>527</v>
      </c>
      <c r="F1051">
        <v>9</v>
      </c>
      <c r="G1051" t="s">
        <v>762</v>
      </c>
      <c r="H1051" t="s">
        <v>66</v>
      </c>
      <c r="I1051" t="s">
        <v>22</v>
      </c>
      <c r="J1051" t="s">
        <v>67</v>
      </c>
      <c r="K1051" t="s">
        <v>34</v>
      </c>
      <c r="L1051" s="6">
        <v>30.47</v>
      </c>
      <c r="M1051" s="6">
        <v>0</v>
      </c>
      <c r="N1051" s="6">
        <v>-30.47</v>
      </c>
      <c r="O1051" s="6">
        <v>11880.72</v>
      </c>
      <c r="P1051" s="7">
        <v>0</v>
      </c>
      <c r="Q1051" s="6">
        <v>0</v>
      </c>
    </row>
    <row r="1052" spans="1:17">
      <c r="A1052">
        <v>1051</v>
      </c>
      <c r="B1052" s="5">
        <v>45772</v>
      </c>
      <c r="C1052" t="s">
        <v>525</v>
      </c>
      <c r="D1052" t="s">
        <v>526</v>
      </c>
      <c r="E1052" t="s">
        <v>527</v>
      </c>
      <c r="F1052">
        <v>9</v>
      </c>
      <c r="G1052" t="s">
        <v>201</v>
      </c>
      <c r="H1052" t="s">
        <v>100</v>
      </c>
      <c r="I1052" t="s">
        <v>16</v>
      </c>
      <c r="J1052" t="s">
        <v>52</v>
      </c>
      <c r="K1052" t="s">
        <v>35</v>
      </c>
      <c r="L1052" s="6">
        <v>0</v>
      </c>
      <c r="M1052" s="6">
        <v>1800</v>
      </c>
      <c r="N1052" s="6">
        <v>1800</v>
      </c>
      <c r="O1052" s="6">
        <v>13680.72</v>
      </c>
      <c r="P1052" s="7">
        <v>0</v>
      </c>
      <c r="Q1052" s="6">
        <v>0</v>
      </c>
    </row>
    <row r="1053" spans="1:17">
      <c r="A1053">
        <v>1052</v>
      </c>
      <c r="B1053" s="5">
        <v>45772</v>
      </c>
      <c r="C1053" t="s">
        <v>525</v>
      </c>
      <c r="D1053" t="s">
        <v>526</v>
      </c>
      <c r="E1053" t="s">
        <v>527</v>
      </c>
      <c r="F1053">
        <v>9</v>
      </c>
      <c r="G1053" t="s">
        <v>691</v>
      </c>
      <c r="H1053" t="s">
        <v>692</v>
      </c>
      <c r="I1053" t="s">
        <v>16</v>
      </c>
      <c r="J1053" t="s">
        <v>52</v>
      </c>
      <c r="K1053" t="s">
        <v>35</v>
      </c>
      <c r="L1053" s="6">
        <v>0</v>
      </c>
      <c r="M1053" s="6">
        <v>50</v>
      </c>
      <c r="N1053" s="6">
        <v>50</v>
      </c>
      <c r="O1053" s="6">
        <v>13730.72</v>
      </c>
      <c r="P1053" s="7">
        <v>0</v>
      </c>
      <c r="Q1053" s="6">
        <v>0</v>
      </c>
    </row>
    <row r="1054" spans="1:17">
      <c r="A1054">
        <v>1053</v>
      </c>
      <c r="B1054" s="5">
        <v>45772</v>
      </c>
      <c r="C1054" t="s">
        <v>525</v>
      </c>
      <c r="D1054" t="s">
        <v>526</v>
      </c>
      <c r="E1054" t="s">
        <v>527</v>
      </c>
      <c r="F1054">
        <v>9</v>
      </c>
      <c r="G1054" t="s">
        <v>589</v>
      </c>
      <c r="H1054" t="s">
        <v>590</v>
      </c>
      <c r="I1054" t="s">
        <v>16</v>
      </c>
      <c r="J1054" t="s">
        <v>52</v>
      </c>
      <c r="K1054" t="s">
        <v>35</v>
      </c>
      <c r="L1054" s="6">
        <v>0</v>
      </c>
      <c r="M1054" s="6">
        <v>1000</v>
      </c>
      <c r="N1054" s="6">
        <v>1000</v>
      </c>
      <c r="O1054" s="6">
        <v>14730.72</v>
      </c>
      <c r="P1054" s="7">
        <v>0</v>
      </c>
      <c r="Q1054" s="6">
        <v>0</v>
      </c>
    </row>
    <row r="1055" spans="1:17">
      <c r="A1055">
        <v>1054</v>
      </c>
      <c r="B1055" s="5">
        <v>45772</v>
      </c>
      <c r="C1055" t="s">
        <v>525</v>
      </c>
      <c r="D1055" t="s">
        <v>526</v>
      </c>
      <c r="E1055" t="s">
        <v>527</v>
      </c>
      <c r="F1055">
        <v>9</v>
      </c>
      <c r="G1055" t="s">
        <v>589</v>
      </c>
      <c r="H1055" t="s">
        <v>590</v>
      </c>
      <c r="I1055" t="s">
        <v>16</v>
      </c>
      <c r="J1055" t="s">
        <v>52</v>
      </c>
      <c r="K1055" t="s">
        <v>35</v>
      </c>
      <c r="L1055" s="6">
        <v>0</v>
      </c>
      <c r="M1055" s="6">
        <v>700</v>
      </c>
      <c r="N1055" s="6">
        <v>700</v>
      </c>
      <c r="O1055" s="6">
        <v>15430.72</v>
      </c>
      <c r="P1055" s="7">
        <v>0</v>
      </c>
      <c r="Q1055" s="6">
        <v>0</v>
      </c>
    </row>
    <row r="1056" spans="1:17">
      <c r="A1056">
        <v>1055</v>
      </c>
      <c r="B1056" s="5">
        <v>45772</v>
      </c>
      <c r="C1056" t="s">
        <v>525</v>
      </c>
      <c r="D1056" t="s">
        <v>526</v>
      </c>
      <c r="E1056" t="s">
        <v>527</v>
      </c>
      <c r="F1056">
        <v>9</v>
      </c>
      <c r="G1056" t="s">
        <v>763</v>
      </c>
      <c r="H1056" t="s">
        <v>66</v>
      </c>
      <c r="I1056" t="s">
        <v>22</v>
      </c>
      <c r="J1056" t="s">
        <v>67</v>
      </c>
      <c r="K1056" t="s">
        <v>34</v>
      </c>
      <c r="L1056" s="6">
        <v>2991.77</v>
      </c>
      <c r="M1056" s="6">
        <v>0</v>
      </c>
      <c r="N1056" s="6">
        <v>-2991.77</v>
      </c>
      <c r="O1056" s="6">
        <v>12438.95</v>
      </c>
      <c r="P1056" s="7">
        <v>0</v>
      </c>
      <c r="Q1056" s="6">
        <v>0</v>
      </c>
    </row>
    <row r="1057" spans="1:17">
      <c r="A1057">
        <v>1056</v>
      </c>
      <c r="B1057" s="5">
        <v>45772</v>
      </c>
      <c r="C1057" t="s">
        <v>525</v>
      </c>
      <c r="D1057" t="s">
        <v>526</v>
      </c>
      <c r="E1057" t="s">
        <v>527</v>
      </c>
      <c r="F1057">
        <v>9</v>
      </c>
      <c r="G1057" t="s">
        <v>764</v>
      </c>
      <c r="H1057" t="s">
        <v>765</v>
      </c>
      <c r="I1057" t="s">
        <v>16</v>
      </c>
      <c r="J1057" t="s">
        <v>52</v>
      </c>
      <c r="K1057" t="s">
        <v>35</v>
      </c>
      <c r="L1057" s="6">
        <v>0</v>
      </c>
      <c r="M1057" s="6">
        <v>100</v>
      </c>
      <c r="N1057" s="6">
        <v>100</v>
      </c>
      <c r="O1057" s="6">
        <v>12538.95</v>
      </c>
      <c r="P1057" s="7">
        <v>0</v>
      </c>
      <c r="Q1057" s="6">
        <v>0</v>
      </c>
    </row>
    <row r="1058" spans="1:17">
      <c r="A1058">
        <v>1057</v>
      </c>
      <c r="B1058" s="5">
        <v>45773</v>
      </c>
      <c r="C1058" t="s">
        <v>525</v>
      </c>
      <c r="D1058" t="s">
        <v>526</v>
      </c>
      <c r="E1058" t="s">
        <v>527</v>
      </c>
      <c r="F1058">
        <v>9</v>
      </c>
      <c r="G1058" t="s">
        <v>258</v>
      </c>
      <c r="H1058" t="s">
        <v>259</v>
      </c>
      <c r="I1058" t="s">
        <v>16</v>
      </c>
      <c r="J1058" t="s">
        <v>52</v>
      </c>
      <c r="K1058" t="s">
        <v>35</v>
      </c>
      <c r="L1058" s="6">
        <v>0</v>
      </c>
      <c r="M1058" s="6">
        <v>500</v>
      </c>
      <c r="N1058" s="6">
        <v>500</v>
      </c>
      <c r="O1058" s="6">
        <v>13038.95</v>
      </c>
      <c r="P1058" s="7">
        <v>0</v>
      </c>
      <c r="Q1058" s="6">
        <v>0</v>
      </c>
    </row>
    <row r="1059" spans="1:17">
      <c r="A1059">
        <v>1058</v>
      </c>
      <c r="B1059" s="5">
        <v>45773</v>
      </c>
      <c r="C1059" t="s">
        <v>525</v>
      </c>
      <c r="D1059" t="s">
        <v>526</v>
      </c>
      <c r="E1059" t="s">
        <v>527</v>
      </c>
      <c r="F1059">
        <v>9</v>
      </c>
      <c r="G1059" t="s">
        <v>766</v>
      </c>
      <c r="H1059" t="s">
        <v>66</v>
      </c>
      <c r="I1059" t="s">
        <v>22</v>
      </c>
      <c r="J1059" t="s">
        <v>67</v>
      </c>
      <c r="K1059" t="s">
        <v>34</v>
      </c>
      <c r="L1059" s="6">
        <v>2551</v>
      </c>
      <c r="M1059" s="6">
        <v>0</v>
      </c>
      <c r="N1059" s="6">
        <v>-2551</v>
      </c>
      <c r="O1059" s="6">
        <v>10487.95</v>
      </c>
      <c r="P1059" s="7">
        <v>0</v>
      </c>
      <c r="Q1059" s="6">
        <v>0</v>
      </c>
    </row>
    <row r="1060" spans="1:17">
      <c r="A1060">
        <v>1059</v>
      </c>
      <c r="B1060" s="5">
        <v>45773</v>
      </c>
      <c r="C1060" t="s">
        <v>525</v>
      </c>
      <c r="D1060" t="s">
        <v>526</v>
      </c>
      <c r="E1060" t="s">
        <v>527</v>
      </c>
      <c r="F1060">
        <v>9</v>
      </c>
      <c r="G1060" t="s">
        <v>767</v>
      </c>
      <c r="H1060" t="s">
        <v>768</v>
      </c>
      <c r="I1060" t="s">
        <v>18</v>
      </c>
      <c r="J1060" t="s">
        <v>345</v>
      </c>
      <c r="K1060" t="s">
        <v>34</v>
      </c>
      <c r="L1060" s="6">
        <v>200</v>
      </c>
      <c r="M1060" s="6">
        <v>0</v>
      </c>
      <c r="N1060" s="6">
        <v>-200</v>
      </c>
      <c r="O1060" s="6">
        <v>10287.950000000001</v>
      </c>
      <c r="P1060" s="7">
        <v>0</v>
      </c>
      <c r="Q1060" s="6">
        <v>0</v>
      </c>
    </row>
    <row r="1061" spans="1:17">
      <c r="A1061">
        <v>1060</v>
      </c>
      <c r="B1061" s="5">
        <v>45773</v>
      </c>
      <c r="C1061" t="s">
        <v>525</v>
      </c>
      <c r="D1061" t="s">
        <v>526</v>
      </c>
      <c r="E1061" t="s">
        <v>527</v>
      </c>
      <c r="F1061">
        <v>9</v>
      </c>
      <c r="G1061" t="s">
        <v>769</v>
      </c>
      <c r="H1061" t="s">
        <v>770</v>
      </c>
      <c r="I1061" t="s">
        <v>18</v>
      </c>
      <c r="J1061" t="s">
        <v>345</v>
      </c>
      <c r="K1061" t="s">
        <v>34</v>
      </c>
      <c r="L1061" s="6">
        <v>230</v>
      </c>
      <c r="M1061" s="6">
        <v>0</v>
      </c>
      <c r="N1061" s="6">
        <v>-230</v>
      </c>
      <c r="O1061" s="6">
        <v>10057.950000000001</v>
      </c>
      <c r="P1061" s="7">
        <v>0</v>
      </c>
      <c r="Q1061" s="6">
        <v>0</v>
      </c>
    </row>
    <row r="1062" spans="1:17">
      <c r="A1062">
        <v>1061</v>
      </c>
      <c r="B1062" s="5">
        <v>45773</v>
      </c>
      <c r="C1062" t="s">
        <v>525</v>
      </c>
      <c r="D1062" t="s">
        <v>526</v>
      </c>
      <c r="E1062" t="s">
        <v>527</v>
      </c>
      <c r="F1062">
        <v>9</v>
      </c>
      <c r="G1062" t="s">
        <v>346</v>
      </c>
      <c r="I1062" t="s">
        <v>14</v>
      </c>
      <c r="J1062" t="s">
        <v>46</v>
      </c>
      <c r="K1062" t="s">
        <v>34</v>
      </c>
      <c r="L1062" s="6">
        <v>20</v>
      </c>
      <c r="M1062" s="6">
        <v>0</v>
      </c>
      <c r="N1062" s="6">
        <v>-20</v>
      </c>
      <c r="O1062" s="6">
        <v>10037.950000000001</v>
      </c>
      <c r="P1062" s="7">
        <v>0.15</v>
      </c>
      <c r="Q1062" s="6">
        <v>2.61</v>
      </c>
    </row>
    <row r="1063" spans="1:17">
      <c r="A1063">
        <v>1062</v>
      </c>
      <c r="B1063" s="5">
        <v>45773</v>
      </c>
      <c r="C1063" t="s">
        <v>525</v>
      </c>
      <c r="D1063" t="s">
        <v>526</v>
      </c>
      <c r="E1063" t="s">
        <v>527</v>
      </c>
      <c r="F1063">
        <v>9</v>
      </c>
      <c r="G1063" t="s">
        <v>346</v>
      </c>
      <c r="I1063" t="s">
        <v>14</v>
      </c>
      <c r="J1063" t="s">
        <v>46</v>
      </c>
      <c r="K1063" t="s">
        <v>34</v>
      </c>
      <c r="L1063" s="6">
        <v>30</v>
      </c>
      <c r="M1063" s="6">
        <v>0</v>
      </c>
      <c r="N1063" s="6">
        <v>-30</v>
      </c>
      <c r="O1063" s="6">
        <v>10007.950000000001</v>
      </c>
      <c r="P1063" s="7">
        <v>0.15</v>
      </c>
      <c r="Q1063" s="6">
        <v>3.91</v>
      </c>
    </row>
    <row r="1064" spans="1:17">
      <c r="A1064">
        <v>1063</v>
      </c>
      <c r="B1064" s="5">
        <v>45776</v>
      </c>
      <c r="C1064" t="s">
        <v>525</v>
      </c>
      <c r="D1064" t="s">
        <v>526</v>
      </c>
      <c r="E1064" t="s">
        <v>527</v>
      </c>
      <c r="F1064">
        <v>9</v>
      </c>
      <c r="G1064" t="s">
        <v>435</v>
      </c>
      <c r="H1064" t="s">
        <v>436</v>
      </c>
      <c r="I1064" t="s">
        <v>16</v>
      </c>
      <c r="J1064" t="s">
        <v>52</v>
      </c>
      <c r="K1064" t="s">
        <v>35</v>
      </c>
      <c r="L1064" s="6">
        <v>0</v>
      </c>
      <c r="M1064" s="6">
        <v>200</v>
      </c>
      <c r="N1064" s="6">
        <v>200</v>
      </c>
      <c r="O1064" s="6">
        <v>10207.950000000001</v>
      </c>
      <c r="P1064" s="7">
        <v>0</v>
      </c>
      <c r="Q1064" s="6">
        <v>0</v>
      </c>
    </row>
    <row r="1065" spans="1:17">
      <c r="A1065">
        <v>1064</v>
      </c>
      <c r="B1065" s="5">
        <v>45776</v>
      </c>
      <c r="C1065" t="s">
        <v>525</v>
      </c>
      <c r="D1065" t="s">
        <v>526</v>
      </c>
      <c r="E1065" t="s">
        <v>527</v>
      </c>
      <c r="F1065">
        <v>9</v>
      </c>
      <c r="G1065" t="s">
        <v>615</v>
      </c>
      <c r="H1065" t="s">
        <v>616</v>
      </c>
      <c r="I1065" t="s">
        <v>16</v>
      </c>
      <c r="J1065" t="s">
        <v>52</v>
      </c>
      <c r="K1065" t="s">
        <v>35</v>
      </c>
      <c r="L1065" s="6">
        <v>0</v>
      </c>
      <c r="M1065" s="6">
        <v>450</v>
      </c>
      <c r="N1065" s="6">
        <v>450</v>
      </c>
      <c r="O1065" s="6">
        <v>10657.95</v>
      </c>
      <c r="P1065" s="7">
        <v>0</v>
      </c>
      <c r="Q1065" s="6">
        <v>0</v>
      </c>
    </row>
    <row r="1066" spans="1:17">
      <c r="A1066">
        <v>1065</v>
      </c>
      <c r="B1066" s="5">
        <v>45776</v>
      </c>
      <c r="C1066" t="s">
        <v>525</v>
      </c>
      <c r="D1066" t="s">
        <v>526</v>
      </c>
      <c r="E1066" t="s">
        <v>527</v>
      </c>
      <c r="F1066">
        <v>9</v>
      </c>
      <c r="G1066" t="s">
        <v>589</v>
      </c>
      <c r="H1066" t="s">
        <v>590</v>
      </c>
      <c r="I1066" t="s">
        <v>16</v>
      </c>
      <c r="J1066" t="s">
        <v>52</v>
      </c>
      <c r="K1066" t="s">
        <v>35</v>
      </c>
      <c r="L1066" s="6">
        <v>0</v>
      </c>
      <c r="M1066" s="6">
        <v>1000</v>
      </c>
      <c r="N1066" s="6">
        <v>1000</v>
      </c>
      <c r="O1066" s="6">
        <v>11657.95</v>
      </c>
      <c r="P1066" s="7">
        <v>0</v>
      </c>
      <c r="Q1066" s="6">
        <v>0</v>
      </c>
    </row>
    <row r="1067" spans="1:17">
      <c r="A1067">
        <v>1066</v>
      </c>
      <c r="B1067" s="5">
        <v>45776</v>
      </c>
      <c r="C1067" t="s">
        <v>525</v>
      </c>
      <c r="D1067" t="s">
        <v>526</v>
      </c>
      <c r="E1067" t="s">
        <v>527</v>
      </c>
      <c r="F1067">
        <v>9</v>
      </c>
      <c r="G1067" t="s">
        <v>717</v>
      </c>
      <c r="H1067" t="s">
        <v>718</v>
      </c>
      <c r="I1067" t="s">
        <v>16</v>
      </c>
      <c r="J1067" t="s">
        <v>52</v>
      </c>
      <c r="K1067" t="s">
        <v>35</v>
      </c>
      <c r="L1067" s="6">
        <v>0</v>
      </c>
      <c r="M1067" s="6">
        <v>2400</v>
      </c>
      <c r="N1067" s="6">
        <v>2400</v>
      </c>
      <c r="O1067" s="6">
        <v>14057.95</v>
      </c>
      <c r="P1067" s="7">
        <v>0</v>
      </c>
      <c r="Q1067" s="6">
        <v>0</v>
      </c>
    </row>
    <row r="1068" spans="1:17">
      <c r="A1068">
        <v>1067</v>
      </c>
      <c r="B1068" s="5">
        <v>45776</v>
      </c>
      <c r="C1068" t="s">
        <v>525</v>
      </c>
      <c r="D1068" t="s">
        <v>526</v>
      </c>
      <c r="E1068" t="s">
        <v>527</v>
      </c>
      <c r="F1068">
        <v>9</v>
      </c>
      <c r="G1068" t="s">
        <v>581</v>
      </c>
      <c r="H1068" t="s">
        <v>582</v>
      </c>
      <c r="I1068" t="s">
        <v>16</v>
      </c>
      <c r="J1068" t="s">
        <v>52</v>
      </c>
      <c r="K1068" t="s">
        <v>35</v>
      </c>
      <c r="L1068" s="6">
        <v>0</v>
      </c>
      <c r="M1068" s="6">
        <v>1100</v>
      </c>
      <c r="N1068" s="6">
        <v>1100</v>
      </c>
      <c r="O1068" s="6">
        <v>15157.95</v>
      </c>
      <c r="P1068" s="7">
        <v>0</v>
      </c>
      <c r="Q1068" s="6">
        <v>0</v>
      </c>
    </row>
    <row r="1069" spans="1:17">
      <c r="A1069">
        <v>1068</v>
      </c>
      <c r="B1069" s="5">
        <v>45776</v>
      </c>
      <c r="C1069" t="s">
        <v>525</v>
      </c>
      <c r="D1069" t="s">
        <v>526</v>
      </c>
      <c r="E1069" t="s">
        <v>527</v>
      </c>
      <c r="F1069">
        <v>9</v>
      </c>
      <c r="G1069" t="s">
        <v>659</v>
      </c>
      <c r="H1069" t="s">
        <v>660</v>
      </c>
      <c r="I1069" t="s">
        <v>16</v>
      </c>
      <c r="J1069" t="s">
        <v>52</v>
      </c>
      <c r="K1069" t="s">
        <v>35</v>
      </c>
      <c r="L1069" s="6">
        <v>0</v>
      </c>
      <c r="M1069" s="6">
        <v>100</v>
      </c>
      <c r="N1069" s="6">
        <v>100</v>
      </c>
      <c r="O1069" s="6">
        <v>15257.95</v>
      </c>
      <c r="P1069" s="7">
        <v>0</v>
      </c>
      <c r="Q1069" s="6">
        <v>0</v>
      </c>
    </row>
    <row r="1070" spans="1:17">
      <c r="A1070">
        <v>1069</v>
      </c>
      <c r="B1070" s="5">
        <v>45776</v>
      </c>
      <c r="C1070" t="s">
        <v>525</v>
      </c>
      <c r="D1070" t="s">
        <v>526</v>
      </c>
      <c r="E1070" t="s">
        <v>527</v>
      </c>
      <c r="F1070">
        <v>9</v>
      </c>
      <c r="G1070" t="s">
        <v>771</v>
      </c>
      <c r="H1070" t="s">
        <v>66</v>
      </c>
      <c r="I1070" t="s">
        <v>22</v>
      </c>
      <c r="J1070" t="s">
        <v>67</v>
      </c>
      <c r="K1070" t="s">
        <v>34</v>
      </c>
      <c r="L1070" s="6">
        <v>3000</v>
      </c>
      <c r="M1070" s="6">
        <v>0</v>
      </c>
      <c r="N1070" s="6">
        <v>-3000</v>
      </c>
      <c r="O1070" s="6">
        <v>12257.95</v>
      </c>
      <c r="P1070" s="7">
        <v>0</v>
      </c>
      <c r="Q1070" s="6">
        <v>0</v>
      </c>
    </row>
    <row r="1071" spans="1:17">
      <c r="A1071">
        <v>1070</v>
      </c>
      <c r="B1071" s="5">
        <v>45776</v>
      </c>
      <c r="C1071" t="s">
        <v>525</v>
      </c>
      <c r="D1071" t="s">
        <v>526</v>
      </c>
      <c r="E1071" t="s">
        <v>527</v>
      </c>
      <c r="F1071">
        <v>9</v>
      </c>
      <c r="G1071" t="s">
        <v>589</v>
      </c>
      <c r="H1071" t="s">
        <v>590</v>
      </c>
      <c r="I1071" t="s">
        <v>16</v>
      </c>
      <c r="J1071" t="s">
        <v>52</v>
      </c>
      <c r="K1071" t="s">
        <v>35</v>
      </c>
      <c r="L1071" s="6">
        <v>0</v>
      </c>
      <c r="M1071" s="6">
        <v>200</v>
      </c>
      <c r="N1071" s="6">
        <v>200</v>
      </c>
      <c r="O1071" s="6">
        <v>12457.95</v>
      </c>
      <c r="P1071" s="7">
        <v>0</v>
      </c>
      <c r="Q1071" s="6">
        <v>0</v>
      </c>
    </row>
    <row r="1072" spans="1:17">
      <c r="A1072">
        <v>1071</v>
      </c>
      <c r="B1072" s="5">
        <v>45776</v>
      </c>
      <c r="C1072" t="s">
        <v>525</v>
      </c>
      <c r="D1072" t="s">
        <v>526</v>
      </c>
      <c r="E1072" t="s">
        <v>527</v>
      </c>
      <c r="F1072">
        <v>9</v>
      </c>
      <c r="G1072" t="s">
        <v>506</v>
      </c>
      <c r="H1072" t="s">
        <v>507</v>
      </c>
      <c r="I1072" t="s">
        <v>16</v>
      </c>
      <c r="J1072" t="s">
        <v>52</v>
      </c>
      <c r="K1072" t="s">
        <v>35</v>
      </c>
      <c r="L1072" s="6">
        <v>0</v>
      </c>
      <c r="M1072" s="6">
        <v>300</v>
      </c>
      <c r="N1072" s="6">
        <v>300</v>
      </c>
      <c r="O1072" s="6">
        <v>12757.95</v>
      </c>
      <c r="P1072" s="7">
        <v>0</v>
      </c>
      <c r="Q1072" s="6">
        <v>0</v>
      </c>
    </row>
    <row r="1073" spans="1:17">
      <c r="A1073">
        <v>1072</v>
      </c>
      <c r="B1073" s="5">
        <v>45776</v>
      </c>
      <c r="C1073" t="s">
        <v>525</v>
      </c>
      <c r="D1073" t="s">
        <v>526</v>
      </c>
      <c r="E1073" t="s">
        <v>527</v>
      </c>
      <c r="F1073">
        <v>9</v>
      </c>
      <c r="G1073" t="s">
        <v>689</v>
      </c>
      <c r="H1073" t="s">
        <v>690</v>
      </c>
      <c r="I1073" t="s">
        <v>16</v>
      </c>
      <c r="J1073" t="s">
        <v>52</v>
      </c>
      <c r="K1073" t="s">
        <v>35</v>
      </c>
      <c r="L1073" s="6">
        <v>0</v>
      </c>
      <c r="M1073" s="6">
        <v>500</v>
      </c>
      <c r="N1073" s="6">
        <v>500</v>
      </c>
      <c r="O1073" s="6">
        <v>13257.95</v>
      </c>
      <c r="P1073" s="7">
        <v>0</v>
      </c>
      <c r="Q1073" s="6">
        <v>0</v>
      </c>
    </row>
    <row r="1074" spans="1:17">
      <c r="A1074">
        <v>1073</v>
      </c>
      <c r="B1074" s="5">
        <v>45776</v>
      </c>
      <c r="C1074" t="s">
        <v>525</v>
      </c>
      <c r="D1074" t="s">
        <v>526</v>
      </c>
      <c r="E1074" t="s">
        <v>527</v>
      </c>
      <c r="F1074">
        <v>9</v>
      </c>
      <c r="G1074" t="s">
        <v>190</v>
      </c>
      <c r="H1074" t="s">
        <v>112</v>
      </c>
      <c r="I1074" t="s">
        <v>16</v>
      </c>
      <c r="J1074" t="s">
        <v>52</v>
      </c>
      <c r="K1074" t="s">
        <v>35</v>
      </c>
      <c r="L1074" s="6">
        <v>0</v>
      </c>
      <c r="M1074" s="6">
        <v>25000</v>
      </c>
      <c r="N1074" s="6">
        <v>25000</v>
      </c>
      <c r="O1074" s="6">
        <v>38257.949999999997</v>
      </c>
      <c r="P1074" s="7">
        <v>0</v>
      </c>
      <c r="Q1074" s="6">
        <v>0</v>
      </c>
    </row>
    <row r="1075" spans="1:17">
      <c r="A1075">
        <v>1074</v>
      </c>
      <c r="B1075" s="5">
        <v>45776</v>
      </c>
      <c r="C1075" t="s">
        <v>525</v>
      </c>
      <c r="D1075" t="s">
        <v>526</v>
      </c>
      <c r="E1075" t="s">
        <v>527</v>
      </c>
      <c r="F1075">
        <v>9</v>
      </c>
      <c r="G1075" t="s">
        <v>772</v>
      </c>
      <c r="H1075" t="s">
        <v>773</v>
      </c>
      <c r="I1075" t="s">
        <v>16</v>
      </c>
      <c r="J1075" t="s">
        <v>52</v>
      </c>
      <c r="K1075" t="s">
        <v>35</v>
      </c>
      <c r="L1075" s="6">
        <v>0</v>
      </c>
      <c r="M1075" s="6">
        <v>100</v>
      </c>
      <c r="N1075" s="6">
        <v>100</v>
      </c>
      <c r="O1075" s="6">
        <v>38357.949999999997</v>
      </c>
      <c r="P1075" s="7">
        <v>0</v>
      </c>
      <c r="Q1075" s="6">
        <v>0</v>
      </c>
    </row>
    <row r="1076" spans="1:17">
      <c r="A1076">
        <v>1075</v>
      </c>
      <c r="B1076" s="5">
        <v>45776</v>
      </c>
      <c r="C1076" t="s">
        <v>525</v>
      </c>
      <c r="D1076" t="s">
        <v>526</v>
      </c>
      <c r="E1076" t="s">
        <v>527</v>
      </c>
      <c r="F1076">
        <v>9</v>
      </c>
      <c r="G1076" t="s">
        <v>589</v>
      </c>
      <c r="H1076" t="s">
        <v>590</v>
      </c>
      <c r="I1076" t="s">
        <v>16</v>
      </c>
      <c r="J1076" t="s">
        <v>52</v>
      </c>
      <c r="K1076" t="s">
        <v>35</v>
      </c>
      <c r="L1076" s="6">
        <v>0</v>
      </c>
      <c r="M1076" s="6">
        <v>500</v>
      </c>
      <c r="N1076" s="6">
        <v>500</v>
      </c>
      <c r="O1076" s="6">
        <v>38857.949999999997</v>
      </c>
      <c r="P1076" s="7">
        <v>0</v>
      </c>
      <c r="Q1076" s="6">
        <v>0</v>
      </c>
    </row>
    <row r="1077" spans="1:17">
      <c r="A1077">
        <v>1076</v>
      </c>
      <c r="B1077" s="5">
        <v>45776</v>
      </c>
      <c r="C1077" t="s">
        <v>525</v>
      </c>
      <c r="D1077" t="s">
        <v>526</v>
      </c>
      <c r="E1077" t="s">
        <v>527</v>
      </c>
      <c r="F1077">
        <v>9</v>
      </c>
      <c r="G1077" t="s">
        <v>506</v>
      </c>
      <c r="H1077" t="s">
        <v>507</v>
      </c>
      <c r="I1077" t="s">
        <v>16</v>
      </c>
      <c r="J1077" t="s">
        <v>52</v>
      </c>
      <c r="K1077" t="s">
        <v>35</v>
      </c>
      <c r="L1077" s="6">
        <v>0</v>
      </c>
      <c r="M1077" s="6">
        <v>250</v>
      </c>
      <c r="N1077" s="6">
        <v>250</v>
      </c>
      <c r="O1077" s="6">
        <v>39107.949999999997</v>
      </c>
      <c r="P1077" s="7">
        <v>0</v>
      </c>
      <c r="Q1077" s="6">
        <v>0</v>
      </c>
    </row>
    <row r="1078" spans="1:17">
      <c r="A1078">
        <v>1077</v>
      </c>
      <c r="B1078" s="5">
        <v>45776</v>
      </c>
      <c r="C1078" t="s">
        <v>525</v>
      </c>
      <c r="D1078" t="s">
        <v>526</v>
      </c>
      <c r="E1078" t="s">
        <v>527</v>
      </c>
      <c r="F1078">
        <v>9</v>
      </c>
      <c r="G1078" t="s">
        <v>774</v>
      </c>
      <c r="H1078" t="s">
        <v>66</v>
      </c>
      <c r="I1078" t="s">
        <v>22</v>
      </c>
      <c r="J1078" t="s">
        <v>67</v>
      </c>
      <c r="K1078" t="s">
        <v>34</v>
      </c>
      <c r="L1078" s="6">
        <v>2980.98</v>
      </c>
      <c r="M1078" s="6">
        <v>0</v>
      </c>
      <c r="N1078" s="6">
        <v>-2980.98</v>
      </c>
      <c r="O1078" s="6">
        <v>36126.97</v>
      </c>
      <c r="P1078" s="7">
        <v>0</v>
      </c>
      <c r="Q1078" s="6">
        <v>0</v>
      </c>
    </row>
    <row r="1079" spans="1:17">
      <c r="A1079">
        <v>1078</v>
      </c>
      <c r="B1079" s="5">
        <v>45776</v>
      </c>
      <c r="C1079" t="s">
        <v>525</v>
      </c>
      <c r="D1079" t="s">
        <v>526</v>
      </c>
      <c r="E1079" t="s">
        <v>527</v>
      </c>
      <c r="F1079">
        <v>9</v>
      </c>
      <c r="G1079" t="s">
        <v>775</v>
      </c>
      <c r="H1079" t="s">
        <v>66</v>
      </c>
      <c r="I1079" t="s">
        <v>22</v>
      </c>
      <c r="J1079" t="s">
        <v>67</v>
      </c>
      <c r="K1079" t="s">
        <v>34</v>
      </c>
      <c r="L1079" s="6">
        <v>3071</v>
      </c>
      <c r="M1079" s="6">
        <v>0</v>
      </c>
      <c r="N1079" s="6">
        <v>-3071</v>
      </c>
      <c r="O1079" s="6">
        <v>33055.97</v>
      </c>
      <c r="P1079" s="7">
        <v>0</v>
      </c>
      <c r="Q1079" s="6">
        <v>0</v>
      </c>
    </row>
    <row r="1080" spans="1:17">
      <c r="A1080">
        <v>1079</v>
      </c>
      <c r="B1080" s="5">
        <v>45776</v>
      </c>
      <c r="C1080" t="s">
        <v>525</v>
      </c>
      <c r="D1080" t="s">
        <v>526</v>
      </c>
      <c r="E1080" t="s">
        <v>527</v>
      </c>
      <c r="F1080">
        <v>9</v>
      </c>
      <c r="G1080" t="s">
        <v>776</v>
      </c>
      <c r="H1080" t="s">
        <v>66</v>
      </c>
      <c r="I1080" t="s">
        <v>22</v>
      </c>
      <c r="J1080" t="s">
        <v>67</v>
      </c>
      <c r="K1080" t="s">
        <v>34</v>
      </c>
      <c r="L1080" s="6">
        <v>1395</v>
      </c>
      <c r="M1080" s="6">
        <v>0</v>
      </c>
      <c r="N1080" s="6">
        <v>-1395</v>
      </c>
      <c r="O1080" s="6">
        <v>31660.97</v>
      </c>
      <c r="P1080" s="7">
        <v>0</v>
      </c>
      <c r="Q1080" s="6">
        <v>0</v>
      </c>
    </row>
    <row r="1081" spans="1:17">
      <c r="A1081">
        <v>1080</v>
      </c>
      <c r="B1081" s="5">
        <v>45776</v>
      </c>
      <c r="C1081" t="s">
        <v>525</v>
      </c>
      <c r="D1081" t="s">
        <v>526</v>
      </c>
      <c r="E1081" t="s">
        <v>527</v>
      </c>
      <c r="F1081">
        <v>9</v>
      </c>
      <c r="G1081" t="s">
        <v>212</v>
      </c>
      <c r="H1081" t="s">
        <v>213</v>
      </c>
      <c r="I1081" t="s">
        <v>16</v>
      </c>
      <c r="J1081" t="s">
        <v>52</v>
      </c>
      <c r="K1081" t="s">
        <v>35</v>
      </c>
      <c r="L1081" s="6">
        <v>0</v>
      </c>
      <c r="M1081" s="6">
        <v>1000</v>
      </c>
      <c r="N1081" s="6">
        <v>1000</v>
      </c>
      <c r="O1081" s="6">
        <v>32660.97</v>
      </c>
      <c r="P1081" s="7">
        <v>0</v>
      </c>
      <c r="Q1081" s="6">
        <v>0</v>
      </c>
    </row>
    <row r="1082" spans="1:17">
      <c r="A1082">
        <v>1081</v>
      </c>
      <c r="B1082" s="5">
        <v>45776</v>
      </c>
      <c r="C1082" t="s">
        <v>525</v>
      </c>
      <c r="D1082" t="s">
        <v>526</v>
      </c>
      <c r="E1082" t="s">
        <v>527</v>
      </c>
      <c r="F1082">
        <v>9</v>
      </c>
      <c r="G1082" t="s">
        <v>589</v>
      </c>
      <c r="H1082" t="s">
        <v>590</v>
      </c>
      <c r="I1082" t="s">
        <v>16</v>
      </c>
      <c r="J1082" t="s">
        <v>52</v>
      </c>
      <c r="K1082" t="s">
        <v>35</v>
      </c>
      <c r="L1082" s="6">
        <v>0</v>
      </c>
      <c r="M1082" s="6">
        <v>500</v>
      </c>
      <c r="N1082" s="6">
        <v>500</v>
      </c>
      <c r="O1082" s="6">
        <v>33160.97</v>
      </c>
      <c r="P1082" s="7">
        <v>0</v>
      </c>
      <c r="Q1082" s="6">
        <v>0</v>
      </c>
    </row>
    <row r="1083" spans="1:17">
      <c r="A1083">
        <v>1082</v>
      </c>
      <c r="B1083" s="5">
        <v>45777</v>
      </c>
      <c r="C1083" t="s">
        <v>525</v>
      </c>
      <c r="D1083" t="s">
        <v>526</v>
      </c>
      <c r="E1083" t="s">
        <v>527</v>
      </c>
      <c r="F1083">
        <v>9</v>
      </c>
      <c r="G1083" t="s">
        <v>440</v>
      </c>
      <c r="H1083" t="s">
        <v>441</v>
      </c>
      <c r="I1083" t="s">
        <v>16</v>
      </c>
      <c r="J1083" t="s">
        <v>52</v>
      </c>
      <c r="K1083" t="s">
        <v>35</v>
      </c>
      <c r="L1083" s="6">
        <v>0</v>
      </c>
      <c r="M1083" s="6">
        <v>3000</v>
      </c>
      <c r="N1083" s="6">
        <v>3000</v>
      </c>
      <c r="O1083" s="6">
        <v>36160.97</v>
      </c>
      <c r="P1083" s="7">
        <v>0</v>
      </c>
      <c r="Q1083" s="6">
        <v>0</v>
      </c>
    </row>
    <row r="1084" spans="1:17">
      <c r="A1084">
        <v>1083</v>
      </c>
      <c r="B1084" s="5">
        <v>45777</v>
      </c>
      <c r="C1084" t="s">
        <v>525</v>
      </c>
      <c r="D1084" t="s">
        <v>526</v>
      </c>
      <c r="E1084" t="s">
        <v>527</v>
      </c>
      <c r="F1084">
        <v>9</v>
      </c>
      <c r="G1084" t="s">
        <v>212</v>
      </c>
      <c r="H1084" t="s">
        <v>213</v>
      </c>
      <c r="I1084" t="s">
        <v>16</v>
      </c>
      <c r="J1084" t="s">
        <v>52</v>
      </c>
      <c r="K1084" t="s">
        <v>35</v>
      </c>
      <c r="L1084" s="6">
        <v>0</v>
      </c>
      <c r="M1084" s="6">
        <v>1000</v>
      </c>
      <c r="N1084" s="6">
        <v>1000</v>
      </c>
      <c r="O1084" s="6">
        <v>37160.97</v>
      </c>
      <c r="P1084" s="7">
        <v>0</v>
      </c>
      <c r="Q1084" s="6">
        <v>0</v>
      </c>
    </row>
    <row r="1085" spans="1:17">
      <c r="A1085">
        <v>1084</v>
      </c>
      <c r="B1085" s="5">
        <v>45777</v>
      </c>
      <c r="C1085" t="s">
        <v>525</v>
      </c>
      <c r="D1085" t="s">
        <v>526</v>
      </c>
      <c r="E1085" t="s">
        <v>527</v>
      </c>
      <c r="F1085">
        <v>9</v>
      </c>
      <c r="G1085" t="s">
        <v>777</v>
      </c>
      <c r="H1085" t="s">
        <v>778</v>
      </c>
      <c r="I1085" t="s">
        <v>16</v>
      </c>
      <c r="J1085" t="s">
        <v>52</v>
      </c>
      <c r="K1085" t="s">
        <v>35</v>
      </c>
      <c r="L1085" s="6">
        <v>0</v>
      </c>
      <c r="M1085" s="6">
        <v>200</v>
      </c>
      <c r="N1085" s="6">
        <v>200</v>
      </c>
      <c r="O1085" s="6">
        <v>37360.97</v>
      </c>
      <c r="P1085" s="7">
        <v>0</v>
      </c>
      <c r="Q1085" s="6">
        <v>0</v>
      </c>
    </row>
    <row r="1086" spans="1:17">
      <c r="A1086">
        <v>1085</v>
      </c>
      <c r="B1086" s="5">
        <v>45777</v>
      </c>
      <c r="C1086" t="s">
        <v>525</v>
      </c>
      <c r="D1086" t="s">
        <v>526</v>
      </c>
      <c r="E1086" t="s">
        <v>527</v>
      </c>
      <c r="F1086">
        <v>9</v>
      </c>
      <c r="G1086" t="s">
        <v>506</v>
      </c>
      <c r="H1086" t="s">
        <v>507</v>
      </c>
      <c r="I1086" t="s">
        <v>16</v>
      </c>
      <c r="J1086" t="s">
        <v>52</v>
      </c>
      <c r="K1086" t="s">
        <v>35</v>
      </c>
      <c r="L1086" s="6">
        <v>0</v>
      </c>
      <c r="M1086" s="6">
        <v>250</v>
      </c>
      <c r="N1086" s="6">
        <v>250</v>
      </c>
      <c r="O1086" s="6">
        <v>37610.97</v>
      </c>
      <c r="P1086" s="7">
        <v>0</v>
      </c>
      <c r="Q1086" s="6">
        <v>0</v>
      </c>
    </row>
    <row r="1087" spans="1:17">
      <c r="A1087">
        <v>1086</v>
      </c>
      <c r="B1087" s="5">
        <v>45777</v>
      </c>
      <c r="C1087" t="s">
        <v>525</v>
      </c>
      <c r="D1087" t="s">
        <v>526</v>
      </c>
      <c r="E1087" t="s">
        <v>527</v>
      </c>
      <c r="F1087">
        <v>9</v>
      </c>
      <c r="G1087" t="s">
        <v>581</v>
      </c>
      <c r="H1087" t="s">
        <v>582</v>
      </c>
      <c r="I1087" t="s">
        <v>16</v>
      </c>
      <c r="J1087" t="s">
        <v>52</v>
      </c>
      <c r="K1087" t="s">
        <v>35</v>
      </c>
      <c r="L1087" s="6">
        <v>0</v>
      </c>
      <c r="M1087" s="6">
        <v>1295</v>
      </c>
      <c r="N1087" s="6">
        <v>1295</v>
      </c>
      <c r="O1087" s="6">
        <v>38905.97</v>
      </c>
      <c r="P1087" s="7">
        <v>0</v>
      </c>
      <c r="Q1087" s="6">
        <v>0</v>
      </c>
    </row>
    <row r="1088" spans="1:17">
      <c r="A1088">
        <v>1087</v>
      </c>
      <c r="B1088" s="5">
        <v>45777</v>
      </c>
      <c r="C1088" t="s">
        <v>525</v>
      </c>
      <c r="D1088" t="s">
        <v>526</v>
      </c>
      <c r="E1088" t="s">
        <v>527</v>
      </c>
      <c r="F1088">
        <v>9</v>
      </c>
      <c r="G1088" t="s">
        <v>777</v>
      </c>
      <c r="H1088" t="s">
        <v>778</v>
      </c>
      <c r="I1088" t="s">
        <v>16</v>
      </c>
      <c r="J1088" t="s">
        <v>52</v>
      </c>
      <c r="K1088" t="s">
        <v>35</v>
      </c>
      <c r="L1088" s="6">
        <v>0</v>
      </c>
      <c r="M1088" s="6">
        <v>150</v>
      </c>
      <c r="N1088" s="6">
        <v>150</v>
      </c>
      <c r="O1088" s="6">
        <v>39055.97</v>
      </c>
      <c r="P1088" s="7">
        <v>0</v>
      </c>
      <c r="Q1088" s="6">
        <v>0</v>
      </c>
    </row>
    <row r="1089" spans="1:17">
      <c r="A1089">
        <v>1088</v>
      </c>
      <c r="B1089" s="5">
        <v>45777</v>
      </c>
      <c r="C1089" t="s">
        <v>525</v>
      </c>
      <c r="D1089" t="s">
        <v>526</v>
      </c>
      <c r="E1089" t="s">
        <v>527</v>
      </c>
      <c r="F1089">
        <v>9</v>
      </c>
      <c r="G1089" t="s">
        <v>440</v>
      </c>
      <c r="H1089" t="s">
        <v>441</v>
      </c>
      <c r="I1089" t="s">
        <v>16</v>
      </c>
      <c r="J1089" t="s">
        <v>52</v>
      </c>
      <c r="K1089" t="s">
        <v>35</v>
      </c>
      <c r="L1089" s="6">
        <v>0</v>
      </c>
      <c r="M1089" s="6">
        <v>5000</v>
      </c>
      <c r="N1089" s="6">
        <v>5000</v>
      </c>
      <c r="O1089" s="6">
        <v>44055.97</v>
      </c>
      <c r="P1089" s="7">
        <v>0</v>
      </c>
      <c r="Q1089" s="6">
        <v>0</v>
      </c>
    </row>
    <row r="1090" spans="1:17">
      <c r="A1090">
        <v>1089</v>
      </c>
      <c r="B1090" s="5">
        <v>45777</v>
      </c>
      <c r="C1090" t="s">
        <v>525</v>
      </c>
      <c r="D1090" t="s">
        <v>526</v>
      </c>
      <c r="E1090" t="s">
        <v>527</v>
      </c>
      <c r="F1090">
        <v>9</v>
      </c>
      <c r="G1090" t="s">
        <v>440</v>
      </c>
      <c r="H1090" t="s">
        <v>441</v>
      </c>
      <c r="I1090" t="s">
        <v>16</v>
      </c>
      <c r="J1090" t="s">
        <v>52</v>
      </c>
      <c r="K1090" t="s">
        <v>35</v>
      </c>
      <c r="L1090" s="6">
        <v>0</v>
      </c>
      <c r="M1090" s="6">
        <v>15000</v>
      </c>
      <c r="N1090" s="6">
        <v>15000</v>
      </c>
      <c r="O1090" s="6">
        <v>59055.97</v>
      </c>
      <c r="P1090" s="7">
        <v>0</v>
      </c>
      <c r="Q1090" s="6">
        <v>0</v>
      </c>
    </row>
    <row r="1091" spans="1:17">
      <c r="A1091">
        <v>1090</v>
      </c>
      <c r="B1091" s="5">
        <v>45777</v>
      </c>
      <c r="C1091" t="s">
        <v>525</v>
      </c>
      <c r="D1091" t="s">
        <v>526</v>
      </c>
      <c r="E1091" t="s">
        <v>527</v>
      </c>
      <c r="F1091">
        <v>9</v>
      </c>
      <c r="G1091" t="s">
        <v>508</v>
      </c>
      <c r="H1091" t="s">
        <v>509</v>
      </c>
      <c r="I1091" t="s">
        <v>16</v>
      </c>
      <c r="J1091" t="s">
        <v>52</v>
      </c>
      <c r="K1091" t="s">
        <v>35</v>
      </c>
      <c r="L1091" s="6">
        <v>0</v>
      </c>
      <c r="M1091" s="6">
        <v>1000</v>
      </c>
      <c r="N1091" s="6">
        <v>1000</v>
      </c>
      <c r="O1091" s="6">
        <v>60055.97</v>
      </c>
      <c r="P1091" s="7">
        <v>0</v>
      </c>
      <c r="Q1091" s="6">
        <v>0</v>
      </c>
    </row>
    <row r="1092" spans="1:17">
      <c r="A1092">
        <v>1091</v>
      </c>
      <c r="B1092" s="5">
        <v>45777</v>
      </c>
      <c r="C1092" t="s">
        <v>525</v>
      </c>
      <c r="D1092" t="s">
        <v>526</v>
      </c>
      <c r="E1092" t="s">
        <v>527</v>
      </c>
      <c r="F1092">
        <v>9</v>
      </c>
      <c r="G1092" t="s">
        <v>779</v>
      </c>
      <c r="H1092" t="s">
        <v>66</v>
      </c>
      <c r="I1092" t="s">
        <v>22</v>
      </c>
      <c r="J1092" t="s">
        <v>67</v>
      </c>
      <c r="K1092" t="s">
        <v>34</v>
      </c>
      <c r="L1092" s="6">
        <v>972</v>
      </c>
      <c r="M1092" s="6">
        <v>0</v>
      </c>
      <c r="N1092" s="6">
        <v>-972</v>
      </c>
      <c r="O1092" s="6">
        <v>59083.97</v>
      </c>
      <c r="P1092" s="7">
        <v>0</v>
      </c>
      <c r="Q1092" s="6">
        <v>0</v>
      </c>
    </row>
    <row r="1093" spans="1:17">
      <c r="A1093">
        <v>1092</v>
      </c>
      <c r="B1093" s="5">
        <v>45777</v>
      </c>
      <c r="C1093" t="s">
        <v>525</v>
      </c>
      <c r="D1093" t="s">
        <v>526</v>
      </c>
      <c r="E1093" t="s">
        <v>527</v>
      </c>
      <c r="F1093">
        <v>9</v>
      </c>
      <c r="G1093" t="s">
        <v>689</v>
      </c>
      <c r="H1093" t="s">
        <v>690</v>
      </c>
      <c r="I1093" t="s">
        <v>16</v>
      </c>
      <c r="J1093" t="s">
        <v>52</v>
      </c>
      <c r="K1093" t="s">
        <v>35</v>
      </c>
      <c r="L1093" s="6">
        <v>0</v>
      </c>
      <c r="M1093" s="6">
        <v>500</v>
      </c>
      <c r="N1093" s="6">
        <v>500</v>
      </c>
      <c r="O1093" s="6">
        <v>59583.97</v>
      </c>
      <c r="P1093" s="7">
        <v>0</v>
      </c>
      <c r="Q1093" s="6">
        <v>0</v>
      </c>
    </row>
    <row r="1094" spans="1:17">
      <c r="A1094">
        <v>1093</v>
      </c>
      <c r="B1094" s="5">
        <v>45777</v>
      </c>
      <c r="C1094" t="s">
        <v>525</v>
      </c>
      <c r="D1094" t="s">
        <v>526</v>
      </c>
      <c r="E1094" t="s">
        <v>527</v>
      </c>
      <c r="F1094">
        <v>9</v>
      </c>
      <c r="G1094" t="s">
        <v>506</v>
      </c>
      <c r="H1094" t="s">
        <v>507</v>
      </c>
      <c r="I1094" t="s">
        <v>16</v>
      </c>
      <c r="J1094" t="s">
        <v>52</v>
      </c>
      <c r="K1094" t="s">
        <v>35</v>
      </c>
      <c r="L1094" s="6">
        <v>0</v>
      </c>
      <c r="M1094" s="6">
        <v>250</v>
      </c>
      <c r="N1094" s="6">
        <v>250</v>
      </c>
      <c r="O1094" s="6">
        <v>59833.97</v>
      </c>
      <c r="P1094" s="7">
        <v>0</v>
      </c>
      <c r="Q1094" s="6">
        <v>0</v>
      </c>
    </row>
    <row r="1095" spans="1:17">
      <c r="A1095">
        <v>1094</v>
      </c>
      <c r="B1095" s="5">
        <v>45777</v>
      </c>
      <c r="C1095" t="s">
        <v>525</v>
      </c>
      <c r="D1095" t="s">
        <v>526</v>
      </c>
      <c r="E1095" t="s">
        <v>527</v>
      </c>
      <c r="F1095">
        <v>9</v>
      </c>
      <c r="G1095" t="s">
        <v>780</v>
      </c>
      <c r="H1095" t="s">
        <v>781</v>
      </c>
      <c r="I1095" t="s">
        <v>16</v>
      </c>
      <c r="J1095" t="s">
        <v>52</v>
      </c>
      <c r="K1095" t="s">
        <v>35</v>
      </c>
      <c r="L1095" s="6">
        <v>0</v>
      </c>
      <c r="M1095" s="6">
        <v>1000</v>
      </c>
      <c r="N1095" s="6">
        <v>1000</v>
      </c>
      <c r="O1095" s="6">
        <v>60833.97</v>
      </c>
      <c r="P1095" s="7">
        <v>0</v>
      </c>
      <c r="Q1095" s="6">
        <v>0</v>
      </c>
    </row>
    <row r="1096" spans="1:17">
      <c r="A1096">
        <v>1095</v>
      </c>
      <c r="B1096" s="5">
        <v>45777</v>
      </c>
      <c r="C1096" t="s">
        <v>525</v>
      </c>
      <c r="D1096" t="s">
        <v>526</v>
      </c>
      <c r="E1096" t="s">
        <v>527</v>
      </c>
      <c r="F1096">
        <v>9</v>
      </c>
      <c r="G1096" t="s">
        <v>780</v>
      </c>
      <c r="H1096" t="s">
        <v>781</v>
      </c>
      <c r="I1096" t="s">
        <v>16</v>
      </c>
      <c r="J1096" t="s">
        <v>52</v>
      </c>
      <c r="K1096" t="s">
        <v>35</v>
      </c>
      <c r="L1096" s="6">
        <v>0</v>
      </c>
      <c r="M1096" s="6">
        <v>1000</v>
      </c>
      <c r="N1096" s="6">
        <v>1000</v>
      </c>
      <c r="O1096" s="6">
        <v>61833.97</v>
      </c>
      <c r="P1096" s="7">
        <v>0</v>
      </c>
      <c r="Q1096" s="6">
        <v>0</v>
      </c>
    </row>
    <row r="1097" spans="1:17">
      <c r="A1097">
        <v>1096</v>
      </c>
      <c r="B1097" s="5">
        <v>45777</v>
      </c>
      <c r="C1097" t="s">
        <v>525</v>
      </c>
      <c r="D1097" t="s">
        <v>526</v>
      </c>
      <c r="E1097" t="s">
        <v>527</v>
      </c>
      <c r="F1097">
        <v>9</v>
      </c>
      <c r="G1097" t="s">
        <v>780</v>
      </c>
      <c r="H1097" t="s">
        <v>781</v>
      </c>
      <c r="I1097" t="s">
        <v>16</v>
      </c>
      <c r="J1097" t="s">
        <v>52</v>
      </c>
      <c r="K1097" t="s">
        <v>35</v>
      </c>
      <c r="L1097" s="6">
        <v>0</v>
      </c>
      <c r="M1097" s="6">
        <v>1000</v>
      </c>
      <c r="N1097" s="6">
        <v>1000</v>
      </c>
      <c r="O1097" s="6">
        <v>62833.97</v>
      </c>
      <c r="P1097" s="7">
        <v>0</v>
      </c>
      <c r="Q1097" s="6">
        <v>0</v>
      </c>
    </row>
    <row r="1098" spans="1:17">
      <c r="A1098">
        <v>1097</v>
      </c>
      <c r="B1098" s="5">
        <v>45777</v>
      </c>
      <c r="C1098" t="s">
        <v>525</v>
      </c>
      <c r="D1098" t="s">
        <v>526</v>
      </c>
      <c r="E1098" t="s">
        <v>527</v>
      </c>
      <c r="F1098">
        <v>9</v>
      </c>
      <c r="G1098" t="s">
        <v>659</v>
      </c>
      <c r="H1098" t="s">
        <v>660</v>
      </c>
      <c r="I1098" t="s">
        <v>16</v>
      </c>
      <c r="J1098" t="s">
        <v>52</v>
      </c>
      <c r="K1098" t="s">
        <v>35</v>
      </c>
      <c r="L1098" s="6">
        <v>0</v>
      </c>
      <c r="M1098" s="6">
        <v>100</v>
      </c>
      <c r="N1098" s="6">
        <v>100</v>
      </c>
      <c r="O1098" s="6">
        <v>62933.97</v>
      </c>
      <c r="P1098" s="7">
        <v>0</v>
      </c>
      <c r="Q1098" s="6">
        <v>0</v>
      </c>
    </row>
    <row r="1099" spans="1:17">
      <c r="A1099">
        <v>1098</v>
      </c>
      <c r="B1099" s="5">
        <v>45777</v>
      </c>
      <c r="C1099" t="s">
        <v>525</v>
      </c>
      <c r="D1099" t="s">
        <v>526</v>
      </c>
      <c r="E1099" t="s">
        <v>527</v>
      </c>
      <c r="F1099">
        <v>10</v>
      </c>
      <c r="G1099" t="s">
        <v>782</v>
      </c>
      <c r="H1099" t="s">
        <v>783</v>
      </c>
      <c r="I1099" t="s">
        <v>16</v>
      </c>
      <c r="J1099" t="s">
        <v>52</v>
      </c>
      <c r="K1099" t="s">
        <v>35</v>
      </c>
      <c r="L1099" s="6">
        <v>0</v>
      </c>
      <c r="M1099" s="6">
        <v>1021</v>
      </c>
      <c r="N1099" s="6">
        <v>1021</v>
      </c>
      <c r="O1099" s="6">
        <v>63954.97</v>
      </c>
      <c r="P1099" s="7">
        <v>0</v>
      </c>
      <c r="Q1099" s="6">
        <v>0</v>
      </c>
    </row>
    <row r="1100" spans="1:17">
      <c r="A1100">
        <v>1099</v>
      </c>
      <c r="B1100" s="5">
        <v>45777</v>
      </c>
      <c r="C1100" t="s">
        <v>525</v>
      </c>
      <c r="D1100" t="s">
        <v>526</v>
      </c>
      <c r="E1100" t="s">
        <v>527</v>
      </c>
      <c r="F1100">
        <v>10</v>
      </c>
      <c r="G1100" t="s">
        <v>784</v>
      </c>
      <c r="H1100" t="s">
        <v>785</v>
      </c>
      <c r="I1100" t="s">
        <v>16</v>
      </c>
      <c r="J1100" t="s">
        <v>52</v>
      </c>
      <c r="K1100" t="s">
        <v>35</v>
      </c>
      <c r="L1100" s="6">
        <v>0</v>
      </c>
      <c r="M1100" s="6">
        <v>100</v>
      </c>
      <c r="N1100" s="6">
        <v>100</v>
      </c>
      <c r="O1100" s="6">
        <v>64054.97</v>
      </c>
      <c r="P1100" s="7">
        <v>0</v>
      </c>
      <c r="Q1100" s="6">
        <v>0</v>
      </c>
    </row>
    <row r="1101" spans="1:17">
      <c r="A1101">
        <v>1100</v>
      </c>
      <c r="B1101" s="5">
        <v>45777</v>
      </c>
      <c r="C1101" t="s">
        <v>525</v>
      </c>
      <c r="D1101" t="s">
        <v>526</v>
      </c>
      <c r="E1101" t="s">
        <v>527</v>
      </c>
      <c r="F1101">
        <v>10</v>
      </c>
      <c r="G1101" t="s">
        <v>212</v>
      </c>
      <c r="H1101" t="s">
        <v>213</v>
      </c>
      <c r="I1101" t="s">
        <v>16</v>
      </c>
      <c r="J1101" t="s">
        <v>52</v>
      </c>
      <c r="K1101" t="s">
        <v>35</v>
      </c>
      <c r="L1101" s="6">
        <v>0</v>
      </c>
      <c r="M1101" s="6">
        <v>700</v>
      </c>
      <c r="N1101" s="6">
        <v>700</v>
      </c>
      <c r="O1101" s="6">
        <v>64754.97</v>
      </c>
      <c r="P1101" s="7">
        <v>0</v>
      </c>
      <c r="Q1101" s="6">
        <v>0</v>
      </c>
    </row>
    <row r="1102" spans="1:17">
      <c r="A1102">
        <v>1101</v>
      </c>
      <c r="B1102" s="5">
        <v>45777</v>
      </c>
      <c r="C1102" t="s">
        <v>525</v>
      </c>
      <c r="D1102" t="s">
        <v>526</v>
      </c>
      <c r="E1102" t="s">
        <v>527</v>
      </c>
      <c r="F1102">
        <v>10</v>
      </c>
      <c r="G1102" t="s">
        <v>786</v>
      </c>
      <c r="H1102" t="s">
        <v>66</v>
      </c>
      <c r="I1102" t="s">
        <v>22</v>
      </c>
      <c r="J1102" t="s">
        <v>67</v>
      </c>
      <c r="K1102" t="s">
        <v>34</v>
      </c>
      <c r="L1102" s="6">
        <v>87.28</v>
      </c>
      <c r="M1102" s="6">
        <v>0</v>
      </c>
      <c r="N1102" s="6">
        <v>-87.28</v>
      </c>
      <c r="O1102" s="6">
        <v>64667.69</v>
      </c>
      <c r="P1102" s="7">
        <v>0</v>
      </c>
      <c r="Q1102" s="6">
        <v>0</v>
      </c>
    </row>
    <row r="1103" spans="1:17">
      <c r="A1103">
        <v>1102</v>
      </c>
      <c r="B1103" s="5">
        <v>45777</v>
      </c>
      <c r="C1103" t="s">
        <v>525</v>
      </c>
      <c r="D1103" t="s">
        <v>526</v>
      </c>
      <c r="E1103" t="s">
        <v>527</v>
      </c>
      <c r="F1103">
        <v>10</v>
      </c>
      <c r="G1103" t="s">
        <v>787</v>
      </c>
      <c r="H1103" t="s">
        <v>66</v>
      </c>
      <c r="I1103" t="s">
        <v>22</v>
      </c>
      <c r="J1103" t="s">
        <v>67</v>
      </c>
      <c r="K1103" t="s">
        <v>34</v>
      </c>
      <c r="L1103" s="6">
        <v>1100</v>
      </c>
      <c r="M1103" s="6">
        <v>0</v>
      </c>
      <c r="N1103" s="6">
        <v>-1100</v>
      </c>
      <c r="O1103" s="6">
        <v>63567.69</v>
      </c>
      <c r="P1103" s="7">
        <v>0</v>
      </c>
      <c r="Q1103" s="6">
        <v>0</v>
      </c>
    </row>
    <row r="1104" spans="1:17">
      <c r="A1104">
        <v>1103</v>
      </c>
      <c r="B1104" s="5">
        <v>45777</v>
      </c>
      <c r="C1104" t="s">
        <v>525</v>
      </c>
      <c r="D1104" t="s">
        <v>526</v>
      </c>
      <c r="E1104" t="s">
        <v>527</v>
      </c>
      <c r="F1104">
        <v>10</v>
      </c>
      <c r="G1104" t="s">
        <v>788</v>
      </c>
      <c r="H1104" t="s">
        <v>66</v>
      </c>
      <c r="I1104" t="s">
        <v>22</v>
      </c>
      <c r="J1104" t="s">
        <v>67</v>
      </c>
      <c r="K1104" t="s">
        <v>34</v>
      </c>
      <c r="L1104" s="6">
        <v>1462.29</v>
      </c>
      <c r="M1104" s="6">
        <v>0</v>
      </c>
      <c r="N1104" s="6">
        <v>-1462.29</v>
      </c>
      <c r="O1104" s="6">
        <v>62105.4</v>
      </c>
      <c r="P1104" s="7">
        <v>0</v>
      </c>
      <c r="Q1104" s="6">
        <v>0</v>
      </c>
    </row>
    <row r="1105" spans="1:17">
      <c r="A1105">
        <v>1104</v>
      </c>
      <c r="B1105" s="5">
        <v>45777</v>
      </c>
      <c r="C1105" t="s">
        <v>525</v>
      </c>
      <c r="D1105" t="s">
        <v>526</v>
      </c>
      <c r="E1105" t="s">
        <v>527</v>
      </c>
      <c r="F1105">
        <v>10</v>
      </c>
      <c r="G1105" t="s">
        <v>789</v>
      </c>
      <c r="H1105" t="s">
        <v>66</v>
      </c>
      <c r="I1105" t="s">
        <v>22</v>
      </c>
      <c r="J1105" t="s">
        <v>67</v>
      </c>
      <c r="K1105" t="s">
        <v>34</v>
      </c>
      <c r="L1105" s="6">
        <v>5150</v>
      </c>
      <c r="M1105" s="6">
        <v>0</v>
      </c>
      <c r="N1105" s="6">
        <v>-5150</v>
      </c>
      <c r="O1105" s="6">
        <v>56955.4</v>
      </c>
      <c r="P1105" s="7">
        <v>0</v>
      </c>
      <c r="Q1105" s="6">
        <v>0</v>
      </c>
    </row>
    <row r="1106" spans="1:17">
      <c r="A1106">
        <v>1105</v>
      </c>
      <c r="B1106" s="5">
        <v>45777</v>
      </c>
      <c r="C1106" t="s">
        <v>525</v>
      </c>
      <c r="D1106" t="s">
        <v>526</v>
      </c>
      <c r="E1106" t="s">
        <v>527</v>
      </c>
      <c r="F1106">
        <v>10</v>
      </c>
      <c r="G1106" t="s">
        <v>790</v>
      </c>
      <c r="H1106" t="s">
        <v>66</v>
      </c>
      <c r="I1106" t="s">
        <v>22</v>
      </c>
      <c r="J1106" t="s">
        <v>67</v>
      </c>
      <c r="K1106" t="s">
        <v>34</v>
      </c>
      <c r="L1106" s="6">
        <v>13041.81</v>
      </c>
      <c r="M1106" s="6">
        <v>0</v>
      </c>
      <c r="N1106" s="6">
        <v>-13041.81</v>
      </c>
      <c r="O1106" s="6">
        <v>43913.59</v>
      </c>
      <c r="P1106" s="7">
        <v>0</v>
      </c>
      <c r="Q1106" s="6">
        <v>0</v>
      </c>
    </row>
    <row r="1107" spans="1:17">
      <c r="A1107">
        <v>1106</v>
      </c>
      <c r="B1107" s="5">
        <v>45777</v>
      </c>
      <c r="C1107" t="s">
        <v>525</v>
      </c>
      <c r="D1107" t="s">
        <v>526</v>
      </c>
      <c r="E1107" t="s">
        <v>527</v>
      </c>
      <c r="F1107">
        <v>10</v>
      </c>
      <c r="G1107" t="s">
        <v>346</v>
      </c>
      <c r="I1107" t="s">
        <v>14</v>
      </c>
      <c r="J1107" t="s">
        <v>46</v>
      </c>
      <c r="K1107" t="s">
        <v>34</v>
      </c>
      <c r="L1107" s="6">
        <v>89</v>
      </c>
      <c r="M1107" s="6">
        <v>0</v>
      </c>
      <c r="N1107" s="6">
        <v>-89</v>
      </c>
      <c r="O1107" s="6">
        <v>43824.59</v>
      </c>
      <c r="P1107" s="7">
        <v>0.15</v>
      </c>
      <c r="Q1107" s="6">
        <v>11.61</v>
      </c>
    </row>
    <row r="1108" spans="1:17">
      <c r="A1108">
        <v>1107</v>
      </c>
      <c r="B1108" s="5">
        <v>45779</v>
      </c>
      <c r="C1108" t="s">
        <v>791</v>
      </c>
      <c r="D1108" t="s">
        <v>792</v>
      </c>
      <c r="E1108" t="s">
        <v>793</v>
      </c>
      <c r="F1108">
        <v>1</v>
      </c>
      <c r="G1108" t="s">
        <v>506</v>
      </c>
      <c r="H1108" t="s">
        <v>507</v>
      </c>
      <c r="I1108" t="s">
        <v>16</v>
      </c>
      <c r="J1108" t="s">
        <v>52</v>
      </c>
      <c r="K1108" t="s">
        <v>35</v>
      </c>
      <c r="L1108" s="6">
        <v>0</v>
      </c>
      <c r="M1108" s="6">
        <v>190</v>
      </c>
      <c r="N1108" s="6">
        <v>190</v>
      </c>
      <c r="O1108" s="6">
        <v>44014.59</v>
      </c>
      <c r="P1108" s="7">
        <v>0</v>
      </c>
      <c r="Q1108" s="6">
        <v>0</v>
      </c>
    </row>
    <row r="1109" spans="1:17">
      <c r="A1109">
        <v>1108</v>
      </c>
      <c r="B1109" s="5">
        <v>45779</v>
      </c>
      <c r="C1109" t="s">
        <v>791</v>
      </c>
      <c r="D1109" t="s">
        <v>792</v>
      </c>
      <c r="E1109" t="s">
        <v>793</v>
      </c>
      <c r="F1109">
        <v>1</v>
      </c>
      <c r="G1109" t="s">
        <v>212</v>
      </c>
      <c r="H1109" t="s">
        <v>213</v>
      </c>
      <c r="I1109" t="s">
        <v>16</v>
      </c>
      <c r="J1109" t="s">
        <v>52</v>
      </c>
      <c r="K1109" t="s">
        <v>35</v>
      </c>
      <c r="L1109" s="6">
        <v>0</v>
      </c>
      <c r="M1109" s="6">
        <v>1000</v>
      </c>
      <c r="N1109" s="6">
        <v>1000</v>
      </c>
      <c r="O1109" s="6">
        <v>45014.59</v>
      </c>
      <c r="P1109" s="7">
        <v>0</v>
      </c>
      <c r="Q1109" s="6">
        <v>0</v>
      </c>
    </row>
    <row r="1110" spans="1:17">
      <c r="A1110">
        <v>1109</v>
      </c>
      <c r="B1110" s="5">
        <v>45779</v>
      </c>
      <c r="C1110" t="s">
        <v>791</v>
      </c>
      <c r="D1110" t="s">
        <v>792</v>
      </c>
      <c r="E1110" t="s">
        <v>793</v>
      </c>
      <c r="F1110">
        <v>1</v>
      </c>
      <c r="G1110" t="s">
        <v>589</v>
      </c>
      <c r="H1110" t="s">
        <v>590</v>
      </c>
      <c r="I1110" t="s">
        <v>16</v>
      </c>
      <c r="J1110" t="s">
        <v>52</v>
      </c>
      <c r="K1110" t="s">
        <v>35</v>
      </c>
      <c r="L1110" s="6">
        <v>0</v>
      </c>
      <c r="M1110" s="6">
        <v>500</v>
      </c>
      <c r="N1110" s="6">
        <v>500</v>
      </c>
      <c r="O1110" s="6">
        <v>45514.59</v>
      </c>
      <c r="P1110" s="7">
        <v>0</v>
      </c>
      <c r="Q1110" s="6">
        <v>0</v>
      </c>
    </row>
    <row r="1111" spans="1:17">
      <c r="A1111">
        <v>1110</v>
      </c>
      <c r="B1111" s="5">
        <v>45779</v>
      </c>
      <c r="C1111" t="s">
        <v>791</v>
      </c>
      <c r="D1111" t="s">
        <v>792</v>
      </c>
      <c r="E1111" t="s">
        <v>793</v>
      </c>
      <c r="F1111">
        <v>1</v>
      </c>
      <c r="G1111" t="s">
        <v>589</v>
      </c>
      <c r="H1111" t="s">
        <v>590</v>
      </c>
      <c r="I1111" t="s">
        <v>16</v>
      </c>
      <c r="J1111" t="s">
        <v>52</v>
      </c>
      <c r="K1111" t="s">
        <v>35</v>
      </c>
      <c r="L1111" s="6">
        <v>0</v>
      </c>
      <c r="M1111" s="6">
        <v>1000</v>
      </c>
      <c r="N1111" s="6">
        <v>1000</v>
      </c>
      <c r="O1111" s="6">
        <v>46514.59</v>
      </c>
      <c r="P1111" s="7">
        <v>0</v>
      </c>
      <c r="Q1111" s="6">
        <v>0</v>
      </c>
    </row>
    <row r="1112" spans="1:17">
      <c r="A1112">
        <v>1111</v>
      </c>
      <c r="B1112" s="5">
        <v>45779</v>
      </c>
      <c r="C1112" t="s">
        <v>791</v>
      </c>
      <c r="D1112" t="s">
        <v>792</v>
      </c>
      <c r="E1112" t="s">
        <v>793</v>
      </c>
      <c r="F1112">
        <v>1</v>
      </c>
      <c r="G1112" t="s">
        <v>589</v>
      </c>
      <c r="H1112" t="s">
        <v>590</v>
      </c>
      <c r="I1112" t="s">
        <v>16</v>
      </c>
      <c r="J1112" t="s">
        <v>52</v>
      </c>
      <c r="K1112" t="s">
        <v>35</v>
      </c>
      <c r="L1112" s="6">
        <v>0</v>
      </c>
      <c r="M1112" s="6">
        <v>500</v>
      </c>
      <c r="N1112" s="6">
        <v>500</v>
      </c>
      <c r="O1112" s="6">
        <v>47014.59</v>
      </c>
      <c r="P1112" s="7">
        <v>0</v>
      </c>
      <c r="Q1112" s="6">
        <v>0</v>
      </c>
    </row>
    <row r="1113" spans="1:17">
      <c r="A1113">
        <v>1112</v>
      </c>
      <c r="B1113" s="5">
        <v>45779</v>
      </c>
      <c r="C1113" t="s">
        <v>791</v>
      </c>
      <c r="D1113" t="s">
        <v>792</v>
      </c>
      <c r="E1113" t="s">
        <v>793</v>
      </c>
      <c r="F1113">
        <v>1</v>
      </c>
      <c r="G1113" t="s">
        <v>794</v>
      </c>
      <c r="H1113" t="s">
        <v>795</v>
      </c>
      <c r="I1113" t="s">
        <v>16</v>
      </c>
      <c r="J1113" t="s">
        <v>52</v>
      </c>
      <c r="K1113" t="s">
        <v>35</v>
      </c>
      <c r="L1113" s="6">
        <v>0</v>
      </c>
      <c r="M1113" s="6">
        <v>1000</v>
      </c>
      <c r="N1113" s="6">
        <v>1000</v>
      </c>
      <c r="O1113" s="6">
        <v>48014.59</v>
      </c>
      <c r="P1113" s="7">
        <v>0</v>
      </c>
      <c r="Q1113" s="6">
        <v>0</v>
      </c>
    </row>
    <row r="1114" spans="1:17">
      <c r="A1114">
        <v>1113</v>
      </c>
      <c r="B1114" s="5">
        <v>45779</v>
      </c>
      <c r="C1114" t="s">
        <v>791</v>
      </c>
      <c r="D1114" t="s">
        <v>792</v>
      </c>
      <c r="E1114" t="s">
        <v>793</v>
      </c>
      <c r="F1114">
        <v>1</v>
      </c>
      <c r="G1114" t="s">
        <v>780</v>
      </c>
      <c r="H1114" t="s">
        <v>781</v>
      </c>
      <c r="I1114" t="s">
        <v>16</v>
      </c>
      <c r="J1114" t="s">
        <v>52</v>
      </c>
      <c r="K1114" t="s">
        <v>35</v>
      </c>
      <c r="L1114" s="6">
        <v>0</v>
      </c>
      <c r="M1114" s="6">
        <v>2000</v>
      </c>
      <c r="N1114" s="6">
        <v>2000</v>
      </c>
      <c r="O1114" s="6">
        <v>50014.59</v>
      </c>
      <c r="P1114" s="7">
        <v>0</v>
      </c>
      <c r="Q1114" s="6">
        <v>0</v>
      </c>
    </row>
    <row r="1115" spans="1:17">
      <c r="A1115">
        <v>1114</v>
      </c>
      <c r="B1115" s="5">
        <v>45779</v>
      </c>
      <c r="C1115" t="s">
        <v>791</v>
      </c>
      <c r="D1115" t="s">
        <v>792</v>
      </c>
      <c r="E1115" t="s">
        <v>793</v>
      </c>
      <c r="F1115">
        <v>1</v>
      </c>
      <c r="G1115" t="s">
        <v>780</v>
      </c>
      <c r="H1115" t="s">
        <v>781</v>
      </c>
      <c r="I1115" t="s">
        <v>16</v>
      </c>
      <c r="J1115" t="s">
        <v>52</v>
      </c>
      <c r="K1115" t="s">
        <v>35</v>
      </c>
      <c r="L1115" s="6">
        <v>0</v>
      </c>
      <c r="M1115" s="6">
        <v>2000</v>
      </c>
      <c r="N1115" s="6">
        <v>2000</v>
      </c>
      <c r="O1115" s="6">
        <v>52014.59</v>
      </c>
      <c r="P1115" s="7">
        <v>0</v>
      </c>
      <c r="Q1115" s="6">
        <v>0</v>
      </c>
    </row>
    <row r="1116" spans="1:17">
      <c r="A1116">
        <v>1115</v>
      </c>
      <c r="B1116" s="5">
        <v>45779</v>
      </c>
      <c r="C1116" t="s">
        <v>791</v>
      </c>
      <c r="D1116" t="s">
        <v>792</v>
      </c>
      <c r="E1116" t="s">
        <v>793</v>
      </c>
      <c r="F1116">
        <v>1</v>
      </c>
      <c r="G1116" t="s">
        <v>780</v>
      </c>
      <c r="H1116" t="s">
        <v>781</v>
      </c>
      <c r="I1116" t="s">
        <v>16</v>
      </c>
      <c r="J1116" t="s">
        <v>52</v>
      </c>
      <c r="K1116" t="s">
        <v>35</v>
      </c>
      <c r="L1116" s="6">
        <v>0</v>
      </c>
      <c r="M1116" s="6">
        <v>2000</v>
      </c>
      <c r="N1116" s="6">
        <v>2000</v>
      </c>
      <c r="O1116" s="6">
        <v>54014.59</v>
      </c>
      <c r="P1116" s="7">
        <v>0</v>
      </c>
      <c r="Q1116" s="6">
        <v>0</v>
      </c>
    </row>
    <row r="1117" spans="1:17">
      <c r="A1117">
        <v>1116</v>
      </c>
      <c r="B1117" s="5">
        <v>45779</v>
      </c>
      <c r="C1117" t="s">
        <v>791</v>
      </c>
      <c r="D1117" t="s">
        <v>792</v>
      </c>
      <c r="E1117" t="s">
        <v>793</v>
      </c>
      <c r="F1117">
        <v>1</v>
      </c>
      <c r="G1117" t="s">
        <v>780</v>
      </c>
      <c r="H1117" t="s">
        <v>781</v>
      </c>
      <c r="I1117" t="s">
        <v>16</v>
      </c>
      <c r="J1117" t="s">
        <v>52</v>
      </c>
      <c r="K1117" t="s">
        <v>35</v>
      </c>
      <c r="L1117" s="6">
        <v>0</v>
      </c>
      <c r="M1117" s="6">
        <v>2000</v>
      </c>
      <c r="N1117" s="6">
        <v>2000</v>
      </c>
      <c r="O1117" s="6">
        <v>56014.59</v>
      </c>
      <c r="P1117" s="7">
        <v>0</v>
      </c>
      <c r="Q1117" s="6">
        <v>0</v>
      </c>
    </row>
    <row r="1118" spans="1:17">
      <c r="A1118">
        <v>1117</v>
      </c>
      <c r="B1118" s="5">
        <v>45779</v>
      </c>
      <c r="C1118" t="s">
        <v>791</v>
      </c>
      <c r="D1118" t="s">
        <v>792</v>
      </c>
      <c r="E1118" t="s">
        <v>793</v>
      </c>
      <c r="F1118">
        <v>1</v>
      </c>
      <c r="G1118" t="s">
        <v>780</v>
      </c>
      <c r="H1118" t="s">
        <v>781</v>
      </c>
      <c r="I1118" t="s">
        <v>16</v>
      </c>
      <c r="J1118" t="s">
        <v>52</v>
      </c>
      <c r="K1118" t="s">
        <v>35</v>
      </c>
      <c r="L1118" s="6">
        <v>0</v>
      </c>
      <c r="M1118" s="6">
        <v>2000</v>
      </c>
      <c r="N1118" s="6">
        <v>2000</v>
      </c>
      <c r="O1118" s="6">
        <v>58014.59</v>
      </c>
      <c r="P1118" s="7">
        <v>0</v>
      </c>
      <c r="Q1118" s="6">
        <v>0</v>
      </c>
    </row>
    <row r="1119" spans="1:17">
      <c r="A1119">
        <v>1118</v>
      </c>
      <c r="B1119" s="5">
        <v>45779</v>
      </c>
      <c r="C1119" t="s">
        <v>791</v>
      </c>
      <c r="D1119" t="s">
        <v>792</v>
      </c>
      <c r="E1119" t="s">
        <v>793</v>
      </c>
      <c r="F1119">
        <v>1</v>
      </c>
      <c r="G1119" t="s">
        <v>780</v>
      </c>
      <c r="H1119" t="s">
        <v>781</v>
      </c>
      <c r="I1119" t="s">
        <v>16</v>
      </c>
      <c r="J1119" t="s">
        <v>52</v>
      </c>
      <c r="K1119" t="s">
        <v>35</v>
      </c>
      <c r="L1119" s="6">
        <v>0</v>
      </c>
      <c r="M1119" s="6">
        <v>2000</v>
      </c>
      <c r="N1119" s="6">
        <v>2000</v>
      </c>
      <c r="O1119" s="6">
        <v>60014.59</v>
      </c>
      <c r="P1119" s="7">
        <v>0</v>
      </c>
      <c r="Q1119" s="6">
        <v>0</v>
      </c>
    </row>
    <row r="1120" spans="1:17">
      <c r="A1120">
        <v>1119</v>
      </c>
      <c r="B1120" s="5">
        <v>45779</v>
      </c>
      <c r="C1120" t="s">
        <v>791</v>
      </c>
      <c r="D1120" t="s">
        <v>792</v>
      </c>
      <c r="E1120" t="s">
        <v>793</v>
      </c>
      <c r="F1120">
        <v>1</v>
      </c>
      <c r="G1120" t="s">
        <v>780</v>
      </c>
      <c r="H1120" t="s">
        <v>781</v>
      </c>
      <c r="I1120" t="s">
        <v>16</v>
      </c>
      <c r="J1120" t="s">
        <v>52</v>
      </c>
      <c r="K1120" t="s">
        <v>35</v>
      </c>
      <c r="L1120" s="6">
        <v>0</v>
      </c>
      <c r="M1120" s="6">
        <v>2000</v>
      </c>
      <c r="N1120" s="6">
        <v>2000</v>
      </c>
      <c r="O1120" s="6">
        <v>62014.59</v>
      </c>
      <c r="P1120" s="7">
        <v>0</v>
      </c>
      <c r="Q1120" s="6">
        <v>0</v>
      </c>
    </row>
    <row r="1121" spans="1:17">
      <c r="A1121">
        <v>1120</v>
      </c>
      <c r="B1121" s="5">
        <v>45779</v>
      </c>
      <c r="C1121" t="s">
        <v>791</v>
      </c>
      <c r="D1121" t="s">
        <v>792</v>
      </c>
      <c r="E1121" t="s">
        <v>793</v>
      </c>
      <c r="F1121">
        <v>1</v>
      </c>
      <c r="G1121" t="s">
        <v>212</v>
      </c>
      <c r="H1121" t="s">
        <v>213</v>
      </c>
      <c r="I1121" t="s">
        <v>16</v>
      </c>
      <c r="J1121" t="s">
        <v>52</v>
      </c>
      <c r="K1121" t="s">
        <v>35</v>
      </c>
      <c r="L1121" s="6">
        <v>0</v>
      </c>
      <c r="M1121" s="6">
        <v>500</v>
      </c>
      <c r="N1121" s="6">
        <v>500</v>
      </c>
      <c r="O1121" s="6">
        <v>62514.59</v>
      </c>
      <c r="P1121" s="7">
        <v>0</v>
      </c>
      <c r="Q1121" s="6">
        <v>0</v>
      </c>
    </row>
    <row r="1122" spans="1:17">
      <c r="A1122">
        <v>1121</v>
      </c>
      <c r="B1122" s="5">
        <v>45779</v>
      </c>
      <c r="C1122" t="s">
        <v>791</v>
      </c>
      <c r="D1122" t="s">
        <v>792</v>
      </c>
      <c r="E1122" t="s">
        <v>793</v>
      </c>
      <c r="F1122">
        <v>1</v>
      </c>
      <c r="G1122" t="s">
        <v>796</v>
      </c>
      <c r="H1122" t="s">
        <v>797</v>
      </c>
      <c r="I1122" t="s">
        <v>16</v>
      </c>
      <c r="J1122" t="s">
        <v>52</v>
      </c>
      <c r="K1122" t="s">
        <v>35</v>
      </c>
      <c r="L1122" s="6">
        <v>0</v>
      </c>
      <c r="M1122" s="6">
        <v>250</v>
      </c>
      <c r="N1122" s="6">
        <v>250</v>
      </c>
      <c r="O1122" s="6">
        <v>62764.59</v>
      </c>
      <c r="P1122" s="7">
        <v>0</v>
      </c>
      <c r="Q1122" s="6">
        <v>0</v>
      </c>
    </row>
    <row r="1123" spans="1:17">
      <c r="A1123">
        <v>1122</v>
      </c>
      <c r="B1123" s="5">
        <v>45779</v>
      </c>
      <c r="C1123" t="s">
        <v>791</v>
      </c>
      <c r="D1123" t="s">
        <v>792</v>
      </c>
      <c r="E1123" t="s">
        <v>793</v>
      </c>
      <c r="F1123">
        <v>1</v>
      </c>
      <c r="G1123" t="s">
        <v>794</v>
      </c>
      <c r="H1123" t="s">
        <v>795</v>
      </c>
      <c r="I1123" t="s">
        <v>16</v>
      </c>
      <c r="J1123" t="s">
        <v>52</v>
      </c>
      <c r="K1123" t="s">
        <v>35</v>
      </c>
      <c r="L1123" s="6">
        <v>0</v>
      </c>
      <c r="M1123" s="6">
        <v>2000</v>
      </c>
      <c r="N1123" s="6">
        <v>2000</v>
      </c>
      <c r="O1123" s="6">
        <v>64764.59</v>
      </c>
      <c r="P1123" s="7">
        <v>0</v>
      </c>
      <c r="Q1123" s="6">
        <v>0</v>
      </c>
    </row>
    <row r="1124" spans="1:17">
      <c r="A1124">
        <v>1123</v>
      </c>
      <c r="B1124" s="5">
        <v>45779</v>
      </c>
      <c r="C1124" t="s">
        <v>791</v>
      </c>
      <c r="D1124" t="s">
        <v>792</v>
      </c>
      <c r="E1124" t="s">
        <v>793</v>
      </c>
      <c r="F1124">
        <v>1</v>
      </c>
      <c r="G1124" t="s">
        <v>782</v>
      </c>
      <c r="H1124" t="s">
        <v>783</v>
      </c>
      <c r="I1124" t="s">
        <v>16</v>
      </c>
      <c r="J1124" t="s">
        <v>52</v>
      </c>
      <c r="K1124" t="s">
        <v>35</v>
      </c>
      <c r="L1124" s="6">
        <v>0</v>
      </c>
      <c r="M1124" s="6">
        <v>1000</v>
      </c>
      <c r="N1124" s="6">
        <v>1000</v>
      </c>
      <c r="O1124" s="6">
        <v>65764.59</v>
      </c>
      <c r="P1124" s="7">
        <v>0</v>
      </c>
      <c r="Q1124" s="6">
        <v>0</v>
      </c>
    </row>
    <row r="1125" spans="1:17">
      <c r="A1125">
        <v>1124</v>
      </c>
      <c r="B1125" s="5">
        <v>45779</v>
      </c>
      <c r="C1125" t="s">
        <v>791</v>
      </c>
      <c r="D1125" t="s">
        <v>792</v>
      </c>
      <c r="E1125" t="s">
        <v>793</v>
      </c>
      <c r="F1125">
        <v>1</v>
      </c>
      <c r="G1125" t="s">
        <v>780</v>
      </c>
      <c r="H1125" t="s">
        <v>781</v>
      </c>
      <c r="I1125" t="s">
        <v>16</v>
      </c>
      <c r="J1125" t="s">
        <v>52</v>
      </c>
      <c r="K1125" t="s">
        <v>35</v>
      </c>
      <c r="L1125" s="6">
        <v>0</v>
      </c>
      <c r="M1125" s="6">
        <v>2000</v>
      </c>
      <c r="N1125" s="6">
        <v>2000</v>
      </c>
      <c r="O1125" s="6">
        <v>67764.59</v>
      </c>
      <c r="P1125" s="7">
        <v>0</v>
      </c>
      <c r="Q1125" s="6">
        <v>0</v>
      </c>
    </row>
    <row r="1126" spans="1:17">
      <c r="A1126">
        <v>1125</v>
      </c>
      <c r="B1126" s="5">
        <v>45779</v>
      </c>
      <c r="C1126" t="s">
        <v>791</v>
      </c>
      <c r="D1126" t="s">
        <v>792</v>
      </c>
      <c r="E1126" t="s">
        <v>793</v>
      </c>
      <c r="F1126">
        <v>1</v>
      </c>
      <c r="G1126" t="s">
        <v>780</v>
      </c>
      <c r="H1126" t="s">
        <v>781</v>
      </c>
      <c r="I1126" t="s">
        <v>16</v>
      </c>
      <c r="J1126" t="s">
        <v>52</v>
      </c>
      <c r="K1126" t="s">
        <v>35</v>
      </c>
      <c r="L1126" s="6">
        <v>0</v>
      </c>
      <c r="M1126" s="6">
        <v>2000</v>
      </c>
      <c r="N1126" s="6">
        <v>2000</v>
      </c>
      <c r="O1126" s="6">
        <v>69764.59</v>
      </c>
      <c r="P1126" s="7">
        <v>0</v>
      </c>
      <c r="Q1126" s="6">
        <v>0</v>
      </c>
    </row>
    <row r="1127" spans="1:17">
      <c r="A1127">
        <v>1126</v>
      </c>
      <c r="B1127" s="5">
        <v>45779</v>
      </c>
      <c r="C1127" t="s">
        <v>791</v>
      </c>
      <c r="D1127" t="s">
        <v>792</v>
      </c>
      <c r="E1127" t="s">
        <v>793</v>
      </c>
      <c r="F1127">
        <v>1</v>
      </c>
      <c r="G1127" t="s">
        <v>780</v>
      </c>
      <c r="H1127" t="s">
        <v>781</v>
      </c>
      <c r="I1127" t="s">
        <v>16</v>
      </c>
      <c r="J1127" t="s">
        <v>52</v>
      </c>
      <c r="K1127" t="s">
        <v>35</v>
      </c>
      <c r="L1127" s="6">
        <v>0</v>
      </c>
      <c r="M1127" s="6">
        <v>2000</v>
      </c>
      <c r="N1127" s="6">
        <v>2000</v>
      </c>
      <c r="O1127" s="6">
        <v>71764.59</v>
      </c>
      <c r="P1127" s="7">
        <v>0</v>
      </c>
      <c r="Q1127" s="6">
        <v>0</v>
      </c>
    </row>
    <row r="1128" spans="1:17">
      <c r="A1128">
        <v>1127</v>
      </c>
      <c r="B1128" s="5">
        <v>45779</v>
      </c>
      <c r="C1128" t="s">
        <v>791</v>
      </c>
      <c r="D1128" t="s">
        <v>792</v>
      </c>
      <c r="E1128" t="s">
        <v>793</v>
      </c>
      <c r="F1128">
        <v>1</v>
      </c>
      <c r="G1128" t="s">
        <v>780</v>
      </c>
      <c r="H1128" t="s">
        <v>781</v>
      </c>
      <c r="I1128" t="s">
        <v>16</v>
      </c>
      <c r="J1128" t="s">
        <v>52</v>
      </c>
      <c r="K1128" t="s">
        <v>35</v>
      </c>
      <c r="L1128" s="6">
        <v>0</v>
      </c>
      <c r="M1128" s="6">
        <v>1500</v>
      </c>
      <c r="N1128" s="6">
        <v>1500</v>
      </c>
      <c r="O1128" s="6">
        <v>73264.59</v>
      </c>
      <c r="P1128" s="7">
        <v>0</v>
      </c>
      <c r="Q1128" s="6">
        <v>0</v>
      </c>
    </row>
    <row r="1129" spans="1:17">
      <c r="A1129">
        <v>1128</v>
      </c>
      <c r="B1129" s="5">
        <v>45779</v>
      </c>
      <c r="C1129" t="s">
        <v>791</v>
      </c>
      <c r="D1129" t="s">
        <v>792</v>
      </c>
      <c r="E1129" t="s">
        <v>793</v>
      </c>
      <c r="F1129">
        <v>1</v>
      </c>
      <c r="G1129" t="s">
        <v>415</v>
      </c>
      <c r="H1129" t="s">
        <v>416</v>
      </c>
      <c r="I1129" t="s">
        <v>16</v>
      </c>
      <c r="J1129" t="s">
        <v>52</v>
      </c>
      <c r="K1129" t="s">
        <v>35</v>
      </c>
      <c r="L1129" s="6">
        <v>0</v>
      </c>
      <c r="M1129" s="6">
        <v>200</v>
      </c>
      <c r="N1129" s="6">
        <v>200</v>
      </c>
      <c r="O1129" s="6">
        <v>73464.59</v>
      </c>
      <c r="P1129" s="7">
        <v>0</v>
      </c>
      <c r="Q1129" s="6">
        <v>0</v>
      </c>
    </row>
    <row r="1130" spans="1:17">
      <c r="A1130">
        <v>1129</v>
      </c>
      <c r="B1130" s="5">
        <v>45779</v>
      </c>
      <c r="C1130" t="s">
        <v>791</v>
      </c>
      <c r="D1130" t="s">
        <v>792</v>
      </c>
      <c r="E1130" t="s">
        <v>793</v>
      </c>
      <c r="F1130">
        <v>1</v>
      </c>
      <c r="G1130" t="s">
        <v>506</v>
      </c>
      <c r="H1130" t="s">
        <v>507</v>
      </c>
      <c r="I1130" t="s">
        <v>16</v>
      </c>
      <c r="J1130" t="s">
        <v>52</v>
      </c>
      <c r="K1130" t="s">
        <v>35</v>
      </c>
      <c r="L1130" s="6">
        <v>0</v>
      </c>
      <c r="M1130" s="6">
        <v>440</v>
      </c>
      <c r="N1130" s="6">
        <v>440</v>
      </c>
      <c r="O1130" s="6">
        <v>73904.59</v>
      </c>
      <c r="P1130" s="7">
        <v>0</v>
      </c>
      <c r="Q1130" s="6">
        <v>0</v>
      </c>
    </row>
    <row r="1131" spans="1:17">
      <c r="A1131">
        <v>1130</v>
      </c>
      <c r="B1131" s="5">
        <v>45779</v>
      </c>
      <c r="C1131" t="s">
        <v>791</v>
      </c>
      <c r="D1131" t="s">
        <v>792</v>
      </c>
      <c r="E1131" t="s">
        <v>793</v>
      </c>
      <c r="F1131">
        <v>1</v>
      </c>
      <c r="G1131" t="s">
        <v>794</v>
      </c>
      <c r="H1131" t="s">
        <v>795</v>
      </c>
      <c r="I1131" t="s">
        <v>16</v>
      </c>
      <c r="J1131" t="s">
        <v>52</v>
      </c>
      <c r="K1131" t="s">
        <v>35</v>
      </c>
      <c r="L1131" s="6">
        <v>0</v>
      </c>
      <c r="M1131" s="6">
        <v>2000</v>
      </c>
      <c r="N1131" s="6">
        <v>2000</v>
      </c>
      <c r="O1131" s="6">
        <v>75904.59</v>
      </c>
      <c r="P1131" s="7">
        <v>0</v>
      </c>
      <c r="Q1131" s="6">
        <v>0</v>
      </c>
    </row>
    <row r="1132" spans="1:17">
      <c r="A1132">
        <v>1131</v>
      </c>
      <c r="B1132" s="5">
        <v>45779</v>
      </c>
      <c r="C1132" t="s">
        <v>791</v>
      </c>
      <c r="D1132" t="s">
        <v>792</v>
      </c>
      <c r="E1132" t="s">
        <v>793</v>
      </c>
      <c r="F1132">
        <v>1</v>
      </c>
      <c r="G1132" t="s">
        <v>440</v>
      </c>
      <c r="H1132" t="s">
        <v>441</v>
      </c>
      <c r="I1132" t="s">
        <v>16</v>
      </c>
      <c r="J1132" t="s">
        <v>52</v>
      </c>
      <c r="K1132" t="s">
        <v>35</v>
      </c>
      <c r="L1132" s="6">
        <v>0</v>
      </c>
      <c r="M1132" s="6">
        <v>3000</v>
      </c>
      <c r="N1132" s="6">
        <v>3000</v>
      </c>
      <c r="O1132" s="6">
        <v>78904.59</v>
      </c>
      <c r="P1132" s="7">
        <v>0</v>
      </c>
      <c r="Q1132" s="6">
        <v>0</v>
      </c>
    </row>
    <row r="1133" spans="1:17">
      <c r="A1133">
        <v>1132</v>
      </c>
      <c r="B1133" s="5">
        <v>45779</v>
      </c>
      <c r="C1133" t="s">
        <v>791</v>
      </c>
      <c r="D1133" t="s">
        <v>792</v>
      </c>
      <c r="E1133" t="s">
        <v>793</v>
      </c>
      <c r="F1133">
        <v>2</v>
      </c>
      <c r="G1133" t="s">
        <v>285</v>
      </c>
      <c r="H1133" t="s">
        <v>286</v>
      </c>
      <c r="I1133" t="s">
        <v>16</v>
      </c>
      <c r="J1133" t="s">
        <v>52</v>
      </c>
      <c r="K1133" t="s">
        <v>35</v>
      </c>
      <c r="L1133" s="6">
        <v>0</v>
      </c>
      <c r="M1133" s="6">
        <v>700</v>
      </c>
      <c r="N1133" s="6">
        <v>700</v>
      </c>
      <c r="O1133" s="6">
        <v>79604.59</v>
      </c>
      <c r="P1133" s="7">
        <v>0</v>
      </c>
      <c r="Q1133" s="6">
        <v>0</v>
      </c>
    </row>
    <row r="1134" spans="1:17">
      <c r="A1134">
        <v>1133</v>
      </c>
      <c r="B1134" s="5">
        <v>45779</v>
      </c>
      <c r="C1134" t="s">
        <v>791</v>
      </c>
      <c r="D1134" t="s">
        <v>792</v>
      </c>
      <c r="E1134" t="s">
        <v>793</v>
      </c>
      <c r="F1134">
        <v>2</v>
      </c>
      <c r="G1134" t="s">
        <v>798</v>
      </c>
      <c r="I1134" t="s">
        <v>17</v>
      </c>
      <c r="J1134" t="s">
        <v>64</v>
      </c>
      <c r="K1134" t="s">
        <v>34</v>
      </c>
      <c r="L1134" s="6">
        <v>25000</v>
      </c>
      <c r="M1134" s="6">
        <v>0</v>
      </c>
      <c r="N1134" s="6">
        <v>-25000</v>
      </c>
      <c r="O1134" s="6">
        <v>54604.59</v>
      </c>
      <c r="P1134" s="7">
        <v>0</v>
      </c>
      <c r="Q1134" s="6">
        <v>0</v>
      </c>
    </row>
    <row r="1135" spans="1:17">
      <c r="A1135">
        <v>1134</v>
      </c>
      <c r="B1135" s="5">
        <v>45779</v>
      </c>
      <c r="C1135" t="s">
        <v>791</v>
      </c>
      <c r="D1135" t="s">
        <v>792</v>
      </c>
      <c r="E1135" t="s">
        <v>793</v>
      </c>
      <c r="F1135">
        <v>2</v>
      </c>
      <c r="G1135" t="s">
        <v>589</v>
      </c>
      <c r="H1135" t="s">
        <v>590</v>
      </c>
      <c r="I1135" t="s">
        <v>16</v>
      </c>
      <c r="J1135" t="s">
        <v>52</v>
      </c>
      <c r="K1135" t="s">
        <v>35</v>
      </c>
      <c r="L1135" s="6">
        <v>0</v>
      </c>
      <c r="M1135" s="6">
        <v>300</v>
      </c>
      <c r="N1135" s="6">
        <v>300</v>
      </c>
      <c r="O1135" s="6">
        <v>54904.59</v>
      </c>
      <c r="P1135" s="7">
        <v>0</v>
      </c>
      <c r="Q1135" s="6">
        <v>0</v>
      </c>
    </row>
    <row r="1136" spans="1:17">
      <c r="A1136">
        <v>1135</v>
      </c>
      <c r="B1136" s="5">
        <v>45779</v>
      </c>
      <c r="C1136" t="s">
        <v>791</v>
      </c>
      <c r="D1136" t="s">
        <v>792</v>
      </c>
      <c r="E1136" t="s">
        <v>793</v>
      </c>
      <c r="F1136">
        <v>2</v>
      </c>
      <c r="G1136" t="s">
        <v>385</v>
      </c>
      <c r="H1136" t="s">
        <v>386</v>
      </c>
      <c r="I1136" t="s">
        <v>16</v>
      </c>
      <c r="J1136" t="s">
        <v>52</v>
      </c>
      <c r="K1136" t="s">
        <v>35</v>
      </c>
      <c r="L1136" s="6">
        <v>0</v>
      </c>
      <c r="M1136" s="6">
        <v>250</v>
      </c>
      <c r="N1136" s="6">
        <v>250</v>
      </c>
      <c r="O1136" s="6">
        <v>55154.59</v>
      </c>
      <c r="P1136" s="7">
        <v>0</v>
      </c>
      <c r="Q1136" s="6">
        <v>0</v>
      </c>
    </row>
    <row r="1137" spans="1:17">
      <c r="A1137">
        <v>1136</v>
      </c>
      <c r="B1137" s="5">
        <v>45779</v>
      </c>
      <c r="C1137" t="s">
        <v>791</v>
      </c>
      <c r="D1137" t="s">
        <v>792</v>
      </c>
      <c r="E1137" t="s">
        <v>793</v>
      </c>
      <c r="F1137">
        <v>2</v>
      </c>
      <c r="G1137" t="s">
        <v>548</v>
      </c>
      <c r="H1137" t="s">
        <v>549</v>
      </c>
      <c r="I1137" t="s">
        <v>16</v>
      </c>
      <c r="J1137" t="s">
        <v>52</v>
      </c>
      <c r="K1137" t="s">
        <v>35</v>
      </c>
      <c r="L1137" s="6">
        <v>0</v>
      </c>
      <c r="M1137" s="6">
        <v>4000</v>
      </c>
      <c r="N1137" s="6">
        <v>4000</v>
      </c>
      <c r="O1137" s="6">
        <v>59154.59</v>
      </c>
      <c r="P1137" s="7">
        <v>0</v>
      </c>
      <c r="Q1137" s="6">
        <v>0</v>
      </c>
    </row>
    <row r="1138" spans="1:17">
      <c r="A1138">
        <v>1137</v>
      </c>
      <c r="B1138" s="5">
        <v>45779</v>
      </c>
      <c r="C1138" t="s">
        <v>791</v>
      </c>
      <c r="D1138" t="s">
        <v>792</v>
      </c>
      <c r="E1138" t="s">
        <v>793</v>
      </c>
      <c r="F1138">
        <v>2</v>
      </c>
      <c r="G1138" t="s">
        <v>249</v>
      </c>
      <c r="H1138" t="s">
        <v>250</v>
      </c>
      <c r="I1138" t="s">
        <v>16</v>
      </c>
      <c r="J1138" t="s">
        <v>52</v>
      </c>
      <c r="K1138" t="s">
        <v>35</v>
      </c>
      <c r="L1138" s="6">
        <v>0</v>
      </c>
      <c r="M1138" s="6">
        <v>1500</v>
      </c>
      <c r="N1138" s="6">
        <v>1500</v>
      </c>
      <c r="O1138" s="6">
        <v>60654.59</v>
      </c>
      <c r="P1138" s="7">
        <v>0</v>
      </c>
      <c r="Q1138" s="6">
        <v>0</v>
      </c>
    </row>
    <row r="1139" spans="1:17">
      <c r="A1139">
        <v>1138</v>
      </c>
      <c r="B1139" s="5">
        <v>45779</v>
      </c>
      <c r="C1139" t="s">
        <v>791</v>
      </c>
      <c r="D1139" t="s">
        <v>792</v>
      </c>
      <c r="E1139" t="s">
        <v>793</v>
      </c>
      <c r="F1139">
        <v>2</v>
      </c>
      <c r="G1139" t="s">
        <v>264</v>
      </c>
      <c r="H1139" t="s">
        <v>265</v>
      </c>
      <c r="I1139" t="s">
        <v>16</v>
      </c>
      <c r="J1139" t="s">
        <v>52</v>
      </c>
      <c r="K1139" t="s">
        <v>35</v>
      </c>
      <c r="L1139" s="6">
        <v>0</v>
      </c>
      <c r="M1139" s="6">
        <v>200</v>
      </c>
      <c r="N1139" s="6">
        <v>200</v>
      </c>
      <c r="O1139" s="6">
        <v>60854.59</v>
      </c>
      <c r="P1139" s="7">
        <v>0</v>
      </c>
      <c r="Q1139" s="6">
        <v>0</v>
      </c>
    </row>
    <row r="1140" spans="1:17">
      <c r="A1140">
        <v>1139</v>
      </c>
      <c r="B1140" s="5">
        <v>45779</v>
      </c>
      <c r="C1140" t="s">
        <v>791</v>
      </c>
      <c r="D1140" t="s">
        <v>792</v>
      </c>
      <c r="E1140" t="s">
        <v>793</v>
      </c>
      <c r="F1140">
        <v>2</v>
      </c>
      <c r="G1140" t="s">
        <v>799</v>
      </c>
      <c r="H1140" t="s">
        <v>144</v>
      </c>
      <c r="I1140" t="s">
        <v>16</v>
      </c>
      <c r="J1140" t="s">
        <v>52</v>
      </c>
      <c r="K1140" t="s">
        <v>35</v>
      </c>
      <c r="L1140" s="6">
        <v>0</v>
      </c>
      <c r="M1140" s="6">
        <v>115</v>
      </c>
      <c r="N1140" s="6">
        <v>115</v>
      </c>
      <c r="O1140" s="6">
        <v>60969.59</v>
      </c>
      <c r="P1140" s="7">
        <v>0</v>
      </c>
      <c r="Q1140" s="6">
        <v>0</v>
      </c>
    </row>
    <row r="1141" spans="1:17">
      <c r="A1141">
        <v>1140</v>
      </c>
      <c r="B1141" s="5">
        <v>45779</v>
      </c>
      <c r="C1141" t="s">
        <v>791</v>
      </c>
      <c r="D1141" t="s">
        <v>792</v>
      </c>
      <c r="E1141" t="s">
        <v>793</v>
      </c>
      <c r="F1141">
        <v>2</v>
      </c>
      <c r="G1141" t="s">
        <v>201</v>
      </c>
      <c r="H1141" t="s">
        <v>100</v>
      </c>
      <c r="I1141" t="s">
        <v>16</v>
      </c>
      <c r="J1141" t="s">
        <v>52</v>
      </c>
      <c r="K1141" t="s">
        <v>35</v>
      </c>
      <c r="L1141" s="6">
        <v>0</v>
      </c>
      <c r="M1141" s="6">
        <v>1000</v>
      </c>
      <c r="N1141" s="6">
        <v>1000</v>
      </c>
      <c r="O1141" s="6">
        <v>61969.59</v>
      </c>
      <c r="P1141" s="7">
        <v>0</v>
      </c>
      <c r="Q1141" s="6">
        <v>0</v>
      </c>
    </row>
    <row r="1142" spans="1:17">
      <c r="A1142">
        <v>1141</v>
      </c>
      <c r="B1142" s="5">
        <v>45779</v>
      </c>
      <c r="C1142" t="s">
        <v>791</v>
      </c>
      <c r="D1142" t="s">
        <v>792</v>
      </c>
      <c r="E1142" t="s">
        <v>793</v>
      </c>
      <c r="F1142">
        <v>2</v>
      </c>
      <c r="G1142" t="s">
        <v>780</v>
      </c>
      <c r="H1142" t="s">
        <v>781</v>
      </c>
      <c r="I1142" t="s">
        <v>16</v>
      </c>
      <c r="J1142" t="s">
        <v>52</v>
      </c>
      <c r="K1142" t="s">
        <v>35</v>
      </c>
      <c r="L1142" s="6">
        <v>0</v>
      </c>
      <c r="M1142" s="6">
        <v>2000</v>
      </c>
      <c r="N1142" s="6">
        <v>2000</v>
      </c>
      <c r="O1142" s="6">
        <v>63969.59</v>
      </c>
      <c r="P1142" s="7">
        <v>0</v>
      </c>
      <c r="Q1142" s="6">
        <v>0</v>
      </c>
    </row>
    <row r="1143" spans="1:17">
      <c r="A1143">
        <v>1142</v>
      </c>
      <c r="B1143" s="5">
        <v>45779</v>
      </c>
      <c r="C1143" t="s">
        <v>791</v>
      </c>
      <c r="D1143" t="s">
        <v>792</v>
      </c>
      <c r="E1143" t="s">
        <v>793</v>
      </c>
      <c r="F1143">
        <v>2</v>
      </c>
      <c r="G1143" t="s">
        <v>782</v>
      </c>
      <c r="H1143" t="s">
        <v>783</v>
      </c>
      <c r="I1143" t="s">
        <v>16</v>
      </c>
      <c r="J1143" t="s">
        <v>52</v>
      </c>
      <c r="K1143" t="s">
        <v>35</v>
      </c>
      <c r="L1143" s="6">
        <v>0</v>
      </c>
      <c r="M1143" s="6">
        <v>1000</v>
      </c>
      <c r="N1143" s="6">
        <v>1000</v>
      </c>
      <c r="O1143" s="6">
        <v>64969.59</v>
      </c>
      <c r="P1143" s="7">
        <v>0</v>
      </c>
      <c r="Q1143" s="6">
        <v>0</v>
      </c>
    </row>
    <row r="1144" spans="1:17">
      <c r="A1144">
        <v>1143</v>
      </c>
      <c r="B1144" s="5">
        <v>45779</v>
      </c>
      <c r="C1144" t="s">
        <v>791</v>
      </c>
      <c r="D1144" t="s">
        <v>792</v>
      </c>
      <c r="E1144" t="s">
        <v>793</v>
      </c>
      <c r="F1144">
        <v>2</v>
      </c>
      <c r="G1144" t="s">
        <v>800</v>
      </c>
      <c r="H1144" t="s">
        <v>66</v>
      </c>
      <c r="I1144" t="s">
        <v>22</v>
      </c>
      <c r="J1144" t="s">
        <v>67</v>
      </c>
      <c r="K1144" t="s">
        <v>34</v>
      </c>
      <c r="L1144" s="6">
        <v>1351</v>
      </c>
      <c r="M1144" s="6">
        <v>0</v>
      </c>
      <c r="N1144" s="6">
        <v>-1351</v>
      </c>
      <c r="O1144" s="6">
        <v>63618.59</v>
      </c>
      <c r="P1144" s="7">
        <v>0</v>
      </c>
      <c r="Q1144" s="6">
        <v>0</v>
      </c>
    </row>
    <row r="1145" spans="1:17">
      <c r="A1145">
        <v>1144</v>
      </c>
      <c r="B1145" s="5">
        <v>45779</v>
      </c>
      <c r="C1145" t="s">
        <v>791</v>
      </c>
      <c r="D1145" t="s">
        <v>792</v>
      </c>
      <c r="E1145" t="s">
        <v>793</v>
      </c>
      <c r="F1145">
        <v>2</v>
      </c>
      <c r="G1145" t="s">
        <v>801</v>
      </c>
      <c r="H1145" t="s">
        <v>66</v>
      </c>
      <c r="I1145" t="s">
        <v>22</v>
      </c>
      <c r="J1145" t="s">
        <v>67</v>
      </c>
      <c r="K1145" t="s">
        <v>34</v>
      </c>
      <c r="L1145" s="6">
        <v>1500</v>
      </c>
      <c r="M1145" s="6">
        <v>0</v>
      </c>
      <c r="N1145" s="6">
        <v>-1500</v>
      </c>
      <c r="O1145" s="6">
        <v>62118.59</v>
      </c>
      <c r="P1145" s="7">
        <v>0</v>
      </c>
      <c r="Q1145" s="6">
        <v>0</v>
      </c>
    </row>
    <row r="1146" spans="1:17">
      <c r="A1146">
        <v>1145</v>
      </c>
      <c r="B1146" s="5">
        <v>45779</v>
      </c>
      <c r="C1146" t="s">
        <v>791</v>
      </c>
      <c r="D1146" t="s">
        <v>792</v>
      </c>
      <c r="E1146" t="s">
        <v>793</v>
      </c>
      <c r="F1146">
        <v>2</v>
      </c>
      <c r="G1146" t="s">
        <v>581</v>
      </c>
      <c r="H1146" t="s">
        <v>582</v>
      </c>
      <c r="I1146" t="s">
        <v>16</v>
      </c>
      <c r="J1146" t="s">
        <v>52</v>
      </c>
      <c r="K1146" t="s">
        <v>35</v>
      </c>
      <c r="L1146" s="6">
        <v>0</v>
      </c>
      <c r="M1146" s="6">
        <v>1000</v>
      </c>
      <c r="N1146" s="6">
        <v>1000</v>
      </c>
      <c r="O1146" s="6">
        <v>63118.59</v>
      </c>
      <c r="P1146" s="7">
        <v>0</v>
      </c>
      <c r="Q1146" s="6">
        <v>0</v>
      </c>
    </row>
    <row r="1147" spans="1:17">
      <c r="A1147">
        <v>1146</v>
      </c>
      <c r="B1147" s="5">
        <v>45779</v>
      </c>
      <c r="C1147" t="s">
        <v>791</v>
      </c>
      <c r="D1147" t="s">
        <v>792</v>
      </c>
      <c r="E1147" t="s">
        <v>793</v>
      </c>
      <c r="F1147">
        <v>2</v>
      </c>
      <c r="G1147" t="s">
        <v>802</v>
      </c>
      <c r="H1147" t="s">
        <v>66</v>
      </c>
      <c r="I1147" t="s">
        <v>22</v>
      </c>
      <c r="J1147" t="s">
        <v>67</v>
      </c>
      <c r="K1147" t="s">
        <v>34</v>
      </c>
      <c r="L1147" s="6">
        <v>3692.77</v>
      </c>
      <c r="M1147" s="6">
        <v>0</v>
      </c>
      <c r="N1147" s="6">
        <v>-3692.77</v>
      </c>
      <c r="O1147" s="6">
        <v>59425.82</v>
      </c>
      <c r="P1147" s="7">
        <v>0</v>
      </c>
      <c r="Q1147" s="6">
        <v>0</v>
      </c>
    </row>
    <row r="1148" spans="1:17">
      <c r="A1148">
        <v>1147</v>
      </c>
      <c r="B1148" s="5">
        <v>45779</v>
      </c>
      <c r="C1148" t="s">
        <v>791</v>
      </c>
      <c r="D1148" t="s">
        <v>792</v>
      </c>
      <c r="E1148" t="s">
        <v>793</v>
      </c>
      <c r="F1148">
        <v>2</v>
      </c>
      <c r="G1148" t="s">
        <v>803</v>
      </c>
      <c r="H1148" t="s">
        <v>66</v>
      </c>
      <c r="I1148" t="s">
        <v>22</v>
      </c>
      <c r="J1148" t="s">
        <v>67</v>
      </c>
      <c r="K1148" t="s">
        <v>34</v>
      </c>
      <c r="L1148" s="6">
        <v>3767.67</v>
      </c>
      <c r="M1148" s="6">
        <v>0</v>
      </c>
      <c r="N1148" s="6">
        <v>-3767.67</v>
      </c>
      <c r="O1148" s="6">
        <v>55658.15</v>
      </c>
      <c r="P1148" s="7">
        <v>0</v>
      </c>
      <c r="Q1148" s="6">
        <v>0</v>
      </c>
    </row>
    <row r="1149" spans="1:17">
      <c r="A1149">
        <v>1148</v>
      </c>
      <c r="B1149" s="5">
        <v>45779</v>
      </c>
      <c r="C1149" t="s">
        <v>791</v>
      </c>
      <c r="D1149" t="s">
        <v>792</v>
      </c>
      <c r="E1149" t="s">
        <v>793</v>
      </c>
      <c r="F1149">
        <v>2</v>
      </c>
      <c r="G1149" t="s">
        <v>804</v>
      </c>
      <c r="H1149" t="s">
        <v>66</v>
      </c>
      <c r="I1149" t="s">
        <v>22</v>
      </c>
      <c r="J1149" t="s">
        <v>67</v>
      </c>
      <c r="K1149" t="s">
        <v>34</v>
      </c>
      <c r="L1149" s="6">
        <v>5446.5</v>
      </c>
      <c r="M1149" s="6">
        <v>0</v>
      </c>
      <c r="N1149" s="6">
        <v>-5446.5</v>
      </c>
      <c r="O1149" s="6">
        <v>50211.65</v>
      </c>
      <c r="P1149" s="7">
        <v>0</v>
      </c>
      <c r="Q1149" s="6">
        <v>0</v>
      </c>
    </row>
    <row r="1150" spans="1:17">
      <c r="A1150">
        <v>1149</v>
      </c>
      <c r="B1150" s="5">
        <v>45779</v>
      </c>
      <c r="C1150" t="s">
        <v>791</v>
      </c>
      <c r="D1150" t="s">
        <v>792</v>
      </c>
      <c r="E1150" t="s">
        <v>793</v>
      </c>
      <c r="F1150">
        <v>2</v>
      </c>
      <c r="G1150" t="s">
        <v>805</v>
      </c>
      <c r="H1150" t="s">
        <v>66</v>
      </c>
      <c r="I1150" t="s">
        <v>22</v>
      </c>
      <c r="J1150" t="s">
        <v>67</v>
      </c>
      <c r="K1150" t="s">
        <v>34</v>
      </c>
      <c r="L1150" s="6">
        <v>1000</v>
      </c>
      <c r="M1150" s="6">
        <v>0</v>
      </c>
      <c r="N1150" s="6">
        <v>-1000</v>
      </c>
      <c r="O1150" s="6">
        <v>49211.65</v>
      </c>
      <c r="P1150" s="7">
        <v>0</v>
      </c>
      <c r="Q1150" s="6">
        <v>0</v>
      </c>
    </row>
    <row r="1151" spans="1:17">
      <c r="A1151">
        <v>1150</v>
      </c>
      <c r="B1151" s="5">
        <v>45779</v>
      </c>
      <c r="C1151" t="s">
        <v>791</v>
      </c>
      <c r="D1151" t="s">
        <v>792</v>
      </c>
      <c r="E1151" t="s">
        <v>793</v>
      </c>
      <c r="F1151">
        <v>2</v>
      </c>
      <c r="G1151" t="s">
        <v>806</v>
      </c>
      <c r="H1151" t="s">
        <v>66</v>
      </c>
      <c r="I1151" t="s">
        <v>22</v>
      </c>
      <c r="J1151" t="s">
        <v>67</v>
      </c>
      <c r="K1151" t="s">
        <v>34</v>
      </c>
      <c r="L1151" s="6">
        <v>2500</v>
      </c>
      <c r="M1151" s="6">
        <v>0</v>
      </c>
      <c r="N1151" s="6">
        <v>-2500</v>
      </c>
      <c r="O1151" s="6">
        <v>46711.65</v>
      </c>
      <c r="P1151" s="7">
        <v>0</v>
      </c>
      <c r="Q1151" s="6">
        <v>0</v>
      </c>
    </row>
    <row r="1152" spans="1:17">
      <c r="A1152">
        <v>1151</v>
      </c>
      <c r="B1152" s="5">
        <v>45779</v>
      </c>
      <c r="C1152" t="s">
        <v>791</v>
      </c>
      <c r="D1152" t="s">
        <v>792</v>
      </c>
      <c r="E1152" t="s">
        <v>793</v>
      </c>
      <c r="F1152">
        <v>2</v>
      </c>
      <c r="G1152" t="s">
        <v>807</v>
      </c>
      <c r="H1152" t="s">
        <v>66</v>
      </c>
      <c r="I1152" t="s">
        <v>22</v>
      </c>
      <c r="J1152" t="s">
        <v>67</v>
      </c>
      <c r="K1152" t="s">
        <v>34</v>
      </c>
      <c r="L1152" s="6">
        <v>220</v>
      </c>
      <c r="M1152" s="6">
        <v>0</v>
      </c>
      <c r="N1152" s="6">
        <v>-220</v>
      </c>
      <c r="O1152" s="6">
        <v>46491.65</v>
      </c>
      <c r="P1152" s="7">
        <v>0</v>
      </c>
      <c r="Q1152" s="6">
        <v>0</v>
      </c>
    </row>
    <row r="1153" spans="1:17">
      <c r="A1153">
        <v>1152</v>
      </c>
      <c r="B1153" s="5">
        <v>45779</v>
      </c>
      <c r="C1153" t="s">
        <v>791</v>
      </c>
      <c r="D1153" t="s">
        <v>792</v>
      </c>
      <c r="E1153" t="s">
        <v>793</v>
      </c>
      <c r="F1153">
        <v>2</v>
      </c>
      <c r="G1153" t="s">
        <v>808</v>
      </c>
      <c r="H1153" t="s">
        <v>66</v>
      </c>
      <c r="I1153" t="s">
        <v>22</v>
      </c>
      <c r="J1153" t="s">
        <v>67</v>
      </c>
      <c r="K1153" t="s">
        <v>34</v>
      </c>
      <c r="L1153" s="6">
        <v>13374.41</v>
      </c>
      <c r="M1153" s="6">
        <v>0</v>
      </c>
      <c r="N1153" s="6">
        <v>-13374.41</v>
      </c>
      <c r="O1153" s="6">
        <v>33117.24</v>
      </c>
      <c r="P1153" s="7">
        <v>0</v>
      </c>
      <c r="Q1153" s="6">
        <v>0</v>
      </c>
    </row>
    <row r="1154" spans="1:17">
      <c r="A1154">
        <v>1153</v>
      </c>
      <c r="B1154" s="5">
        <v>45779</v>
      </c>
      <c r="C1154" t="s">
        <v>791</v>
      </c>
      <c r="D1154" t="s">
        <v>792</v>
      </c>
      <c r="E1154" t="s">
        <v>793</v>
      </c>
      <c r="F1154">
        <v>2</v>
      </c>
      <c r="G1154" t="s">
        <v>809</v>
      </c>
      <c r="H1154" t="s">
        <v>66</v>
      </c>
      <c r="I1154" t="s">
        <v>22</v>
      </c>
      <c r="J1154" t="s">
        <v>67</v>
      </c>
      <c r="K1154" t="s">
        <v>34</v>
      </c>
      <c r="L1154" s="6">
        <v>325.42</v>
      </c>
      <c r="M1154" s="6">
        <v>0</v>
      </c>
      <c r="N1154" s="6">
        <v>-325.42</v>
      </c>
      <c r="O1154" s="6">
        <v>32791.82</v>
      </c>
      <c r="P1154" s="7">
        <v>0</v>
      </c>
      <c r="Q1154" s="6">
        <v>0</v>
      </c>
    </row>
    <row r="1155" spans="1:17">
      <c r="A1155">
        <v>1154</v>
      </c>
      <c r="B1155" s="5">
        <v>45779</v>
      </c>
      <c r="C1155" t="s">
        <v>791</v>
      </c>
      <c r="D1155" t="s">
        <v>792</v>
      </c>
      <c r="E1155" t="s">
        <v>793</v>
      </c>
      <c r="F1155">
        <v>2</v>
      </c>
      <c r="G1155" t="s">
        <v>810</v>
      </c>
      <c r="H1155" t="s">
        <v>66</v>
      </c>
      <c r="I1155" t="s">
        <v>22</v>
      </c>
      <c r="J1155" t="s">
        <v>67</v>
      </c>
      <c r="K1155" t="s">
        <v>34</v>
      </c>
      <c r="L1155" s="6">
        <v>3700</v>
      </c>
      <c r="M1155" s="6">
        <v>0</v>
      </c>
      <c r="N1155" s="6">
        <v>-3700</v>
      </c>
      <c r="O1155" s="6">
        <v>29091.82</v>
      </c>
      <c r="P1155" s="7">
        <v>0</v>
      </c>
      <c r="Q1155" s="6">
        <v>0</v>
      </c>
    </row>
    <row r="1156" spans="1:17">
      <c r="A1156">
        <v>1155</v>
      </c>
      <c r="B1156" s="5">
        <v>45779</v>
      </c>
      <c r="C1156" t="s">
        <v>791</v>
      </c>
      <c r="D1156" t="s">
        <v>792</v>
      </c>
      <c r="E1156" t="s">
        <v>793</v>
      </c>
      <c r="F1156">
        <v>2</v>
      </c>
      <c r="G1156" t="s">
        <v>415</v>
      </c>
      <c r="H1156" t="s">
        <v>416</v>
      </c>
      <c r="I1156" t="s">
        <v>16</v>
      </c>
      <c r="J1156" t="s">
        <v>52</v>
      </c>
      <c r="K1156" t="s">
        <v>35</v>
      </c>
      <c r="L1156" s="6">
        <v>0</v>
      </c>
      <c r="M1156" s="6">
        <v>200</v>
      </c>
      <c r="N1156" s="6">
        <v>200</v>
      </c>
      <c r="O1156" s="6">
        <v>29291.82</v>
      </c>
      <c r="P1156" s="7">
        <v>0</v>
      </c>
      <c r="Q1156" s="6">
        <v>0</v>
      </c>
    </row>
    <row r="1157" spans="1:17">
      <c r="A1157">
        <v>1156</v>
      </c>
      <c r="B1157" s="5">
        <v>45779</v>
      </c>
      <c r="C1157" t="s">
        <v>791</v>
      </c>
      <c r="D1157" t="s">
        <v>792</v>
      </c>
      <c r="E1157" t="s">
        <v>793</v>
      </c>
      <c r="F1157">
        <v>2</v>
      </c>
      <c r="G1157" t="s">
        <v>415</v>
      </c>
      <c r="H1157" t="s">
        <v>416</v>
      </c>
      <c r="I1157" t="s">
        <v>16</v>
      </c>
      <c r="J1157" t="s">
        <v>52</v>
      </c>
      <c r="K1157" t="s">
        <v>35</v>
      </c>
      <c r="L1157" s="6">
        <v>0</v>
      </c>
      <c r="M1157" s="6">
        <v>136</v>
      </c>
      <c r="N1157" s="6">
        <v>136</v>
      </c>
      <c r="O1157" s="6">
        <v>29427.82</v>
      </c>
      <c r="P1157" s="7">
        <v>0</v>
      </c>
      <c r="Q1157" s="6">
        <v>0</v>
      </c>
    </row>
    <row r="1158" spans="1:17">
      <c r="A1158">
        <v>1157</v>
      </c>
      <c r="B1158" s="5">
        <v>45779</v>
      </c>
      <c r="C1158" t="s">
        <v>791</v>
      </c>
      <c r="D1158" t="s">
        <v>792</v>
      </c>
      <c r="E1158" t="s">
        <v>793</v>
      </c>
      <c r="F1158">
        <v>2</v>
      </c>
      <c r="G1158" t="s">
        <v>780</v>
      </c>
      <c r="H1158" t="s">
        <v>781</v>
      </c>
      <c r="I1158" t="s">
        <v>16</v>
      </c>
      <c r="J1158" t="s">
        <v>52</v>
      </c>
      <c r="K1158" t="s">
        <v>35</v>
      </c>
      <c r="L1158" s="6">
        <v>0</v>
      </c>
      <c r="M1158" s="6">
        <v>2000</v>
      </c>
      <c r="N1158" s="6">
        <v>2000</v>
      </c>
      <c r="O1158" s="6">
        <v>31427.82</v>
      </c>
      <c r="P1158" s="7">
        <v>0</v>
      </c>
      <c r="Q1158" s="6">
        <v>0</v>
      </c>
    </row>
    <row r="1159" spans="1:17">
      <c r="A1159">
        <v>1158</v>
      </c>
      <c r="B1159" s="5">
        <v>45779</v>
      </c>
      <c r="C1159" t="s">
        <v>791</v>
      </c>
      <c r="D1159" t="s">
        <v>792</v>
      </c>
      <c r="E1159" t="s">
        <v>793</v>
      </c>
      <c r="F1159">
        <v>2</v>
      </c>
      <c r="G1159" t="s">
        <v>780</v>
      </c>
      <c r="H1159" t="s">
        <v>781</v>
      </c>
      <c r="I1159" t="s">
        <v>16</v>
      </c>
      <c r="J1159" t="s">
        <v>52</v>
      </c>
      <c r="K1159" t="s">
        <v>35</v>
      </c>
      <c r="L1159" s="6">
        <v>0</v>
      </c>
      <c r="M1159" s="6">
        <v>2000</v>
      </c>
      <c r="N1159" s="6">
        <v>2000</v>
      </c>
      <c r="O1159" s="6">
        <v>33427.82</v>
      </c>
      <c r="P1159" s="7">
        <v>0</v>
      </c>
      <c r="Q1159" s="6">
        <v>0</v>
      </c>
    </row>
    <row r="1160" spans="1:17">
      <c r="A1160">
        <v>1159</v>
      </c>
      <c r="B1160" s="5">
        <v>45779</v>
      </c>
      <c r="C1160" t="s">
        <v>791</v>
      </c>
      <c r="D1160" t="s">
        <v>792</v>
      </c>
      <c r="E1160" t="s">
        <v>793</v>
      </c>
      <c r="F1160">
        <v>7</v>
      </c>
      <c r="G1160" t="s">
        <v>506</v>
      </c>
      <c r="H1160" t="s">
        <v>507</v>
      </c>
      <c r="I1160" t="s">
        <v>16</v>
      </c>
      <c r="J1160" t="s">
        <v>52</v>
      </c>
      <c r="K1160" t="s">
        <v>35</v>
      </c>
      <c r="L1160" s="6">
        <v>0</v>
      </c>
      <c r="M1160" s="6">
        <v>190</v>
      </c>
      <c r="N1160" s="6">
        <v>190</v>
      </c>
      <c r="O1160" s="6">
        <v>44014.59</v>
      </c>
      <c r="P1160" s="7">
        <v>0</v>
      </c>
      <c r="Q1160" s="6">
        <v>0</v>
      </c>
    </row>
    <row r="1161" spans="1:17">
      <c r="A1161">
        <v>1160</v>
      </c>
      <c r="B1161" s="5">
        <v>45779</v>
      </c>
      <c r="C1161" t="s">
        <v>791</v>
      </c>
      <c r="D1161" t="s">
        <v>792</v>
      </c>
      <c r="E1161" t="s">
        <v>793</v>
      </c>
      <c r="F1161">
        <v>7</v>
      </c>
      <c r="G1161" t="s">
        <v>212</v>
      </c>
      <c r="H1161" t="s">
        <v>213</v>
      </c>
      <c r="I1161" t="s">
        <v>16</v>
      </c>
      <c r="J1161" t="s">
        <v>52</v>
      </c>
      <c r="K1161" t="s">
        <v>35</v>
      </c>
      <c r="L1161" s="6">
        <v>0</v>
      </c>
      <c r="M1161" s="6">
        <v>1000</v>
      </c>
      <c r="N1161" s="6">
        <v>1000</v>
      </c>
      <c r="O1161" s="6">
        <v>45014.59</v>
      </c>
      <c r="P1161" s="7">
        <v>0</v>
      </c>
      <c r="Q1161" s="6">
        <v>0</v>
      </c>
    </row>
    <row r="1162" spans="1:17">
      <c r="A1162">
        <v>1161</v>
      </c>
      <c r="B1162" s="5">
        <v>45779</v>
      </c>
      <c r="C1162" t="s">
        <v>791</v>
      </c>
      <c r="D1162" t="s">
        <v>792</v>
      </c>
      <c r="E1162" t="s">
        <v>793</v>
      </c>
      <c r="F1162">
        <v>7</v>
      </c>
      <c r="G1162" t="s">
        <v>589</v>
      </c>
      <c r="H1162" t="s">
        <v>590</v>
      </c>
      <c r="I1162" t="s">
        <v>16</v>
      </c>
      <c r="J1162" t="s">
        <v>52</v>
      </c>
      <c r="K1162" t="s">
        <v>35</v>
      </c>
      <c r="L1162" s="6">
        <v>0</v>
      </c>
      <c r="M1162" s="6">
        <v>500</v>
      </c>
      <c r="N1162" s="6">
        <v>500</v>
      </c>
      <c r="O1162" s="6">
        <v>45514.59</v>
      </c>
      <c r="P1162" s="7">
        <v>0</v>
      </c>
      <c r="Q1162" s="6">
        <v>0</v>
      </c>
    </row>
    <row r="1163" spans="1:17">
      <c r="A1163">
        <v>1162</v>
      </c>
      <c r="B1163" s="5">
        <v>45779</v>
      </c>
      <c r="C1163" t="s">
        <v>791</v>
      </c>
      <c r="D1163" t="s">
        <v>792</v>
      </c>
      <c r="E1163" t="s">
        <v>793</v>
      </c>
      <c r="F1163">
        <v>7</v>
      </c>
      <c r="G1163" t="s">
        <v>589</v>
      </c>
      <c r="H1163" t="s">
        <v>590</v>
      </c>
      <c r="I1163" t="s">
        <v>16</v>
      </c>
      <c r="J1163" t="s">
        <v>52</v>
      </c>
      <c r="K1163" t="s">
        <v>35</v>
      </c>
      <c r="L1163" s="6">
        <v>0</v>
      </c>
      <c r="M1163" s="6">
        <v>1000</v>
      </c>
      <c r="N1163" s="6">
        <v>1000</v>
      </c>
      <c r="O1163" s="6">
        <v>46514.59</v>
      </c>
      <c r="P1163" s="7">
        <v>0</v>
      </c>
      <c r="Q1163" s="6">
        <v>0</v>
      </c>
    </row>
    <row r="1164" spans="1:17">
      <c r="A1164">
        <v>1163</v>
      </c>
      <c r="B1164" s="5">
        <v>45779</v>
      </c>
      <c r="C1164" t="s">
        <v>791</v>
      </c>
      <c r="D1164" t="s">
        <v>792</v>
      </c>
      <c r="E1164" t="s">
        <v>793</v>
      </c>
      <c r="F1164">
        <v>7</v>
      </c>
      <c r="G1164" t="s">
        <v>589</v>
      </c>
      <c r="H1164" t="s">
        <v>590</v>
      </c>
      <c r="I1164" t="s">
        <v>16</v>
      </c>
      <c r="J1164" t="s">
        <v>52</v>
      </c>
      <c r="K1164" t="s">
        <v>35</v>
      </c>
      <c r="L1164" s="6">
        <v>0</v>
      </c>
      <c r="M1164" s="6">
        <v>500</v>
      </c>
      <c r="N1164" s="6">
        <v>500</v>
      </c>
      <c r="O1164" s="6">
        <v>47014.59</v>
      </c>
      <c r="P1164" s="7">
        <v>0</v>
      </c>
      <c r="Q1164" s="6">
        <v>0</v>
      </c>
    </row>
    <row r="1165" spans="1:17">
      <c r="A1165">
        <v>1164</v>
      </c>
      <c r="B1165" s="5">
        <v>45779</v>
      </c>
      <c r="C1165" t="s">
        <v>791</v>
      </c>
      <c r="D1165" t="s">
        <v>792</v>
      </c>
      <c r="E1165" t="s">
        <v>793</v>
      </c>
      <c r="F1165">
        <v>7</v>
      </c>
      <c r="G1165" t="s">
        <v>794</v>
      </c>
      <c r="H1165" t="s">
        <v>795</v>
      </c>
      <c r="I1165" t="s">
        <v>16</v>
      </c>
      <c r="J1165" t="s">
        <v>52</v>
      </c>
      <c r="K1165" t="s">
        <v>35</v>
      </c>
      <c r="L1165" s="6">
        <v>0</v>
      </c>
      <c r="M1165" s="6">
        <v>1000</v>
      </c>
      <c r="N1165" s="6">
        <v>1000</v>
      </c>
      <c r="O1165" s="6">
        <v>48014.59</v>
      </c>
      <c r="P1165" s="7">
        <v>0</v>
      </c>
      <c r="Q1165" s="6">
        <v>0</v>
      </c>
    </row>
    <row r="1166" spans="1:17">
      <c r="A1166">
        <v>1165</v>
      </c>
      <c r="B1166" s="5">
        <v>45779</v>
      </c>
      <c r="C1166" t="s">
        <v>791</v>
      </c>
      <c r="D1166" t="s">
        <v>792</v>
      </c>
      <c r="E1166" t="s">
        <v>793</v>
      </c>
      <c r="F1166">
        <v>7</v>
      </c>
      <c r="G1166" t="s">
        <v>780</v>
      </c>
      <c r="H1166" t="s">
        <v>781</v>
      </c>
      <c r="I1166" t="s">
        <v>16</v>
      </c>
      <c r="J1166" t="s">
        <v>52</v>
      </c>
      <c r="K1166" t="s">
        <v>35</v>
      </c>
      <c r="L1166" s="6">
        <v>0</v>
      </c>
      <c r="M1166" s="6">
        <v>2000</v>
      </c>
      <c r="N1166" s="6">
        <v>2000</v>
      </c>
      <c r="O1166" s="6">
        <v>50014.59</v>
      </c>
      <c r="P1166" s="7">
        <v>0</v>
      </c>
      <c r="Q1166" s="6">
        <v>0</v>
      </c>
    </row>
    <row r="1167" spans="1:17">
      <c r="A1167">
        <v>1166</v>
      </c>
      <c r="B1167" s="5">
        <v>45779</v>
      </c>
      <c r="C1167" t="s">
        <v>791</v>
      </c>
      <c r="D1167" t="s">
        <v>792</v>
      </c>
      <c r="E1167" t="s">
        <v>793</v>
      </c>
      <c r="F1167">
        <v>7</v>
      </c>
      <c r="G1167" t="s">
        <v>780</v>
      </c>
      <c r="H1167" t="s">
        <v>781</v>
      </c>
      <c r="I1167" t="s">
        <v>16</v>
      </c>
      <c r="J1167" t="s">
        <v>52</v>
      </c>
      <c r="K1167" t="s">
        <v>35</v>
      </c>
      <c r="L1167" s="6">
        <v>0</v>
      </c>
      <c r="M1167" s="6">
        <v>2000</v>
      </c>
      <c r="N1167" s="6">
        <v>2000</v>
      </c>
      <c r="O1167" s="6">
        <v>52014.59</v>
      </c>
      <c r="P1167" s="7">
        <v>0</v>
      </c>
      <c r="Q1167" s="6">
        <v>0</v>
      </c>
    </row>
    <row r="1168" spans="1:17">
      <c r="A1168">
        <v>1167</v>
      </c>
      <c r="B1168" s="5">
        <v>45779</v>
      </c>
      <c r="C1168" t="s">
        <v>791</v>
      </c>
      <c r="D1168" t="s">
        <v>792</v>
      </c>
      <c r="E1168" t="s">
        <v>793</v>
      </c>
      <c r="F1168">
        <v>7</v>
      </c>
      <c r="G1168" t="s">
        <v>780</v>
      </c>
      <c r="H1168" t="s">
        <v>781</v>
      </c>
      <c r="I1168" t="s">
        <v>16</v>
      </c>
      <c r="J1168" t="s">
        <v>52</v>
      </c>
      <c r="K1168" t="s">
        <v>35</v>
      </c>
      <c r="L1168" s="6">
        <v>0</v>
      </c>
      <c r="M1168" s="6">
        <v>2000</v>
      </c>
      <c r="N1168" s="6">
        <v>2000</v>
      </c>
      <c r="O1168" s="6">
        <v>54014.59</v>
      </c>
      <c r="P1168" s="7">
        <v>0</v>
      </c>
      <c r="Q1168" s="6">
        <v>0</v>
      </c>
    </row>
    <row r="1169" spans="1:17">
      <c r="A1169">
        <v>1168</v>
      </c>
      <c r="B1169" s="5">
        <v>45779</v>
      </c>
      <c r="C1169" t="s">
        <v>791</v>
      </c>
      <c r="D1169" t="s">
        <v>792</v>
      </c>
      <c r="E1169" t="s">
        <v>793</v>
      </c>
      <c r="F1169">
        <v>7</v>
      </c>
      <c r="G1169" t="s">
        <v>780</v>
      </c>
      <c r="H1169" t="s">
        <v>781</v>
      </c>
      <c r="I1169" t="s">
        <v>16</v>
      </c>
      <c r="J1169" t="s">
        <v>52</v>
      </c>
      <c r="K1169" t="s">
        <v>35</v>
      </c>
      <c r="L1169" s="6">
        <v>0</v>
      </c>
      <c r="M1169" s="6">
        <v>2000</v>
      </c>
      <c r="N1169" s="6">
        <v>2000</v>
      </c>
      <c r="O1169" s="6">
        <v>56014.59</v>
      </c>
      <c r="P1169" s="7">
        <v>0</v>
      </c>
      <c r="Q1169" s="6">
        <v>0</v>
      </c>
    </row>
    <row r="1170" spans="1:17">
      <c r="A1170">
        <v>1169</v>
      </c>
      <c r="B1170" s="5">
        <v>45779</v>
      </c>
      <c r="C1170" t="s">
        <v>791</v>
      </c>
      <c r="D1170" t="s">
        <v>792</v>
      </c>
      <c r="E1170" t="s">
        <v>793</v>
      </c>
      <c r="F1170">
        <v>7</v>
      </c>
      <c r="G1170" t="s">
        <v>780</v>
      </c>
      <c r="H1170" t="s">
        <v>781</v>
      </c>
      <c r="I1170" t="s">
        <v>16</v>
      </c>
      <c r="J1170" t="s">
        <v>52</v>
      </c>
      <c r="K1170" t="s">
        <v>35</v>
      </c>
      <c r="L1170" s="6">
        <v>0</v>
      </c>
      <c r="M1170" s="6">
        <v>2000</v>
      </c>
      <c r="N1170" s="6">
        <v>2000</v>
      </c>
      <c r="O1170" s="6">
        <v>58014.59</v>
      </c>
      <c r="P1170" s="7">
        <v>0</v>
      </c>
      <c r="Q1170" s="6">
        <v>0</v>
      </c>
    </row>
    <row r="1171" spans="1:17">
      <c r="A1171">
        <v>1170</v>
      </c>
      <c r="B1171" s="5">
        <v>45779</v>
      </c>
      <c r="C1171" t="s">
        <v>791</v>
      </c>
      <c r="D1171" t="s">
        <v>792</v>
      </c>
      <c r="E1171" t="s">
        <v>793</v>
      </c>
      <c r="F1171">
        <v>7</v>
      </c>
      <c r="G1171" t="s">
        <v>780</v>
      </c>
      <c r="H1171" t="s">
        <v>781</v>
      </c>
      <c r="I1171" t="s">
        <v>16</v>
      </c>
      <c r="J1171" t="s">
        <v>52</v>
      </c>
      <c r="K1171" t="s">
        <v>35</v>
      </c>
      <c r="L1171" s="6">
        <v>0</v>
      </c>
      <c r="M1171" s="6">
        <v>2000</v>
      </c>
      <c r="N1171" s="6">
        <v>2000</v>
      </c>
      <c r="O1171" s="6">
        <v>60014.59</v>
      </c>
      <c r="P1171" s="7">
        <v>0</v>
      </c>
      <c r="Q1171" s="6">
        <v>0</v>
      </c>
    </row>
    <row r="1172" spans="1:17">
      <c r="A1172">
        <v>1171</v>
      </c>
      <c r="B1172" s="5">
        <v>45779</v>
      </c>
      <c r="C1172" t="s">
        <v>791</v>
      </c>
      <c r="D1172" t="s">
        <v>792</v>
      </c>
      <c r="E1172" t="s">
        <v>793</v>
      </c>
      <c r="F1172">
        <v>7</v>
      </c>
      <c r="G1172" t="s">
        <v>780</v>
      </c>
      <c r="H1172" t="s">
        <v>781</v>
      </c>
      <c r="I1172" t="s">
        <v>16</v>
      </c>
      <c r="J1172" t="s">
        <v>52</v>
      </c>
      <c r="K1172" t="s">
        <v>35</v>
      </c>
      <c r="L1172" s="6">
        <v>0</v>
      </c>
      <c r="M1172" s="6">
        <v>2000</v>
      </c>
      <c r="N1172" s="6">
        <v>2000</v>
      </c>
      <c r="O1172" s="6">
        <v>62014.59</v>
      </c>
      <c r="P1172" s="7">
        <v>0</v>
      </c>
      <c r="Q1172" s="6">
        <v>0</v>
      </c>
    </row>
    <row r="1173" spans="1:17">
      <c r="A1173">
        <v>1172</v>
      </c>
      <c r="B1173" s="5">
        <v>45779</v>
      </c>
      <c r="C1173" t="s">
        <v>791</v>
      </c>
      <c r="D1173" t="s">
        <v>792</v>
      </c>
      <c r="E1173" t="s">
        <v>793</v>
      </c>
      <c r="F1173">
        <v>7</v>
      </c>
      <c r="G1173" t="s">
        <v>212</v>
      </c>
      <c r="H1173" t="s">
        <v>213</v>
      </c>
      <c r="I1173" t="s">
        <v>16</v>
      </c>
      <c r="J1173" t="s">
        <v>52</v>
      </c>
      <c r="K1173" t="s">
        <v>35</v>
      </c>
      <c r="L1173" s="6">
        <v>0</v>
      </c>
      <c r="M1173" s="6">
        <v>500</v>
      </c>
      <c r="N1173" s="6">
        <v>500</v>
      </c>
      <c r="O1173" s="6">
        <v>62514.59</v>
      </c>
      <c r="P1173" s="7">
        <v>0</v>
      </c>
      <c r="Q1173" s="6">
        <v>0</v>
      </c>
    </row>
    <row r="1174" spans="1:17">
      <c r="A1174">
        <v>1173</v>
      </c>
      <c r="B1174" s="5">
        <v>45779</v>
      </c>
      <c r="C1174" t="s">
        <v>791</v>
      </c>
      <c r="D1174" t="s">
        <v>792</v>
      </c>
      <c r="E1174" t="s">
        <v>793</v>
      </c>
      <c r="F1174">
        <v>7</v>
      </c>
      <c r="G1174" t="s">
        <v>796</v>
      </c>
      <c r="H1174" t="s">
        <v>797</v>
      </c>
      <c r="I1174" t="s">
        <v>16</v>
      </c>
      <c r="J1174" t="s">
        <v>52</v>
      </c>
      <c r="K1174" t="s">
        <v>35</v>
      </c>
      <c r="L1174" s="6">
        <v>0</v>
      </c>
      <c r="M1174" s="6">
        <v>250</v>
      </c>
      <c r="N1174" s="6">
        <v>250</v>
      </c>
      <c r="O1174" s="6">
        <v>62764.59</v>
      </c>
      <c r="P1174" s="7">
        <v>0</v>
      </c>
      <c r="Q1174" s="6">
        <v>0</v>
      </c>
    </row>
    <row r="1175" spans="1:17">
      <c r="A1175">
        <v>1174</v>
      </c>
      <c r="B1175" s="5">
        <v>45779</v>
      </c>
      <c r="C1175" t="s">
        <v>791</v>
      </c>
      <c r="D1175" t="s">
        <v>792</v>
      </c>
      <c r="E1175" t="s">
        <v>793</v>
      </c>
      <c r="F1175">
        <v>7</v>
      </c>
      <c r="G1175" t="s">
        <v>794</v>
      </c>
      <c r="H1175" t="s">
        <v>795</v>
      </c>
      <c r="I1175" t="s">
        <v>16</v>
      </c>
      <c r="J1175" t="s">
        <v>52</v>
      </c>
      <c r="K1175" t="s">
        <v>35</v>
      </c>
      <c r="L1175" s="6">
        <v>0</v>
      </c>
      <c r="M1175" s="6">
        <v>2000</v>
      </c>
      <c r="N1175" s="6">
        <v>2000</v>
      </c>
      <c r="O1175" s="6">
        <v>64764.59</v>
      </c>
      <c r="P1175" s="7">
        <v>0</v>
      </c>
      <c r="Q1175" s="6">
        <v>0</v>
      </c>
    </row>
    <row r="1176" spans="1:17">
      <c r="A1176">
        <v>1175</v>
      </c>
      <c r="B1176" s="5">
        <v>45779</v>
      </c>
      <c r="C1176" t="s">
        <v>791</v>
      </c>
      <c r="D1176" t="s">
        <v>792</v>
      </c>
      <c r="E1176" t="s">
        <v>793</v>
      </c>
      <c r="F1176">
        <v>7</v>
      </c>
      <c r="G1176" t="s">
        <v>782</v>
      </c>
      <c r="H1176" t="s">
        <v>783</v>
      </c>
      <c r="I1176" t="s">
        <v>16</v>
      </c>
      <c r="J1176" t="s">
        <v>52</v>
      </c>
      <c r="K1176" t="s">
        <v>35</v>
      </c>
      <c r="L1176" s="6">
        <v>0</v>
      </c>
      <c r="M1176" s="6">
        <v>1000</v>
      </c>
      <c r="N1176" s="6">
        <v>1000</v>
      </c>
      <c r="O1176" s="6">
        <v>65764.59</v>
      </c>
      <c r="P1176" s="7">
        <v>0</v>
      </c>
      <c r="Q1176" s="6">
        <v>0</v>
      </c>
    </row>
    <row r="1177" spans="1:17">
      <c r="A1177">
        <v>1176</v>
      </c>
      <c r="B1177" s="5">
        <v>45779</v>
      </c>
      <c r="C1177" t="s">
        <v>791</v>
      </c>
      <c r="D1177" t="s">
        <v>792</v>
      </c>
      <c r="E1177" t="s">
        <v>793</v>
      </c>
      <c r="F1177">
        <v>7</v>
      </c>
      <c r="G1177" t="s">
        <v>780</v>
      </c>
      <c r="H1177" t="s">
        <v>781</v>
      </c>
      <c r="I1177" t="s">
        <v>16</v>
      </c>
      <c r="J1177" t="s">
        <v>52</v>
      </c>
      <c r="K1177" t="s">
        <v>35</v>
      </c>
      <c r="L1177" s="6">
        <v>0</v>
      </c>
      <c r="M1177" s="6">
        <v>2000</v>
      </c>
      <c r="N1177" s="6">
        <v>2000</v>
      </c>
      <c r="O1177" s="6">
        <v>67764.59</v>
      </c>
      <c r="P1177" s="7">
        <v>0</v>
      </c>
      <c r="Q1177" s="6">
        <v>0</v>
      </c>
    </row>
    <row r="1178" spans="1:17">
      <c r="A1178">
        <v>1177</v>
      </c>
      <c r="B1178" s="5">
        <v>45779</v>
      </c>
      <c r="C1178" t="s">
        <v>791</v>
      </c>
      <c r="D1178" t="s">
        <v>792</v>
      </c>
      <c r="E1178" t="s">
        <v>793</v>
      </c>
      <c r="F1178">
        <v>7</v>
      </c>
      <c r="G1178" t="s">
        <v>780</v>
      </c>
      <c r="H1178" t="s">
        <v>781</v>
      </c>
      <c r="I1178" t="s">
        <v>16</v>
      </c>
      <c r="J1178" t="s">
        <v>52</v>
      </c>
      <c r="K1178" t="s">
        <v>35</v>
      </c>
      <c r="L1178" s="6">
        <v>0</v>
      </c>
      <c r="M1178" s="6">
        <v>2000</v>
      </c>
      <c r="N1178" s="6">
        <v>2000</v>
      </c>
      <c r="O1178" s="6">
        <v>69764.59</v>
      </c>
      <c r="P1178" s="7">
        <v>0</v>
      </c>
      <c r="Q1178" s="6">
        <v>0</v>
      </c>
    </row>
    <row r="1179" spans="1:17">
      <c r="A1179">
        <v>1178</v>
      </c>
      <c r="B1179" s="5">
        <v>45779</v>
      </c>
      <c r="C1179" t="s">
        <v>791</v>
      </c>
      <c r="D1179" t="s">
        <v>792</v>
      </c>
      <c r="E1179" t="s">
        <v>793</v>
      </c>
      <c r="F1179">
        <v>7</v>
      </c>
      <c r="G1179" t="s">
        <v>780</v>
      </c>
      <c r="H1179" t="s">
        <v>781</v>
      </c>
      <c r="I1179" t="s">
        <v>16</v>
      </c>
      <c r="J1179" t="s">
        <v>52</v>
      </c>
      <c r="K1179" t="s">
        <v>35</v>
      </c>
      <c r="L1179" s="6">
        <v>0</v>
      </c>
      <c r="M1179" s="6">
        <v>2000</v>
      </c>
      <c r="N1179" s="6">
        <v>2000</v>
      </c>
      <c r="O1179" s="6">
        <v>71764.59</v>
      </c>
      <c r="P1179" s="7">
        <v>0</v>
      </c>
      <c r="Q1179" s="6">
        <v>0</v>
      </c>
    </row>
    <row r="1180" spans="1:17">
      <c r="A1180">
        <v>1179</v>
      </c>
      <c r="B1180" s="5">
        <v>45779</v>
      </c>
      <c r="C1180" t="s">
        <v>791</v>
      </c>
      <c r="D1180" t="s">
        <v>792</v>
      </c>
      <c r="E1180" t="s">
        <v>793</v>
      </c>
      <c r="F1180">
        <v>7</v>
      </c>
      <c r="G1180" t="s">
        <v>780</v>
      </c>
      <c r="H1180" t="s">
        <v>781</v>
      </c>
      <c r="I1180" t="s">
        <v>16</v>
      </c>
      <c r="J1180" t="s">
        <v>52</v>
      </c>
      <c r="K1180" t="s">
        <v>35</v>
      </c>
      <c r="L1180" s="6">
        <v>0</v>
      </c>
      <c r="M1180" s="6">
        <v>1500</v>
      </c>
      <c r="N1180" s="6">
        <v>1500</v>
      </c>
      <c r="O1180" s="6">
        <v>73264.59</v>
      </c>
      <c r="P1180" s="7">
        <v>0</v>
      </c>
      <c r="Q1180" s="6">
        <v>0</v>
      </c>
    </row>
    <row r="1181" spans="1:17">
      <c r="A1181">
        <v>1180</v>
      </c>
      <c r="B1181" s="5">
        <v>45779</v>
      </c>
      <c r="C1181" t="s">
        <v>791</v>
      </c>
      <c r="D1181" t="s">
        <v>792</v>
      </c>
      <c r="E1181" t="s">
        <v>793</v>
      </c>
      <c r="F1181">
        <v>7</v>
      </c>
      <c r="G1181" t="s">
        <v>415</v>
      </c>
      <c r="H1181" t="s">
        <v>416</v>
      </c>
      <c r="I1181" t="s">
        <v>16</v>
      </c>
      <c r="J1181" t="s">
        <v>52</v>
      </c>
      <c r="K1181" t="s">
        <v>35</v>
      </c>
      <c r="L1181" s="6">
        <v>0</v>
      </c>
      <c r="M1181" s="6">
        <v>200</v>
      </c>
      <c r="N1181" s="6">
        <v>200</v>
      </c>
      <c r="O1181" s="6">
        <v>73464.59</v>
      </c>
      <c r="P1181" s="7">
        <v>0</v>
      </c>
      <c r="Q1181" s="6">
        <v>0</v>
      </c>
    </row>
    <row r="1182" spans="1:17">
      <c r="A1182">
        <v>1181</v>
      </c>
      <c r="B1182" s="5">
        <v>45779</v>
      </c>
      <c r="C1182" t="s">
        <v>791</v>
      </c>
      <c r="D1182" t="s">
        <v>792</v>
      </c>
      <c r="E1182" t="s">
        <v>793</v>
      </c>
      <c r="F1182">
        <v>7</v>
      </c>
      <c r="G1182" t="s">
        <v>506</v>
      </c>
      <c r="H1182" t="s">
        <v>507</v>
      </c>
      <c r="I1182" t="s">
        <v>16</v>
      </c>
      <c r="J1182" t="s">
        <v>52</v>
      </c>
      <c r="K1182" t="s">
        <v>35</v>
      </c>
      <c r="L1182" s="6">
        <v>0</v>
      </c>
      <c r="M1182" s="6">
        <v>440</v>
      </c>
      <c r="N1182" s="6">
        <v>440</v>
      </c>
      <c r="O1182" s="6">
        <v>73904.59</v>
      </c>
      <c r="P1182" s="7">
        <v>0</v>
      </c>
      <c r="Q1182" s="6">
        <v>0</v>
      </c>
    </row>
    <row r="1183" spans="1:17">
      <c r="A1183">
        <v>1182</v>
      </c>
      <c r="B1183" s="5">
        <v>45779</v>
      </c>
      <c r="C1183" t="s">
        <v>791</v>
      </c>
      <c r="D1183" t="s">
        <v>792</v>
      </c>
      <c r="E1183" t="s">
        <v>793</v>
      </c>
      <c r="F1183">
        <v>7</v>
      </c>
      <c r="G1183" t="s">
        <v>794</v>
      </c>
      <c r="H1183" t="s">
        <v>795</v>
      </c>
      <c r="I1183" t="s">
        <v>16</v>
      </c>
      <c r="J1183" t="s">
        <v>52</v>
      </c>
      <c r="K1183" t="s">
        <v>35</v>
      </c>
      <c r="L1183" s="6">
        <v>0</v>
      </c>
      <c r="M1183" s="6">
        <v>2000</v>
      </c>
      <c r="N1183" s="6">
        <v>2000</v>
      </c>
      <c r="O1183" s="6">
        <v>75904.59</v>
      </c>
      <c r="P1183" s="7">
        <v>0</v>
      </c>
      <c r="Q1183" s="6">
        <v>0</v>
      </c>
    </row>
    <row r="1184" spans="1:17">
      <c r="A1184">
        <v>1183</v>
      </c>
      <c r="B1184" s="5">
        <v>45779</v>
      </c>
      <c r="C1184" t="s">
        <v>791</v>
      </c>
      <c r="D1184" t="s">
        <v>792</v>
      </c>
      <c r="E1184" t="s">
        <v>793</v>
      </c>
      <c r="F1184">
        <v>7</v>
      </c>
      <c r="G1184" t="s">
        <v>440</v>
      </c>
      <c r="H1184" t="s">
        <v>441</v>
      </c>
      <c r="I1184" t="s">
        <v>16</v>
      </c>
      <c r="J1184" t="s">
        <v>52</v>
      </c>
      <c r="K1184" t="s">
        <v>35</v>
      </c>
      <c r="L1184" s="6">
        <v>0</v>
      </c>
      <c r="M1184" s="6">
        <v>3000</v>
      </c>
      <c r="N1184" s="6">
        <v>3000</v>
      </c>
      <c r="O1184" s="6">
        <v>78904.59</v>
      </c>
      <c r="P1184" s="7">
        <v>0</v>
      </c>
      <c r="Q1184" s="6">
        <v>0</v>
      </c>
    </row>
    <row r="1185" spans="1:17">
      <c r="A1185">
        <v>1184</v>
      </c>
      <c r="B1185" s="5">
        <v>45779</v>
      </c>
      <c r="C1185" t="s">
        <v>791</v>
      </c>
      <c r="D1185" t="s">
        <v>792</v>
      </c>
      <c r="E1185" t="s">
        <v>793</v>
      </c>
      <c r="F1185">
        <v>8</v>
      </c>
      <c r="G1185" t="s">
        <v>285</v>
      </c>
      <c r="H1185" t="s">
        <v>286</v>
      </c>
      <c r="I1185" t="s">
        <v>16</v>
      </c>
      <c r="J1185" t="s">
        <v>52</v>
      </c>
      <c r="K1185" t="s">
        <v>35</v>
      </c>
      <c r="L1185" s="6">
        <v>0</v>
      </c>
      <c r="M1185" s="6">
        <v>700</v>
      </c>
      <c r="N1185" s="6">
        <v>700</v>
      </c>
      <c r="O1185" s="6">
        <v>79604.59</v>
      </c>
      <c r="P1185" s="7">
        <v>0</v>
      </c>
      <c r="Q1185" s="6">
        <v>0</v>
      </c>
    </row>
    <row r="1186" spans="1:17">
      <c r="A1186">
        <v>1185</v>
      </c>
      <c r="B1186" s="5">
        <v>45779</v>
      </c>
      <c r="C1186" t="s">
        <v>791</v>
      </c>
      <c r="D1186" t="s">
        <v>792</v>
      </c>
      <c r="E1186" t="s">
        <v>793</v>
      </c>
      <c r="F1186">
        <v>8</v>
      </c>
      <c r="G1186" t="s">
        <v>798</v>
      </c>
      <c r="I1186" t="s">
        <v>17</v>
      </c>
      <c r="J1186" t="s">
        <v>64</v>
      </c>
      <c r="K1186" t="s">
        <v>34</v>
      </c>
      <c r="L1186" s="6">
        <v>25000</v>
      </c>
      <c r="M1186" s="6">
        <v>0</v>
      </c>
      <c r="N1186" s="6">
        <v>-25000</v>
      </c>
      <c r="O1186" s="6">
        <v>54604.59</v>
      </c>
      <c r="P1186" s="7">
        <v>0</v>
      </c>
      <c r="Q1186" s="6">
        <v>0</v>
      </c>
    </row>
    <row r="1187" spans="1:17">
      <c r="A1187">
        <v>1186</v>
      </c>
      <c r="B1187" s="5">
        <v>45779</v>
      </c>
      <c r="C1187" t="s">
        <v>791</v>
      </c>
      <c r="D1187" t="s">
        <v>792</v>
      </c>
      <c r="E1187" t="s">
        <v>793</v>
      </c>
      <c r="F1187">
        <v>8</v>
      </c>
      <c r="G1187" t="s">
        <v>589</v>
      </c>
      <c r="H1187" t="s">
        <v>590</v>
      </c>
      <c r="I1187" t="s">
        <v>16</v>
      </c>
      <c r="J1187" t="s">
        <v>52</v>
      </c>
      <c r="K1187" t="s">
        <v>35</v>
      </c>
      <c r="L1187" s="6">
        <v>0</v>
      </c>
      <c r="M1187" s="6">
        <v>300</v>
      </c>
      <c r="N1187" s="6">
        <v>300</v>
      </c>
      <c r="O1187" s="6">
        <v>54904.59</v>
      </c>
      <c r="P1187" s="7">
        <v>0</v>
      </c>
      <c r="Q1187" s="6">
        <v>0</v>
      </c>
    </row>
    <row r="1188" spans="1:17">
      <c r="A1188">
        <v>1187</v>
      </c>
      <c r="B1188" s="5">
        <v>45779</v>
      </c>
      <c r="C1188" t="s">
        <v>791</v>
      </c>
      <c r="D1188" t="s">
        <v>792</v>
      </c>
      <c r="E1188" t="s">
        <v>793</v>
      </c>
      <c r="F1188">
        <v>8</v>
      </c>
      <c r="G1188" t="s">
        <v>385</v>
      </c>
      <c r="H1188" t="s">
        <v>386</v>
      </c>
      <c r="I1188" t="s">
        <v>16</v>
      </c>
      <c r="J1188" t="s">
        <v>52</v>
      </c>
      <c r="K1188" t="s">
        <v>35</v>
      </c>
      <c r="L1188" s="6">
        <v>0</v>
      </c>
      <c r="M1188" s="6">
        <v>250</v>
      </c>
      <c r="N1188" s="6">
        <v>250</v>
      </c>
      <c r="O1188" s="6">
        <v>55154.59</v>
      </c>
      <c r="P1188" s="7">
        <v>0</v>
      </c>
      <c r="Q1188" s="6">
        <v>0</v>
      </c>
    </row>
    <row r="1189" spans="1:17">
      <c r="A1189">
        <v>1188</v>
      </c>
      <c r="B1189" s="5">
        <v>45779</v>
      </c>
      <c r="C1189" t="s">
        <v>791</v>
      </c>
      <c r="D1189" t="s">
        <v>792</v>
      </c>
      <c r="E1189" t="s">
        <v>793</v>
      </c>
      <c r="F1189">
        <v>8</v>
      </c>
      <c r="G1189" t="s">
        <v>548</v>
      </c>
      <c r="H1189" t="s">
        <v>549</v>
      </c>
      <c r="I1189" t="s">
        <v>16</v>
      </c>
      <c r="J1189" t="s">
        <v>52</v>
      </c>
      <c r="K1189" t="s">
        <v>35</v>
      </c>
      <c r="L1189" s="6">
        <v>0</v>
      </c>
      <c r="M1189" s="6">
        <v>4000</v>
      </c>
      <c r="N1189" s="6">
        <v>4000</v>
      </c>
      <c r="O1189" s="6">
        <v>59154.59</v>
      </c>
      <c r="P1189" s="7">
        <v>0</v>
      </c>
      <c r="Q1189" s="6">
        <v>0</v>
      </c>
    </row>
    <row r="1190" spans="1:17">
      <c r="A1190">
        <v>1189</v>
      </c>
      <c r="B1190" s="5">
        <v>45779</v>
      </c>
      <c r="C1190" t="s">
        <v>791</v>
      </c>
      <c r="D1190" t="s">
        <v>792</v>
      </c>
      <c r="E1190" t="s">
        <v>793</v>
      </c>
      <c r="F1190">
        <v>8</v>
      </c>
      <c r="G1190" t="s">
        <v>249</v>
      </c>
      <c r="H1190" t="s">
        <v>250</v>
      </c>
      <c r="I1190" t="s">
        <v>16</v>
      </c>
      <c r="J1190" t="s">
        <v>52</v>
      </c>
      <c r="K1190" t="s">
        <v>35</v>
      </c>
      <c r="L1190" s="6">
        <v>0</v>
      </c>
      <c r="M1190" s="6">
        <v>1500</v>
      </c>
      <c r="N1190" s="6">
        <v>1500</v>
      </c>
      <c r="O1190" s="6">
        <v>60654.59</v>
      </c>
      <c r="P1190" s="7">
        <v>0</v>
      </c>
      <c r="Q1190" s="6">
        <v>0</v>
      </c>
    </row>
    <row r="1191" spans="1:17">
      <c r="A1191">
        <v>1190</v>
      </c>
      <c r="B1191" s="5">
        <v>45779</v>
      </c>
      <c r="C1191" t="s">
        <v>791</v>
      </c>
      <c r="D1191" t="s">
        <v>792</v>
      </c>
      <c r="E1191" t="s">
        <v>793</v>
      </c>
      <c r="F1191">
        <v>8</v>
      </c>
      <c r="G1191" t="s">
        <v>264</v>
      </c>
      <c r="H1191" t="s">
        <v>265</v>
      </c>
      <c r="I1191" t="s">
        <v>16</v>
      </c>
      <c r="J1191" t="s">
        <v>52</v>
      </c>
      <c r="K1191" t="s">
        <v>35</v>
      </c>
      <c r="L1191" s="6">
        <v>0</v>
      </c>
      <c r="M1191" s="6">
        <v>200</v>
      </c>
      <c r="N1191" s="6">
        <v>200</v>
      </c>
      <c r="O1191" s="6">
        <v>60854.59</v>
      </c>
      <c r="P1191" s="7">
        <v>0</v>
      </c>
      <c r="Q1191" s="6">
        <v>0</v>
      </c>
    </row>
    <row r="1192" spans="1:17">
      <c r="A1192">
        <v>1191</v>
      </c>
      <c r="B1192" s="5">
        <v>45779</v>
      </c>
      <c r="C1192" t="s">
        <v>791</v>
      </c>
      <c r="D1192" t="s">
        <v>792</v>
      </c>
      <c r="E1192" t="s">
        <v>793</v>
      </c>
      <c r="F1192">
        <v>8</v>
      </c>
      <c r="G1192" t="s">
        <v>799</v>
      </c>
      <c r="H1192" t="s">
        <v>144</v>
      </c>
      <c r="I1192" t="s">
        <v>16</v>
      </c>
      <c r="J1192" t="s">
        <v>52</v>
      </c>
      <c r="K1192" t="s">
        <v>35</v>
      </c>
      <c r="L1192" s="6">
        <v>0</v>
      </c>
      <c r="M1192" s="6">
        <v>115</v>
      </c>
      <c r="N1192" s="6">
        <v>115</v>
      </c>
      <c r="O1192" s="6">
        <v>60969.59</v>
      </c>
      <c r="P1192" s="7">
        <v>0</v>
      </c>
      <c r="Q1192" s="6">
        <v>0</v>
      </c>
    </row>
    <row r="1193" spans="1:17">
      <c r="A1193">
        <v>1192</v>
      </c>
      <c r="B1193" s="5">
        <v>45779</v>
      </c>
      <c r="C1193" t="s">
        <v>791</v>
      </c>
      <c r="D1193" t="s">
        <v>792</v>
      </c>
      <c r="E1193" t="s">
        <v>793</v>
      </c>
      <c r="F1193">
        <v>8</v>
      </c>
      <c r="G1193" t="s">
        <v>201</v>
      </c>
      <c r="H1193" t="s">
        <v>100</v>
      </c>
      <c r="I1193" t="s">
        <v>16</v>
      </c>
      <c r="J1193" t="s">
        <v>52</v>
      </c>
      <c r="K1193" t="s">
        <v>35</v>
      </c>
      <c r="L1193" s="6">
        <v>0</v>
      </c>
      <c r="M1193" s="6">
        <v>1000</v>
      </c>
      <c r="N1193" s="6">
        <v>1000</v>
      </c>
      <c r="O1193" s="6">
        <v>61969.59</v>
      </c>
      <c r="P1193" s="7">
        <v>0</v>
      </c>
      <c r="Q1193" s="6">
        <v>0</v>
      </c>
    </row>
    <row r="1194" spans="1:17">
      <c r="A1194">
        <v>1193</v>
      </c>
      <c r="B1194" s="5">
        <v>45779</v>
      </c>
      <c r="C1194" t="s">
        <v>791</v>
      </c>
      <c r="D1194" t="s">
        <v>792</v>
      </c>
      <c r="E1194" t="s">
        <v>793</v>
      </c>
      <c r="F1194">
        <v>8</v>
      </c>
      <c r="G1194" t="s">
        <v>780</v>
      </c>
      <c r="H1194" t="s">
        <v>781</v>
      </c>
      <c r="I1194" t="s">
        <v>16</v>
      </c>
      <c r="J1194" t="s">
        <v>52</v>
      </c>
      <c r="K1194" t="s">
        <v>35</v>
      </c>
      <c r="L1194" s="6">
        <v>0</v>
      </c>
      <c r="M1194" s="6">
        <v>2000</v>
      </c>
      <c r="N1194" s="6">
        <v>2000</v>
      </c>
      <c r="O1194" s="6">
        <v>63969.59</v>
      </c>
      <c r="P1194" s="7">
        <v>0</v>
      </c>
      <c r="Q1194" s="6">
        <v>0</v>
      </c>
    </row>
    <row r="1195" spans="1:17">
      <c r="A1195">
        <v>1194</v>
      </c>
      <c r="B1195" s="5">
        <v>45779</v>
      </c>
      <c r="C1195" t="s">
        <v>791</v>
      </c>
      <c r="D1195" t="s">
        <v>792</v>
      </c>
      <c r="E1195" t="s">
        <v>793</v>
      </c>
      <c r="F1195">
        <v>8</v>
      </c>
      <c r="G1195" t="s">
        <v>782</v>
      </c>
      <c r="H1195" t="s">
        <v>783</v>
      </c>
      <c r="I1195" t="s">
        <v>16</v>
      </c>
      <c r="J1195" t="s">
        <v>52</v>
      </c>
      <c r="K1195" t="s">
        <v>35</v>
      </c>
      <c r="L1195" s="6">
        <v>0</v>
      </c>
      <c r="M1195" s="6">
        <v>1000</v>
      </c>
      <c r="N1195" s="6">
        <v>1000</v>
      </c>
      <c r="O1195" s="6">
        <v>64969.59</v>
      </c>
      <c r="P1195" s="7">
        <v>0</v>
      </c>
      <c r="Q1195" s="6">
        <v>0</v>
      </c>
    </row>
    <row r="1196" spans="1:17">
      <c r="A1196">
        <v>1195</v>
      </c>
      <c r="B1196" s="5">
        <v>45779</v>
      </c>
      <c r="C1196" t="s">
        <v>791</v>
      </c>
      <c r="D1196" t="s">
        <v>792</v>
      </c>
      <c r="E1196" t="s">
        <v>793</v>
      </c>
      <c r="F1196">
        <v>8</v>
      </c>
      <c r="G1196" t="s">
        <v>800</v>
      </c>
      <c r="H1196" t="s">
        <v>66</v>
      </c>
      <c r="I1196" t="s">
        <v>22</v>
      </c>
      <c r="J1196" t="s">
        <v>67</v>
      </c>
      <c r="K1196" t="s">
        <v>34</v>
      </c>
      <c r="L1196" s="6">
        <v>1351</v>
      </c>
      <c r="M1196" s="6">
        <v>0</v>
      </c>
      <c r="N1196" s="6">
        <v>-1351</v>
      </c>
      <c r="O1196" s="6">
        <v>63618.59</v>
      </c>
      <c r="P1196" s="7">
        <v>0</v>
      </c>
      <c r="Q1196" s="6">
        <v>0</v>
      </c>
    </row>
    <row r="1197" spans="1:17">
      <c r="A1197">
        <v>1196</v>
      </c>
      <c r="B1197" s="5">
        <v>45779</v>
      </c>
      <c r="C1197" t="s">
        <v>791</v>
      </c>
      <c r="D1197" t="s">
        <v>792</v>
      </c>
      <c r="E1197" t="s">
        <v>793</v>
      </c>
      <c r="F1197">
        <v>8</v>
      </c>
      <c r="G1197" t="s">
        <v>801</v>
      </c>
      <c r="H1197" t="s">
        <v>66</v>
      </c>
      <c r="I1197" t="s">
        <v>22</v>
      </c>
      <c r="J1197" t="s">
        <v>67</v>
      </c>
      <c r="K1197" t="s">
        <v>34</v>
      </c>
      <c r="L1197" s="6">
        <v>1500</v>
      </c>
      <c r="M1197" s="6">
        <v>0</v>
      </c>
      <c r="N1197" s="6">
        <v>-1500</v>
      </c>
      <c r="O1197" s="6">
        <v>62118.59</v>
      </c>
      <c r="P1197" s="7">
        <v>0</v>
      </c>
      <c r="Q1197" s="6">
        <v>0</v>
      </c>
    </row>
    <row r="1198" spans="1:17">
      <c r="A1198">
        <v>1197</v>
      </c>
      <c r="B1198" s="5">
        <v>45779</v>
      </c>
      <c r="C1198" t="s">
        <v>791</v>
      </c>
      <c r="D1198" t="s">
        <v>792</v>
      </c>
      <c r="E1198" t="s">
        <v>793</v>
      </c>
      <c r="F1198">
        <v>8</v>
      </c>
      <c r="G1198" t="s">
        <v>581</v>
      </c>
      <c r="H1198" t="s">
        <v>582</v>
      </c>
      <c r="I1198" t="s">
        <v>16</v>
      </c>
      <c r="J1198" t="s">
        <v>52</v>
      </c>
      <c r="K1198" t="s">
        <v>35</v>
      </c>
      <c r="L1198" s="6">
        <v>0</v>
      </c>
      <c r="M1198" s="6">
        <v>1000</v>
      </c>
      <c r="N1198" s="6">
        <v>1000</v>
      </c>
      <c r="O1198" s="6">
        <v>63118.59</v>
      </c>
      <c r="P1198" s="7">
        <v>0</v>
      </c>
      <c r="Q1198" s="6">
        <v>0</v>
      </c>
    </row>
    <row r="1199" spans="1:17">
      <c r="A1199">
        <v>1198</v>
      </c>
      <c r="B1199" s="5">
        <v>45779</v>
      </c>
      <c r="C1199" t="s">
        <v>791</v>
      </c>
      <c r="D1199" t="s">
        <v>792</v>
      </c>
      <c r="E1199" t="s">
        <v>793</v>
      </c>
      <c r="F1199">
        <v>8</v>
      </c>
      <c r="G1199" t="s">
        <v>802</v>
      </c>
      <c r="H1199" t="s">
        <v>66</v>
      </c>
      <c r="I1199" t="s">
        <v>22</v>
      </c>
      <c r="J1199" t="s">
        <v>67</v>
      </c>
      <c r="K1199" t="s">
        <v>34</v>
      </c>
      <c r="L1199" s="6">
        <v>3692.77</v>
      </c>
      <c r="M1199" s="6">
        <v>0</v>
      </c>
      <c r="N1199" s="6">
        <v>-3692.77</v>
      </c>
      <c r="O1199" s="6">
        <v>59425.82</v>
      </c>
      <c r="P1199" s="7">
        <v>0</v>
      </c>
      <c r="Q1199" s="6">
        <v>0</v>
      </c>
    </row>
    <row r="1200" spans="1:17">
      <c r="A1200">
        <v>1199</v>
      </c>
      <c r="B1200" s="5">
        <v>45779</v>
      </c>
      <c r="C1200" t="s">
        <v>791</v>
      </c>
      <c r="D1200" t="s">
        <v>792</v>
      </c>
      <c r="E1200" t="s">
        <v>793</v>
      </c>
      <c r="F1200">
        <v>8</v>
      </c>
      <c r="G1200" t="s">
        <v>803</v>
      </c>
      <c r="H1200" t="s">
        <v>66</v>
      </c>
      <c r="I1200" t="s">
        <v>22</v>
      </c>
      <c r="J1200" t="s">
        <v>67</v>
      </c>
      <c r="K1200" t="s">
        <v>34</v>
      </c>
      <c r="L1200" s="6">
        <v>3767.67</v>
      </c>
      <c r="M1200" s="6">
        <v>0</v>
      </c>
      <c r="N1200" s="6">
        <v>-3767.67</v>
      </c>
      <c r="O1200" s="6">
        <v>55658.15</v>
      </c>
      <c r="P1200" s="7">
        <v>0</v>
      </c>
      <c r="Q1200" s="6">
        <v>0</v>
      </c>
    </row>
    <row r="1201" spans="1:17">
      <c r="A1201">
        <v>1200</v>
      </c>
      <c r="B1201" s="5">
        <v>45779</v>
      </c>
      <c r="C1201" t="s">
        <v>791</v>
      </c>
      <c r="D1201" t="s">
        <v>792</v>
      </c>
      <c r="E1201" t="s">
        <v>793</v>
      </c>
      <c r="F1201">
        <v>8</v>
      </c>
      <c r="G1201" t="s">
        <v>804</v>
      </c>
      <c r="H1201" t="s">
        <v>66</v>
      </c>
      <c r="I1201" t="s">
        <v>22</v>
      </c>
      <c r="J1201" t="s">
        <v>67</v>
      </c>
      <c r="K1201" t="s">
        <v>34</v>
      </c>
      <c r="L1201" s="6">
        <v>5446.5</v>
      </c>
      <c r="M1201" s="6">
        <v>0</v>
      </c>
      <c r="N1201" s="6">
        <v>-5446.5</v>
      </c>
      <c r="O1201" s="6">
        <v>50211.65</v>
      </c>
      <c r="P1201" s="7">
        <v>0</v>
      </c>
      <c r="Q1201" s="6">
        <v>0</v>
      </c>
    </row>
    <row r="1202" spans="1:17">
      <c r="A1202">
        <v>1201</v>
      </c>
      <c r="B1202" s="5">
        <v>45779</v>
      </c>
      <c r="C1202" t="s">
        <v>791</v>
      </c>
      <c r="D1202" t="s">
        <v>792</v>
      </c>
      <c r="E1202" t="s">
        <v>793</v>
      </c>
      <c r="F1202">
        <v>8</v>
      </c>
      <c r="G1202" t="s">
        <v>805</v>
      </c>
      <c r="H1202" t="s">
        <v>66</v>
      </c>
      <c r="I1202" t="s">
        <v>22</v>
      </c>
      <c r="J1202" t="s">
        <v>67</v>
      </c>
      <c r="K1202" t="s">
        <v>34</v>
      </c>
      <c r="L1202" s="6">
        <v>1000</v>
      </c>
      <c r="M1202" s="6">
        <v>0</v>
      </c>
      <c r="N1202" s="6">
        <v>-1000</v>
      </c>
      <c r="O1202" s="6">
        <v>49211.65</v>
      </c>
      <c r="P1202" s="7">
        <v>0</v>
      </c>
      <c r="Q1202" s="6">
        <v>0</v>
      </c>
    </row>
    <row r="1203" spans="1:17">
      <c r="A1203">
        <v>1202</v>
      </c>
      <c r="B1203" s="5">
        <v>45779</v>
      </c>
      <c r="C1203" t="s">
        <v>791</v>
      </c>
      <c r="D1203" t="s">
        <v>792</v>
      </c>
      <c r="E1203" t="s">
        <v>793</v>
      </c>
      <c r="F1203">
        <v>8</v>
      </c>
      <c r="G1203" t="s">
        <v>806</v>
      </c>
      <c r="H1203" t="s">
        <v>66</v>
      </c>
      <c r="I1203" t="s">
        <v>22</v>
      </c>
      <c r="J1203" t="s">
        <v>67</v>
      </c>
      <c r="K1203" t="s">
        <v>34</v>
      </c>
      <c r="L1203" s="6">
        <v>2500</v>
      </c>
      <c r="M1203" s="6">
        <v>0</v>
      </c>
      <c r="N1203" s="6">
        <v>-2500</v>
      </c>
      <c r="O1203" s="6">
        <v>46711.65</v>
      </c>
      <c r="P1203" s="7">
        <v>0</v>
      </c>
      <c r="Q1203" s="6">
        <v>0</v>
      </c>
    </row>
    <row r="1204" spans="1:17">
      <c r="A1204">
        <v>1203</v>
      </c>
      <c r="B1204" s="5">
        <v>45779</v>
      </c>
      <c r="C1204" t="s">
        <v>791</v>
      </c>
      <c r="D1204" t="s">
        <v>792</v>
      </c>
      <c r="E1204" t="s">
        <v>793</v>
      </c>
      <c r="F1204">
        <v>8</v>
      </c>
      <c r="G1204" t="s">
        <v>807</v>
      </c>
      <c r="H1204" t="s">
        <v>66</v>
      </c>
      <c r="I1204" t="s">
        <v>22</v>
      </c>
      <c r="J1204" t="s">
        <v>67</v>
      </c>
      <c r="K1204" t="s">
        <v>34</v>
      </c>
      <c r="L1204" s="6">
        <v>220</v>
      </c>
      <c r="M1204" s="6">
        <v>0</v>
      </c>
      <c r="N1204" s="6">
        <v>-220</v>
      </c>
      <c r="O1204" s="6">
        <v>46491.65</v>
      </c>
      <c r="P1204" s="7">
        <v>0</v>
      </c>
      <c r="Q1204" s="6">
        <v>0</v>
      </c>
    </row>
    <row r="1205" spans="1:17">
      <c r="A1205">
        <v>1204</v>
      </c>
      <c r="B1205" s="5">
        <v>45779</v>
      </c>
      <c r="C1205" t="s">
        <v>791</v>
      </c>
      <c r="D1205" t="s">
        <v>792</v>
      </c>
      <c r="E1205" t="s">
        <v>793</v>
      </c>
      <c r="F1205">
        <v>8</v>
      </c>
      <c r="G1205" t="s">
        <v>808</v>
      </c>
      <c r="H1205" t="s">
        <v>66</v>
      </c>
      <c r="I1205" t="s">
        <v>22</v>
      </c>
      <c r="J1205" t="s">
        <v>67</v>
      </c>
      <c r="K1205" t="s">
        <v>34</v>
      </c>
      <c r="L1205" s="6">
        <v>13374.41</v>
      </c>
      <c r="M1205" s="6">
        <v>0</v>
      </c>
      <c r="N1205" s="6">
        <v>-13374.41</v>
      </c>
      <c r="O1205" s="6">
        <v>33117.24</v>
      </c>
      <c r="P1205" s="7">
        <v>0</v>
      </c>
      <c r="Q1205" s="6">
        <v>0</v>
      </c>
    </row>
    <row r="1206" spans="1:17">
      <c r="A1206">
        <v>1205</v>
      </c>
      <c r="B1206" s="5">
        <v>45779</v>
      </c>
      <c r="C1206" t="s">
        <v>791</v>
      </c>
      <c r="D1206" t="s">
        <v>792</v>
      </c>
      <c r="E1206" t="s">
        <v>793</v>
      </c>
      <c r="F1206">
        <v>8</v>
      </c>
      <c r="G1206" t="s">
        <v>809</v>
      </c>
      <c r="H1206" t="s">
        <v>66</v>
      </c>
      <c r="I1206" t="s">
        <v>22</v>
      </c>
      <c r="J1206" t="s">
        <v>67</v>
      </c>
      <c r="K1206" t="s">
        <v>34</v>
      </c>
      <c r="L1206" s="6">
        <v>325.42</v>
      </c>
      <c r="M1206" s="6">
        <v>0</v>
      </c>
      <c r="N1206" s="6">
        <v>-325.42</v>
      </c>
      <c r="O1206" s="6">
        <v>32791.82</v>
      </c>
      <c r="P1206" s="7">
        <v>0</v>
      </c>
      <c r="Q1206" s="6">
        <v>0</v>
      </c>
    </row>
    <row r="1207" spans="1:17">
      <c r="A1207">
        <v>1206</v>
      </c>
      <c r="B1207" s="5">
        <v>45779</v>
      </c>
      <c r="C1207" t="s">
        <v>791</v>
      </c>
      <c r="D1207" t="s">
        <v>792</v>
      </c>
      <c r="E1207" t="s">
        <v>793</v>
      </c>
      <c r="F1207">
        <v>8</v>
      </c>
      <c r="G1207" t="s">
        <v>810</v>
      </c>
      <c r="H1207" t="s">
        <v>66</v>
      </c>
      <c r="I1207" t="s">
        <v>22</v>
      </c>
      <c r="J1207" t="s">
        <v>67</v>
      </c>
      <c r="K1207" t="s">
        <v>34</v>
      </c>
      <c r="L1207" s="6">
        <v>3700</v>
      </c>
      <c r="M1207" s="6">
        <v>0</v>
      </c>
      <c r="N1207" s="6">
        <v>-3700</v>
      </c>
      <c r="O1207" s="6">
        <v>29091.82</v>
      </c>
      <c r="P1207" s="7">
        <v>0</v>
      </c>
      <c r="Q1207" s="6">
        <v>0</v>
      </c>
    </row>
    <row r="1208" spans="1:17">
      <c r="A1208">
        <v>1207</v>
      </c>
      <c r="B1208" s="5">
        <v>45779</v>
      </c>
      <c r="C1208" t="s">
        <v>791</v>
      </c>
      <c r="D1208" t="s">
        <v>792</v>
      </c>
      <c r="E1208" t="s">
        <v>793</v>
      </c>
      <c r="F1208">
        <v>8</v>
      </c>
      <c r="G1208" t="s">
        <v>415</v>
      </c>
      <c r="H1208" t="s">
        <v>416</v>
      </c>
      <c r="I1208" t="s">
        <v>16</v>
      </c>
      <c r="J1208" t="s">
        <v>52</v>
      </c>
      <c r="K1208" t="s">
        <v>35</v>
      </c>
      <c r="L1208" s="6">
        <v>0</v>
      </c>
      <c r="M1208" s="6">
        <v>200</v>
      </c>
      <c r="N1208" s="6">
        <v>200</v>
      </c>
      <c r="O1208" s="6">
        <v>29291.82</v>
      </c>
      <c r="P1208" s="7">
        <v>0</v>
      </c>
      <c r="Q1208" s="6">
        <v>0</v>
      </c>
    </row>
    <row r="1209" spans="1:17">
      <c r="A1209">
        <v>1208</v>
      </c>
      <c r="B1209" s="5">
        <v>45779</v>
      </c>
      <c r="C1209" t="s">
        <v>791</v>
      </c>
      <c r="D1209" t="s">
        <v>792</v>
      </c>
      <c r="E1209" t="s">
        <v>793</v>
      </c>
      <c r="F1209">
        <v>8</v>
      </c>
      <c r="G1209" t="s">
        <v>415</v>
      </c>
      <c r="H1209" t="s">
        <v>416</v>
      </c>
      <c r="I1209" t="s">
        <v>16</v>
      </c>
      <c r="J1209" t="s">
        <v>52</v>
      </c>
      <c r="K1209" t="s">
        <v>35</v>
      </c>
      <c r="L1209" s="6">
        <v>0</v>
      </c>
      <c r="M1209" s="6">
        <v>136</v>
      </c>
      <c r="N1209" s="6">
        <v>136</v>
      </c>
      <c r="O1209" s="6">
        <v>29427.82</v>
      </c>
      <c r="P1209" s="7">
        <v>0</v>
      </c>
      <c r="Q1209" s="6">
        <v>0</v>
      </c>
    </row>
    <row r="1210" spans="1:17">
      <c r="A1210">
        <v>1209</v>
      </c>
      <c r="B1210" s="5">
        <v>45779</v>
      </c>
      <c r="C1210" t="s">
        <v>791</v>
      </c>
      <c r="D1210" t="s">
        <v>792</v>
      </c>
      <c r="E1210" t="s">
        <v>793</v>
      </c>
      <c r="F1210">
        <v>8</v>
      </c>
      <c r="G1210" t="s">
        <v>780</v>
      </c>
      <c r="H1210" t="s">
        <v>781</v>
      </c>
      <c r="I1210" t="s">
        <v>16</v>
      </c>
      <c r="J1210" t="s">
        <v>52</v>
      </c>
      <c r="K1210" t="s">
        <v>35</v>
      </c>
      <c r="L1210" s="6">
        <v>0</v>
      </c>
      <c r="M1210" s="6">
        <v>2000</v>
      </c>
      <c r="N1210" s="6">
        <v>2000</v>
      </c>
      <c r="O1210" s="6">
        <v>31427.82</v>
      </c>
      <c r="P1210" s="7">
        <v>0</v>
      </c>
      <c r="Q1210" s="6">
        <v>0</v>
      </c>
    </row>
    <row r="1211" spans="1:17">
      <c r="A1211">
        <v>1210</v>
      </c>
      <c r="B1211" s="5">
        <v>45779</v>
      </c>
      <c r="C1211" t="s">
        <v>791</v>
      </c>
      <c r="D1211" t="s">
        <v>792</v>
      </c>
      <c r="E1211" t="s">
        <v>793</v>
      </c>
      <c r="F1211">
        <v>8</v>
      </c>
      <c r="G1211" t="s">
        <v>780</v>
      </c>
      <c r="H1211" t="s">
        <v>781</v>
      </c>
      <c r="I1211" t="s">
        <v>16</v>
      </c>
      <c r="J1211" t="s">
        <v>52</v>
      </c>
      <c r="K1211" t="s">
        <v>35</v>
      </c>
      <c r="L1211" s="6">
        <v>0</v>
      </c>
      <c r="M1211" s="6">
        <v>2000</v>
      </c>
      <c r="N1211" s="6">
        <v>2000</v>
      </c>
      <c r="O1211" s="6">
        <v>33427.82</v>
      </c>
      <c r="P1211" s="7">
        <v>0</v>
      </c>
      <c r="Q1211" s="6">
        <v>0</v>
      </c>
    </row>
    <row r="1212" spans="1:17">
      <c r="A1212">
        <v>1211</v>
      </c>
      <c r="B1212" s="5">
        <v>45780</v>
      </c>
      <c r="C1212" t="s">
        <v>791</v>
      </c>
      <c r="D1212" t="s">
        <v>792</v>
      </c>
      <c r="E1212" t="s">
        <v>793</v>
      </c>
      <c r="F1212">
        <v>2</v>
      </c>
      <c r="G1212" t="s">
        <v>691</v>
      </c>
      <c r="H1212" t="s">
        <v>692</v>
      </c>
      <c r="I1212" t="s">
        <v>16</v>
      </c>
      <c r="J1212" t="s">
        <v>52</v>
      </c>
      <c r="K1212" t="s">
        <v>35</v>
      </c>
      <c r="L1212" s="6">
        <v>0</v>
      </c>
      <c r="M1212" s="6">
        <v>250</v>
      </c>
      <c r="N1212" s="6">
        <v>250</v>
      </c>
      <c r="O1212" s="6">
        <v>33677.82</v>
      </c>
      <c r="P1212" s="7">
        <v>0</v>
      </c>
      <c r="Q1212" s="6">
        <v>0</v>
      </c>
    </row>
    <row r="1213" spans="1:17">
      <c r="A1213">
        <v>1212</v>
      </c>
      <c r="B1213" s="5">
        <v>45780</v>
      </c>
      <c r="C1213" t="s">
        <v>791</v>
      </c>
      <c r="D1213" t="s">
        <v>792</v>
      </c>
      <c r="E1213" t="s">
        <v>793</v>
      </c>
      <c r="F1213">
        <v>8</v>
      </c>
      <c r="G1213" t="s">
        <v>691</v>
      </c>
      <c r="H1213" t="s">
        <v>692</v>
      </c>
      <c r="I1213" t="s">
        <v>16</v>
      </c>
      <c r="J1213" t="s">
        <v>52</v>
      </c>
      <c r="K1213" t="s">
        <v>35</v>
      </c>
      <c r="L1213" s="6">
        <v>0</v>
      </c>
      <c r="M1213" s="6">
        <v>250</v>
      </c>
      <c r="N1213" s="6">
        <v>250</v>
      </c>
      <c r="O1213" s="6">
        <v>33677.82</v>
      </c>
      <c r="P1213" s="7">
        <v>0</v>
      </c>
      <c r="Q1213" s="6">
        <v>0</v>
      </c>
    </row>
    <row r="1214" spans="1:17">
      <c r="A1214">
        <v>1213</v>
      </c>
      <c r="B1214" s="5">
        <v>45782</v>
      </c>
      <c r="C1214" t="s">
        <v>791</v>
      </c>
      <c r="D1214" t="s">
        <v>792</v>
      </c>
      <c r="E1214" t="s">
        <v>793</v>
      </c>
      <c r="F1214">
        <v>2</v>
      </c>
      <c r="G1214" t="s">
        <v>435</v>
      </c>
      <c r="H1214" t="s">
        <v>436</v>
      </c>
      <c r="I1214" t="s">
        <v>16</v>
      </c>
      <c r="J1214" t="s">
        <v>52</v>
      </c>
      <c r="K1214" t="s">
        <v>35</v>
      </c>
      <c r="L1214" s="6">
        <v>0</v>
      </c>
      <c r="M1214" s="6">
        <v>200</v>
      </c>
      <c r="N1214" s="6">
        <v>200</v>
      </c>
      <c r="O1214" s="6">
        <v>33877.82</v>
      </c>
      <c r="P1214" s="7">
        <v>0</v>
      </c>
      <c r="Q1214" s="6">
        <v>0</v>
      </c>
    </row>
    <row r="1215" spans="1:17">
      <c r="A1215">
        <v>1214</v>
      </c>
      <c r="B1215" s="5">
        <v>45782</v>
      </c>
      <c r="C1215" t="s">
        <v>791</v>
      </c>
      <c r="D1215" t="s">
        <v>792</v>
      </c>
      <c r="E1215" t="s">
        <v>793</v>
      </c>
      <c r="F1215">
        <v>2</v>
      </c>
      <c r="G1215" t="s">
        <v>727</v>
      </c>
      <c r="H1215" t="s">
        <v>728</v>
      </c>
      <c r="I1215" t="s">
        <v>16</v>
      </c>
      <c r="J1215" t="s">
        <v>52</v>
      </c>
      <c r="K1215" t="s">
        <v>35</v>
      </c>
      <c r="L1215" s="6">
        <v>0</v>
      </c>
      <c r="M1215" s="6">
        <v>210</v>
      </c>
      <c r="N1215" s="6">
        <v>210</v>
      </c>
      <c r="O1215" s="6">
        <v>34087.82</v>
      </c>
      <c r="P1215" s="7">
        <v>0</v>
      </c>
      <c r="Q1215" s="6">
        <v>0</v>
      </c>
    </row>
    <row r="1216" spans="1:17">
      <c r="A1216">
        <v>1215</v>
      </c>
      <c r="B1216" s="5">
        <v>45782</v>
      </c>
      <c r="C1216" t="s">
        <v>791</v>
      </c>
      <c r="D1216" t="s">
        <v>792</v>
      </c>
      <c r="E1216" t="s">
        <v>793</v>
      </c>
      <c r="F1216">
        <v>2</v>
      </c>
      <c r="G1216" t="s">
        <v>199</v>
      </c>
      <c r="H1216" t="s">
        <v>200</v>
      </c>
      <c r="I1216" t="s">
        <v>16</v>
      </c>
      <c r="J1216" t="s">
        <v>52</v>
      </c>
      <c r="K1216" t="s">
        <v>35</v>
      </c>
      <c r="L1216" s="6">
        <v>0</v>
      </c>
      <c r="M1216" s="6">
        <v>2000</v>
      </c>
      <c r="N1216" s="6">
        <v>2000</v>
      </c>
      <c r="O1216" s="6">
        <v>36087.82</v>
      </c>
      <c r="P1216" s="7">
        <v>0</v>
      </c>
      <c r="Q1216" s="6">
        <v>0</v>
      </c>
    </row>
    <row r="1217" spans="1:17">
      <c r="A1217">
        <v>1216</v>
      </c>
      <c r="B1217" s="5">
        <v>45782</v>
      </c>
      <c r="C1217" t="s">
        <v>791</v>
      </c>
      <c r="D1217" t="s">
        <v>792</v>
      </c>
      <c r="E1217" t="s">
        <v>793</v>
      </c>
      <c r="F1217">
        <v>2</v>
      </c>
      <c r="G1217" t="s">
        <v>811</v>
      </c>
      <c r="H1217" t="s">
        <v>66</v>
      </c>
      <c r="I1217" t="s">
        <v>22</v>
      </c>
      <c r="J1217" t="s">
        <v>67</v>
      </c>
      <c r="K1217" t="s">
        <v>34</v>
      </c>
      <c r="L1217" s="6">
        <v>400</v>
      </c>
      <c r="M1217" s="6">
        <v>0</v>
      </c>
      <c r="N1217" s="6">
        <v>-400</v>
      </c>
      <c r="O1217" s="6">
        <v>35687.82</v>
      </c>
      <c r="P1217" s="7">
        <v>0</v>
      </c>
      <c r="Q1217" s="6">
        <v>0</v>
      </c>
    </row>
    <row r="1218" spans="1:17">
      <c r="A1218">
        <v>1217</v>
      </c>
      <c r="B1218" s="5">
        <v>45782</v>
      </c>
      <c r="C1218" t="s">
        <v>791</v>
      </c>
      <c r="D1218" t="s">
        <v>792</v>
      </c>
      <c r="E1218" t="s">
        <v>793</v>
      </c>
      <c r="F1218">
        <v>2</v>
      </c>
      <c r="G1218" t="s">
        <v>812</v>
      </c>
      <c r="H1218" t="s">
        <v>66</v>
      </c>
      <c r="I1218" t="s">
        <v>22</v>
      </c>
      <c r="J1218" t="s">
        <v>67</v>
      </c>
      <c r="K1218" t="s">
        <v>34</v>
      </c>
      <c r="L1218" s="6">
        <v>725</v>
      </c>
      <c r="M1218" s="6">
        <v>0</v>
      </c>
      <c r="N1218" s="6">
        <v>-725</v>
      </c>
      <c r="O1218" s="6">
        <v>34962.82</v>
      </c>
      <c r="P1218" s="7">
        <v>0</v>
      </c>
      <c r="Q1218" s="6">
        <v>0</v>
      </c>
    </row>
    <row r="1219" spans="1:17">
      <c r="A1219">
        <v>1218</v>
      </c>
      <c r="B1219" s="5">
        <v>45782</v>
      </c>
      <c r="C1219" t="s">
        <v>791</v>
      </c>
      <c r="D1219" t="s">
        <v>792</v>
      </c>
      <c r="E1219" t="s">
        <v>793</v>
      </c>
      <c r="F1219">
        <v>2</v>
      </c>
      <c r="G1219" t="s">
        <v>813</v>
      </c>
      <c r="H1219" t="s">
        <v>66</v>
      </c>
      <c r="I1219" t="s">
        <v>22</v>
      </c>
      <c r="J1219" t="s">
        <v>67</v>
      </c>
      <c r="K1219" t="s">
        <v>34</v>
      </c>
      <c r="L1219" s="6">
        <v>2735.71</v>
      </c>
      <c r="M1219" s="6">
        <v>0</v>
      </c>
      <c r="N1219" s="6">
        <v>-2735.71</v>
      </c>
      <c r="O1219" s="6">
        <v>32227.11</v>
      </c>
      <c r="P1219" s="7">
        <v>0</v>
      </c>
      <c r="Q1219" s="6">
        <v>0</v>
      </c>
    </row>
    <row r="1220" spans="1:17">
      <c r="A1220">
        <v>1219</v>
      </c>
      <c r="B1220" s="5">
        <v>45782</v>
      </c>
      <c r="C1220" t="s">
        <v>791</v>
      </c>
      <c r="D1220" t="s">
        <v>792</v>
      </c>
      <c r="E1220" t="s">
        <v>793</v>
      </c>
      <c r="F1220">
        <v>2</v>
      </c>
      <c r="G1220" t="s">
        <v>814</v>
      </c>
      <c r="H1220" t="s">
        <v>66</v>
      </c>
      <c r="I1220" t="s">
        <v>22</v>
      </c>
      <c r="J1220" t="s">
        <v>67</v>
      </c>
      <c r="K1220" t="s">
        <v>34</v>
      </c>
      <c r="L1220" s="6">
        <v>62.95</v>
      </c>
      <c r="M1220" s="6">
        <v>0</v>
      </c>
      <c r="N1220" s="6">
        <v>-62.95</v>
      </c>
      <c r="O1220" s="6">
        <v>32164.16</v>
      </c>
      <c r="P1220" s="7">
        <v>0</v>
      </c>
      <c r="Q1220" s="6">
        <v>0</v>
      </c>
    </row>
    <row r="1221" spans="1:17">
      <c r="A1221">
        <v>1220</v>
      </c>
      <c r="B1221" s="5">
        <v>45782</v>
      </c>
      <c r="C1221" t="s">
        <v>791</v>
      </c>
      <c r="D1221" t="s">
        <v>792</v>
      </c>
      <c r="E1221" t="s">
        <v>793</v>
      </c>
      <c r="F1221">
        <v>2</v>
      </c>
      <c r="G1221" t="s">
        <v>815</v>
      </c>
      <c r="H1221" t="s">
        <v>66</v>
      </c>
      <c r="I1221" t="s">
        <v>22</v>
      </c>
      <c r="J1221" t="s">
        <v>67</v>
      </c>
      <c r="K1221" t="s">
        <v>34</v>
      </c>
      <c r="L1221" s="6">
        <v>967</v>
      </c>
      <c r="M1221" s="6">
        <v>0</v>
      </c>
      <c r="N1221" s="6">
        <v>-967</v>
      </c>
      <c r="O1221" s="6">
        <v>31197.16</v>
      </c>
      <c r="P1221" s="7">
        <v>0</v>
      </c>
      <c r="Q1221" s="6">
        <v>0</v>
      </c>
    </row>
    <row r="1222" spans="1:17">
      <c r="A1222">
        <v>1221</v>
      </c>
      <c r="B1222" s="5">
        <v>45782</v>
      </c>
      <c r="C1222" t="s">
        <v>791</v>
      </c>
      <c r="D1222" t="s">
        <v>792</v>
      </c>
      <c r="E1222" t="s">
        <v>793</v>
      </c>
      <c r="F1222">
        <v>2</v>
      </c>
      <c r="G1222" t="s">
        <v>816</v>
      </c>
      <c r="H1222" t="s">
        <v>66</v>
      </c>
      <c r="I1222" t="s">
        <v>22</v>
      </c>
      <c r="J1222" t="s">
        <v>67</v>
      </c>
      <c r="K1222" t="s">
        <v>34</v>
      </c>
      <c r="L1222" s="6">
        <v>202.12</v>
      </c>
      <c r="M1222" s="6">
        <v>0</v>
      </c>
      <c r="N1222" s="6">
        <v>-202.12</v>
      </c>
      <c r="O1222" s="6">
        <v>30995.040000000001</v>
      </c>
      <c r="P1222" s="7">
        <v>0</v>
      </c>
      <c r="Q1222" s="6">
        <v>0</v>
      </c>
    </row>
    <row r="1223" spans="1:17">
      <c r="A1223">
        <v>1222</v>
      </c>
      <c r="B1223" s="5">
        <v>45782</v>
      </c>
      <c r="C1223" t="s">
        <v>791</v>
      </c>
      <c r="D1223" t="s">
        <v>792</v>
      </c>
      <c r="E1223" t="s">
        <v>793</v>
      </c>
      <c r="F1223">
        <v>2</v>
      </c>
      <c r="G1223" t="s">
        <v>794</v>
      </c>
      <c r="H1223" t="s">
        <v>795</v>
      </c>
      <c r="I1223" t="s">
        <v>16</v>
      </c>
      <c r="J1223" t="s">
        <v>52</v>
      </c>
      <c r="K1223" t="s">
        <v>35</v>
      </c>
      <c r="L1223" s="6">
        <v>0</v>
      </c>
      <c r="M1223" s="6">
        <v>1000</v>
      </c>
      <c r="N1223" s="6">
        <v>1000</v>
      </c>
      <c r="O1223" s="6">
        <v>31995.040000000001</v>
      </c>
      <c r="P1223" s="7">
        <v>0</v>
      </c>
      <c r="Q1223" s="6">
        <v>0</v>
      </c>
    </row>
    <row r="1224" spans="1:17">
      <c r="A1224">
        <v>1223</v>
      </c>
      <c r="B1224" s="5">
        <v>45782</v>
      </c>
      <c r="C1224" t="s">
        <v>791</v>
      </c>
      <c r="D1224" t="s">
        <v>792</v>
      </c>
      <c r="E1224" t="s">
        <v>793</v>
      </c>
      <c r="F1224">
        <v>2</v>
      </c>
      <c r="G1224" t="s">
        <v>190</v>
      </c>
      <c r="H1224" t="s">
        <v>112</v>
      </c>
      <c r="I1224" t="s">
        <v>16</v>
      </c>
      <c r="J1224" t="s">
        <v>52</v>
      </c>
      <c r="K1224" t="s">
        <v>35</v>
      </c>
      <c r="L1224" s="6">
        <v>0</v>
      </c>
      <c r="M1224" s="6">
        <v>21000</v>
      </c>
      <c r="N1224" s="6">
        <v>21000</v>
      </c>
      <c r="O1224" s="6">
        <v>52995.040000000001</v>
      </c>
      <c r="P1224" s="7">
        <v>0</v>
      </c>
      <c r="Q1224" s="6">
        <v>0</v>
      </c>
    </row>
    <row r="1225" spans="1:17">
      <c r="A1225">
        <v>1224</v>
      </c>
      <c r="B1225" s="5">
        <v>45782</v>
      </c>
      <c r="C1225" t="s">
        <v>791</v>
      </c>
      <c r="D1225" t="s">
        <v>792</v>
      </c>
      <c r="E1225" t="s">
        <v>793</v>
      </c>
      <c r="F1225">
        <v>2</v>
      </c>
      <c r="G1225" t="s">
        <v>506</v>
      </c>
      <c r="H1225" t="s">
        <v>507</v>
      </c>
      <c r="I1225" t="s">
        <v>16</v>
      </c>
      <c r="J1225" t="s">
        <v>52</v>
      </c>
      <c r="K1225" t="s">
        <v>35</v>
      </c>
      <c r="L1225" s="6">
        <v>0</v>
      </c>
      <c r="M1225" s="6">
        <v>100</v>
      </c>
      <c r="N1225" s="6">
        <v>100</v>
      </c>
      <c r="O1225" s="6">
        <v>53095.040000000001</v>
      </c>
      <c r="P1225" s="7">
        <v>0</v>
      </c>
      <c r="Q1225" s="6">
        <v>0</v>
      </c>
    </row>
    <row r="1226" spans="1:17">
      <c r="A1226">
        <v>1225</v>
      </c>
      <c r="B1226" s="5">
        <v>45782</v>
      </c>
      <c r="C1226" t="s">
        <v>791</v>
      </c>
      <c r="D1226" t="s">
        <v>792</v>
      </c>
      <c r="E1226" t="s">
        <v>793</v>
      </c>
      <c r="F1226">
        <v>2</v>
      </c>
      <c r="G1226" t="s">
        <v>817</v>
      </c>
      <c r="H1226" t="s">
        <v>818</v>
      </c>
      <c r="I1226" t="s">
        <v>16</v>
      </c>
      <c r="J1226" t="s">
        <v>52</v>
      </c>
      <c r="K1226" t="s">
        <v>35</v>
      </c>
      <c r="L1226" s="6">
        <v>0</v>
      </c>
      <c r="M1226" s="6">
        <v>10000</v>
      </c>
      <c r="N1226" s="6">
        <v>10000</v>
      </c>
      <c r="O1226" s="6">
        <v>63095.040000000001</v>
      </c>
      <c r="P1226" s="7">
        <v>0</v>
      </c>
      <c r="Q1226" s="6">
        <v>0</v>
      </c>
    </row>
    <row r="1227" spans="1:17">
      <c r="A1227">
        <v>1226</v>
      </c>
      <c r="B1227" s="5">
        <v>45782</v>
      </c>
      <c r="C1227" t="s">
        <v>791</v>
      </c>
      <c r="D1227" t="s">
        <v>792</v>
      </c>
      <c r="E1227" t="s">
        <v>793</v>
      </c>
      <c r="F1227">
        <v>2</v>
      </c>
      <c r="G1227" t="s">
        <v>819</v>
      </c>
      <c r="H1227" t="s">
        <v>66</v>
      </c>
      <c r="I1227" t="s">
        <v>22</v>
      </c>
      <c r="J1227" t="s">
        <v>67</v>
      </c>
      <c r="K1227" t="s">
        <v>34</v>
      </c>
      <c r="L1227" s="6">
        <v>200</v>
      </c>
      <c r="M1227" s="6">
        <v>0</v>
      </c>
      <c r="N1227" s="6">
        <v>-200</v>
      </c>
      <c r="O1227" s="6">
        <v>62895.040000000001</v>
      </c>
      <c r="P1227" s="7">
        <v>0</v>
      </c>
      <c r="Q1227" s="6">
        <v>0</v>
      </c>
    </row>
    <row r="1228" spans="1:17">
      <c r="A1228">
        <v>1227</v>
      </c>
      <c r="B1228" s="5">
        <v>45782</v>
      </c>
      <c r="C1228" t="s">
        <v>791</v>
      </c>
      <c r="D1228" t="s">
        <v>792</v>
      </c>
      <c r="E1228" t="s">
        <v>793</v>
      </c>
      <c r="F1228">
        <v>2</v>
      </c>
      <c r="G1228" t="s">
        <v>820</v>
      </c>
      <c r="H1228" t="s">
        <v>66</v>
      </c>
      <c r="I1228" t="s">
        <v>22</v>
      </c>
      <c r="J1228" t="s">
        <v>67</v>
      </c>
      <c r="K1228" t="s">
        <v>34</v>
      </c>
      <c r="L1228" s="6">
        <v>2983.89</v>
      </c>
      <c r="M1228" s="6">
        <v>0</v>
      </c>
      <c r="N1228" s="6">
        <v>-2983.89</v>
      </c>
      <c r="O1228" s="6">
        <v>59911.15</v>
      </c>
      <c r="P1228" s="7">
        <v>0</v>
      </c>
      <c r="Q1228" s="6">
        <v>0</v>
      </c>
    </row>
    <row r="1229" spans="1:17">
      <c r="A1229">
        <v>1228</v>
      </c>
      <c r="B1229" s="5">
        <v>45782</v>
      </c>
      <c r="C1229" t="s">
        <v>791</v>
      </c>
      <c r="D1229" t="s">
        <v>792</v>
      </c>
      <c r="E1229" t="s">
        <v>793</v>
      </c>
      <c r="F1229">
        <v>2</v>
      </c>
      <c r="G1229" t="s">
        <v>821</v>
      </c>
      <c r="H1229" t="s">
        <v>66</v>
      </c>
      <c r="I1229" t="s">
        <v>22</v>
      </c>
      <c r="J1229" t="s">
        <v>67</v>
      </c>
      <c r="K1229" t="s">
        <v>34</v>
      </c>
      <c r="L1229" s="6">
        <v>4290</v>
      </c>
      <c r="M1229" s="6">
        <v>0</v>
      </c>
      <c r="N1229" s="6">
        <v>-4290</v>
      </c>
      <c r="O1229" s="6">
        <v>55621.15</v>
      </c>
      <c r="P1229" s="7">
        <v>0</v>
      </c>
      <c r="Q1229" s="6">
        <v>0</v>
      </c>
    </row>
    <row r="1230" spans="1:17">
      <c r="A1230">
        <v>1229</v>
      </c>
      <c r="B1230" s="5">
        <v>45782</v>
      </c>
      <c r="C1230" t="s">
        <v>791</v>
      </c>
      <c r="D1230" t="s">
        <v>792</v>
      </c>
      <c r="E1230" t="s">
        <v>793</v>
      </c>
      <c r="F1230">
        <v>2</v>
      </c>
      <c r="G1230" t="s">
        <v>822</v>
      </c>
      <c r="H1230" t="s">
        <v>66</v>
      </c>
      <c r="I1230" t="s">
        <v>22</v>
      </c>
      <c r="J1230" t="s">
        <v>67</v>
      </c>
      <c r="K1230" t="s">
        <v>34</v>
      </c>
      <c r="L1230" s="6">
        <v>176.15</v>
      </c>
      <c r="M1230" s="6">
        <v>0</v>
      </c>
      <c r="N1230" s="6">
        <v>-176.15</v>
      </c>
      <c r="O1230" s="6">
        <v>55445</v>
      </c>
      <c r="P1230" s="7">
        <v>0</v>
      </c>
      <c r="Q1230" s="6">
        <v>0</v>
      </c>
    </row>
    <row r="1231" spans="1:17">
      <c r="A1231">
        <v>1230</v>
      </c>
      <c r="B1231" s="5">
        <v>45782</v>
      </c>
      <c r="C1231" t="s">
        <v>791</v>
      </c>
      <c r="D1231" t="s">
        <v>792</v>
      </c>
      <c r="E1231" t="s">
        <v>793</v>
      </c>
      <c r="F1231">
        <v>2</v>
      </c>
      <c r="G1231" t="s">
        <v>823</v>
      </c>
      <c r="H1231" t="s">
        <v>66</v>
      </c>
      <c r="I1231" t="s">
        <v>22</v>
      </c>
      <c r="J1231" t="s">
        <v>67</v>
      </c>
      <c r="K1231" t="s">
        <v>34</v>
      </c>
      <c r="L1231" s="6">
        <v>1176</v>
      </c>
      <c r="M1231" s="6">
        <v>0</v>
      </c>
      <c r="N1231" s="6">
        <v>-1176</v>
      </c>
      <c r="O1231" s="6">
        <v>54269</v>
      </c>
      <c r="P1231" s="7">
        <v>0</v>
      </c>
      <c r="Q1231" s="6">
        <v>0</v>
      </c>
    </row>
    <row r="1232" spans="1:17">
      <c r="A1232">
        <v>1231</v>
      </c>
      <c r="B1232" s="5">
        <v>45782</v>
      </c>
      <c r="C1232" t="s">
        <v>791</v>
      </c>
      <c r="D1232" t="s">
        <v>792</v>
      </c>
      <c r="E1232" t="s">
        <v>793</v>
      </c>
      <c r="F1232">
        <v>2</v>
      </c>
      <c r="G1232" t="s">
        <v>824</v>
      </c>
      <c r="H1232" t="s">
        <v>66</v>
      </c>
      <c r="I1232" t="s">
        <v>22</v>
      </c>
      <c r="J1232" t="s">
        <v>67</v>
      </c>
      <c r="K1232" t="s">
        <v>34</v>
      </c>
      <c r="L1232" s="6">
        <v>2200</v>
      </c>
      <c r="M1232" s="6">
        <v>0</v>
      </c>
      <c r="N1232" s="6">
        <v>-2200</v>
      </c>
      <c r="O1232" s="6">
        <v>52069</v>
      </c>
      <c r="P1232" s="7">
        <v>0</v>
      </c>
      <c r="Q1232" s="6">
        <v>0</v>
      </c>
    </row>
    <row r="1233" spans="1:17">
      <c r="A1233">
        <v>1232</v>
      </c>
      <c r="B1233" s="5">
        <v>45782</v>
      </c>
      <c r="C1233" t="s">
        <v>791</v>
      </c>
      <c r="D1233" t="s">
        <v>792</v>
      </c>
      <c r="E1233" t="s">
        <v>793</v>
      </c>
      <c r="F1233">
        <v>2</v>
      </c>
      <c r="G1233" t="s">
        <v>825</v>
      </c>
      <c r="H1233" t="s">
        <v>66</v>
      </c>
      <c r="I1233" t="s">
        <v>22</v>
      </c>
      <c r="J1233" t="s">
        <v>67</v>
      </c>
      <c r="K1233" t="s">
        <v>34</v>
      </c>
      <c r="L1233" s="6">
        <v>200</v>
      </c>
      <c r="M1233" s="6">
        <v>0</v>
      </c>
      <c r="N1233" s="6">
        <v>-200</v>
      </c>
      <c r="O1233" s="6">
        <v>51869</v>
      </c>
      <c r="P1233" s="7">
        <v>0</v>
      </c>
      <c r="Q1233" s="6">
        <v>0</v>
      </c>
    </row>
    <row r="1234" spans="1:17">
      <c r="A1234">
        <v>1233</v>
      </c>
      <c r="B1234" s="5">
        <v>45782</v>
      </c>
      <c r="C1234" t="s">
        <v>791</v>
      </c>
      <c r="D1234" t="s">
        <v>792</v>
      </c>
      <c r="E1234" t="s">
        <v>793</v>
      </c>
      <c r="F1234">
        <v>2</v>
      </c>
      <c r="G1234" t="s">
        <v>826</v>
      </c>
      <c r="H1234" t="s">
        <v>66</v>
      </c>
      <c r="I1234" t="s">
        <v>22</v>
      </c>
      <c r="J1234" t="s">
        <v>67</v>
      </c>
      <c r="K1234" t="s">
        <v>34</v>
      </c>
      <c r="L1234" s="6">
        <v>3542.6</v>
      </c>
      <c r="M1234" s="6">
        <v>0</v>
      </c>
      <c r="N1234" s="6">
        <v>-3542.6</v>
      </c>
      <c r="O1234" s="6">
        <v>48326.400000000001</v>
      </c>
      <c r="P1234" s="7">
        <v>0</v>
      </c>
      <c r="Q1234" s="6">
        <v>0</v>
      </c>
    </row>
    <row r="1235" spans="1:17">
      <c r="A1235">
        <v>1234</v>
      </c>
      <c r="B1235" s="5">
        <v>45782</v>
      </c>
      <c r="C1235" t="s">
        <v>791</v>
      </c>
      <c r="D1235" t="s">
        <v>792</v>
      </c>
      <c r="E1235" t="s">
        <v>793</v>
      </c>
      <c r="F1235">
        <v>2</v>
      </c>
      <c r="G1235" t="s">
        <v>264</v>
      </c>
      <c r="H1235" t="s">
        <v>265</v>
      </c>
      <c r="I1235" t="s">
        <v>16</v>
      </c>
      <c r="J1235" t="s">
        <v>52</v>
      </c>
      <c r="K1235" t="s">
        <v>35</v>
      </c>
      <c r="L1235" s="6">
        <v>0</v>
      </c>
      <c r="M1235" s="6">
        <v>200</v>
      </c>
      <c r="N1235" s="6">
        <v>200</v>
      </c>
      <c r="O1235" s="6">
        <v>48526.400000000001</v>
      </c>
      <c r="P1235" s="7">
        <v>0</v>
      </c>
      <c r="Q1235" s="6">
        <v>0</v>
      </c>
    </row>
    <row r="1236" spans="1:17">
      <c r="A1236">
        <v>1235</v>
      </c>
      <c r="B1236" s="5">
        <v>45782</v>
      </c>
      <c r="C1236" t="s">
        <v>791</v>
      </c>
      <c r="D1236" t="s">
        <v>792</v>
      </c>
      <c r="E1236" t="s">
        <v>793</v>
      </c>
      <c r="F1236">
        <v>2</v>
      </c>
      <c r="G1236" t="s">
        <v>794</v>
      </c>
      <c r="H1236" t="s">
        <v>795</v>
      </c>
      <c r="I1236" t="s">
        <v>16</v>
      </c>
      <c r="J1236" t="s">
        <v>52</v>
      </c>
      <c r="K1236" t="s">
        <v>35</v>
      </c>
      <c r="L1236" s="6">
        <v>0</v>
      </c>
      <c r="M1236" s="6">
        <v>1000</v>
      </c>
      <c r="N1236" s="6">
        <v>1000</v>
      </c>
      <c r="O1236" s="6">
        <v>49526.400000000001</v>
      </c>
      <c r="P1236" s="7">
        <v>0</v>
      </c>
      <c r="Q1236" s="6">
        <v>0</v>
      </c>
    </row>
    <row r="1237" spans="1:17">
      <c r="A1237">
        <v>1236</v>
      </c>
      <c r="B1237" s="5">
        <v>45782</v>
      </c>
      <c r="C1237" t="s">
        <v>791</v>
      </c>
      <c r="D1237" t="s">
        <v>792</v>
      </c>
      <c r="E1237" t="s">
        <v>793</v>
      </c>
      <c r="F1237">
        <v>2</v>
      </c>
      <c r="G1237" t="s">
        <v>212</v>
      </c>
      <c r="H1237" t="s">
        <v>213</v>
      </c>
      <c r="I1237" t="s">
        <v>16</v>
      </c>
      <c r="J1237" t="s">
        <v>52</v>
      </c>
      <c r="K1237" t="s">
        <v>35</v>
      </c>
      <c r="L1237" s="6">
        <v>0</v>
      </c>
      <c r="M1237" s="6">
        <v>1000</v>
      </c>
      <c r="N1237" s="6">
        <v>1000</v>
      </c>
      <c r="O1237" s="6">
        <v>50526.400000000001</v>
      </c>
      <c r="P1237" s="7">
        <v>0</v>
      </c>
      <c r="Q1237" s="6">
        <v>0</v>
      </c>
    </row>
    <row r="1238" spans="1:17">
      <c r="A1238">
        <v>1237</v>
      </c>
      <c r="B1238" s="5">
        <v>45782</v>
      </c>
      <c r="C1238" t="s">
        <v>791</v>
      </c>
      <c r="D1238" t="s">
        <v>792</v>
      </c>
      <c r="E1238" t="s">
        <v>793</v>
      </c>
      <c r="F1238">
        <v>2</v>
      </c>
      <c r="G1238" t="s">
        <v>794</v>
      </c>
      <c r="H1238" t="s">
        <v>795</v>
      </c>
      <c r="I1238" t="s">
        <v>16</v>
      </c>
      <c r="J1238" t="s">
        <v>52</v>
      </c>
      <c r="K1238" t="s">
        <v>35</v>
      </c>
      <c r="L1238" s="6">
        <v>0</v>
      </c>
      <c r="M1238" s="6">
        <v>2000</v>
      </c>
      <c r="N1238" s="6">
        <v>2000</v>
      </c>
      <c r="O1238" s="6">
        <v>52526.400000000001</v>
      </c>
      <c r="P1238" s="7">
        <v>0</v>
      </c>
      <c r="Q1238" s="6">
        <v>0</v>
      </c>
    </row>
    <row r="1239" spans="1:17">
      <c r="A1239">
        <v>1238</v>
      </c>
      <c r="B1239" s="5">
        <v>45782</v>
      </c>
      <c r="C1239" t="s">
        <v>791</v>
      </c>
      <c r="D1239" t="s">
        <v>792</v>
      </c>
      <c r="E1239" t="s">
        <v>793</v>
      </c>
      <c r="F1239">
        <v>2</v>
      </c>
      <c r="G1239" t="s">
        <v>415</v>
      </c>
      <c r="H1239" t="s">
        <v>416</v>
      </c>
      <c r="I1239" t="s">
        <v>16</v>
      </c>
      <c r="J1239" t="s">
        <v>52</v>
      </c>
      <c r="K1239" t="s">
        <v>35</v>
      </c>
      <c r="L1239" s="6">
        <v>0</v>
      </c>
      <c r="M1239" s="6">
        <v>200</v>
      </c>
      <c r="N1239" s="6">
        <v>200</v>
      </c>
      <c r="O1239" s="6">
        <v>52726.400000000001</v>
      </c>
      <c r="P1239" s="7">
        <v>0</v>
      </c>
      <c r="Q1239" s="6">
        <v>0</v>
      </c>
    </row>
    <row r="1240" spans="1:17">
      <c r="A1240">
        <v>1239</v>
      </c>
      <c r="B1240" s="5">
        <v>45782</v>
      </c>
      <c r="C1240" t="s">
        <v>791</v>
      </c>
      <c r="D1240" t="s">
        <v>792</v>
      </c>
      <c r="E1240" t="s">
        <v>793</v>
      </c>
      <c r="F1240">
        <v>2</v>
      </c>
      <c r="G1240" t="s">
        <v>827</v>
      </c>
      <c r="H1240" t="s">
        <v>66</v>
      </c>
      <c r="I1240" t="s">
        <v>22</v>
      </c>
      <c r="J1240" t="s">
        <v>67</v>
      </c>
      <c r="K1240" t="s">
        <v>34</v>
      </c>
      <c r="L1240" s="6">
        <v>211.88</v>
      </c>
      <c r="M1240" s="6">
        <v>0</v>
      </c>
      <c r="N1240" s="6">
        <v>-211.88</v>
      </c>
      <c r="O1240" s="6">
        <v>52514.52</v>
      </c>
      <c r="P1240" s="7">
        <v>0</v>
      </c>
      <c r="Q1240" s="6">
        <v>0</v>
      </c>
    </row>
    <row r="1241" spans="1:17">
      <c r="A1241">
        <v>1240</v>
      </c>
      <c r="B1241" s="5">
        <v>45782</v>
      </c>
      <c r="C1241" t="s">
        <v>791</v>
      </c>
      <c r="D1241" t="s">
        <v>792</v>
      </c>
      <c r="E1241" t="s">
        <v>793</v>
      </c>
      <c r="F1241">
        <v>2</v>
      </c>
      <c r="G1241" t="s">
        <v>828</v>
      </c>
      <c r="H1241" t="s">
        <v>66</v>
      </c>
      <c r="I1241" t="s">
        <v>22</v>
      </c>
      <c r="J1241" t="s">
        <v>67</v>
      </c>
      <c r="K1241" t="s">
        <v>34</v>
      </c>
      <c r="L1241" s="6">
        <v>1500</v>
      </c>
      <c r="M1241" s="6">
        <v>0</v>
      </c>
      <c r="N1241" s="6">
        <v>-1500</v>
      </c>
      <c r="O1241" s="6">
        <v>51014.52</v>
      </c>
      <c r="P1241" s="7">
        <v>0</v>
      </c>
      <c r="Q1241" s="6">
        <v>0</v>
      </c>
    </row>
    <row r="1242" spans="1:17">
      <c r="A1242">
        <v>1241</v>
      </c>
      <c r="B1242" s="5">
        <v>45782</v>
      </c>
      <c r="C1242" t="s">
        <v>791</v>
      </c>
      <c r="D1242" t="s">
        <v>792</v>
      </c>
      <c r="E1242" t="s">
        <v>793</v>
      </c>
      <c r="F1242">
        <v>2</v>
      </c>
      <c r="G1242" t="s">
        <v>829</v>
      </c>
      <c r="H1242" t="s">
        <v>66</v>
      </c>
      <c r="I1242" t="s">
        <v>22</v>
      </c>
      <c r="J1242" t="s">
        <v>67</v>
      </c>
      <c r="K1242" t="s">
        <v>34</v>
      </c>
      <c r="L1242" s="6">
        <v>2500</v>
      </c>
      <c r="M1242" s="6">
        <v>0</v>
      </c>
      <c r="N1242" s="6">
        <v>-2500</v>
      </c>
      <c r="O1242" s="6">
        <v>48514.52</v>
      </c>
      <c r="P1242" s="7">
        <v>0</v>
      </c>
      <c r="Q1242" s="6">
        <v>0</v>
      </c>
    </row>
    <row r="1243" spans="1:17">
      <c r="A1243">
        <v>1242</v>
      </c>
      <c r="B1243" s="5">
        <v>45782</v>
      </c>
      <c r="C1243" t="s">
        <v>791</v>
      </c>
      <c r="D1243" t="s">
        <v>792</v>
      </c>
      <c r="E1243" t="s">
        <v>793</v>
      </c>
      <c r="F1243">
        <v>2</v>
      </c>
      <c r="G1243" t="s">
        <v>830</v>
      </c>
      <c r="H1243" t="s">
        <v>66</v>
      </c>
      <c r="I1243" t="s">
        <v>22</v>
      </c>
      <c r="J1243" t="s">
        <v>67</v>
      </c>
      <c r="K1243" t="s">
        <v>34</v>
      </c>
      <c r="L1243" s="6">
        <v>544</v>
      </c>
      <c r="M1243" s="6">
        <v>0</v>
      </c>
      <c r="N1243" s="6">
        <v>-544</v>
      </c>
      <c r="O1243" s="6">
        <v>47970.52</v>
      </c>
      <c r="P1243" s="7">
        <v>0</v>
      </c>
      <c r="Q1243" s="6">
        <v>0</v>
      </c>
    </row>
    <row r="1244" spans="1:17">
      <c r="A1244">
        <v>1243</v>
      </c>
      <c r="B1244" s="5">
        <v>45782</v>
      </c>
      <c r="C1244" t="s">
        <v>791</v>
      </c>
      <c r="D1244" t="s">
        <v>792</v>
      </c>
      <c r="E1244" t="s">
        <v>793</v>
      </c>
      <c r="F1244">
        <v>2</v>
      </c>
      <c r="G1244" t="s">
        <v>831</v>
      </c>
      <c r="H1244" t="s">
        <v>66</v>
      </c>
      <c r="I1244" t="s">
        <v>22</v>
      </c>
      <c r="J1244" t="s">
        <v>67</v>
      </c>
      <c r="K1244" t="s">
        <v>34</v>
      </c>
      <c r="L1244" s="6">
        <v>1300</v>
      </c>
      <c r="M1244" s="6">
        <v>0</v>
      </c>
      <c r="N1244" s="6">
        <v>-1300</v>
      </c>
      <c r="O1244" s="6">
        <v>46670.52</v>
      </c>
      <c r="P1244" s="7">
        <v>0</v>
      </c>
      <c r="Q1244" s="6">
        <v>0</v>
      </c>
    </row>
    <row r="1245" spans="1:17">
      <c r="A1245">
        <v>1244</v>
      </c>
      <c r="B1245" s="5">
        <v>45782</v>
      </c>
      <c r="C1245" t="s">
        <v>791</v>
      </c>
      <c r="D1245" t="s">
        <v>792</v>
      </c>
      <c r="E1245" t="s">
        <v>793</v>
      </c>
      <c r="F1245">
        <v>2</v>
      </c>
      <c r="G1245" t="s">
        <v>832</v>
      </c>
      <c r="H1245" t="s">
        <v>66</v>
      </c>
      <c r="I1245" t="s">
        <v>22</v>
      </c>
      <c r="J1245" t="s">
        <v>67</v>
      </c>
      <c r="K1245" t="s">
        <v>34</v>
      </c>
      <c r="L1245" s="6">
        <v>3164.16</v>
      </c>
      <c r="M1245" s="6">
        <v>0</v>
      </c>
      <c r="N1245" s="6">
        <v>-3164.16</v>
      </c>
      <c r="O1245" s="6">
        <v>43506.36</v>
      </c>
      <c r="P1245" s="7">
        <v>0</v>
      </c>
      <c r="Q1245" s="6">
        <v>0</v>
      </c>
    </row>
    <row r="1246" spans="1:17">
      <c r="A1246">
        <v>1245</v>
      </c>
      <c r="B1246" s="5">
        <v>45782</v>
      </c>
      <c r="C1246" t="s">
        <v>791</v>
      </c>
      <c r="D1246" t="s">
        <v>792</v>
      </c>
      <c r="E1246" t="s">
        <v>793</v>
      </c>
      <c r="F1246">
        <v>3</v>
      </c>
      <c r="G1246" t="s">
        <v>833</v>
      </c>
      <c r="H1246" t="s">
        <v>66</v>
      </c>
      <c r="I1246" t="s">
        <v>22</v>
      </c>
      <c r="J1246" t="s">
        <v>67</v>
      </c>
      <c r="K1246" t="s">
        <v>34</v>
      </c>
      <c r="L1246" s="6">
        <v>7018.23</v>
      </c>
      <c r="M1246" s="6">
        <v>0</v>
      </c>
      <c r="N1246" s="6">
        <v>-7018.23</v>
      </c>
      <c r="O1246" s="6">
        <v>36488.129999999997</v>
      </c>
      <c r="P1246" s="7">
        <v>0</v>
      </c>
      <c r="Q1246" s="6">
        <v>0</v>
      </c>
    </row>
    <row r="1247" spans="1:17">
      <c r="A1247">
        <v>1246</v>
      </c>
      <c r="B1247" s="5">
        <v>45782</v>
      </c>
      <c r="C1247" t="s">
        <v>791</v>
      </c>
      <c r="D1247" t="s">
        <v>792</v>
      </c>
      <c r="E1247" t="s">
        <v>793</v>
      </c>
      <c r="F1247">
        <v>3</v>
      </c>
      <c r="G1247" t="s">
        <v>415</v>
      </c>
      <c r="H1247" t="s">
        <v>416</v>
      </c>
      <c r="I1247" t="s">
        <v>16</v>
      </c>
      <c r="J1247" t="s">
        <v>52</v>
      </c>
      <c r="K1247" t="s">
        <v>35</v>
      </c>
      <c r="L1247" s="6">
        <v>0</v>
      </c>
      <c r="M1247" s="6">
        <v>72</v>
      </c>
      <c r="N1247" s="6">
        <v>72</v>
      </c>
      <c r="O1247" s="6">
        <v>36560.129999999997</v>
      </c>
      <c r="P1247" s="7">
        <v>0</v>
      </c>
      <c r="Q1247" s="6">
        <v>0</v>
      </c>
    </row>
    <row r="1248" spans="1:17">
      <c r="A1248">
        <v>1247</v>
      </c>
      <c r="B1248" s="5">
        <v>45782</v>
      </c>
      <c r="C1248" t="s">
        <v>791</v>
      </c>
      <c r="D1248" t="s">
        <v>792</v>
      </c>
      <c r="E1248" t="s">
        <v>793</v>
      </c>
      <c r="F1248">
        <v>3</v>
      </c>
      <c r="G1248" t="s">
        <v>415</v>
      </c>
      <c r="H1248" t="s">
        <v>416</v>
      </c>
      <c r="I1248" t="s">
        <v>16</v>
      </c>
      <c r="J1248" t="s">
        <v>52</v>
      </c>
      <c r="K1248" t="s">
        <v>35</v>
      </c>
      <c r="L1248" s="6">
        <v>0</v>
      </c>
      <c r="M1248" s="6">
        <v>28</v>
      </c>
      <c r="N1248" s="6">
        <v>28</v>
      </c>
      <c r="O1248" s="6">
        <v>36588.129999999997</v>
      </c>
      <c r="P1248" s="7">
        <v>0</v>
      </c>
      <c r="Q1248" s="6">
        <v>0</v>
      </c>
    </row>
    <row r="1249" spans="1:17">
      <c r="A1249">
        <v>1248</v>
      </c>
      <c r="B1249" s="5">
        <v>45782</v>
      </c>
      <c r="C1249" t="s">
        <v>791</v>
      </c>
      <c r="D1249" t="s">
        <v>792</v>
      </c>
      <c r="E1249" t="s">
        <v>793</v>
      </c>
      <c r="F1249">
        <v>3</v>
      </c>
      <c r="G1249" t="s">
        <v>794</v>
      </c>
      <c r="H1249" t="s">
        <v>795</v>
      </c>
      <c r="I1249" t="s">
        <v>16</v>
      </c>
      <c r="J1249" t="s">
        <v>52</v>
      </c>
      <c r="K1249" t="s">
        <v>35</v>
      </c>
      <c r="L1249" s="6">
        <v>0</v>
      </c>
      <c r="M1249" s="6">
        <v>2800</v>
      </c>
      <c r="N1249" s="6">
        <v>2800</v>
      </c>
      <c r="O1249" s="6">
        <v>39388.129999999997</v>
      </c>
      <c r="P1249" s="7">
        <v>0</v>
      </c>
      <c r="Q1249" s="6">
        <v>0</v>
      </c>
    </row>
    <row r="1250" spans="1:17">
      <c r="A1250">
        <v>1249</v>
      </c>
      <c r="B1250" s="5">
        <v>45782</v>
      </c>
      <c r="C1250" t="s">
        <v>791</v>
      </c>
      <c r="D1250" t="s">
        <v>792</v>
      </c>
      <c r="E1250" t="s">
        <v>793</v>
      </c>
      <c r="F1250">
        <v>3</v>
      </c>
      <c r="G1250" t="s">
        <v>834</v>
      </c>
      <c r="H1250" t="s">
        <v>835</v>
      </c>
      <c r="I1250" t="s">
        <v>16</v>
      </c>
      <c r="J1250" t="s">
        <v>52</v>
      </c>
      <c r="K1250" t="s">
        <v>35</v>
      </c>
      <c r="L1250" s="6">
        <v>0</v>
      </c>
      <c r="M1250" s="6">
        <v>100</v>
      </c>
      <c r="N1250" s="6">
        <v>100</v>
      </c>
      <c r="O1250" s="6">
        <v>39488.129999999997</v>
      </c>
      <c r="P1250" s="7">
        <v>0</v>
      </c>
      <c r="Q1250" s="6">
        <v>0</v>
      </c>
    </row>
    <row r="1251" spans="1:17">
      <c r="A1251">
        <v>1250</v>
      </c>
      <c r="B1251" s="5">
        <v>45782</v>
      </c>
      <c r="C1251" t="s">
        <v>791</v>
      </c>
      <c r="D1251" t="s">
        <v>792</v>
      </c>
      <c r="E1251" t="s">
        <v>793</v>
      </c>
      <c r="F1251">
        <v>3</v>
      </c>
      <c r="G1251" t="s">
        <v>836</v>
      </c>
      <c r="H1251" t="s">
        <v>837</v>
      </c>
      <c r="I1251" t="s">
        <v>16</v>
      </c>
      <c r="J1251" t="s">
        <v>52</v>
      </c>
      <c r="K1251" t="s">
        <v>35</v>
      </c>
      <c r="L1251" s="6">
        <v>0</v>
      </c>
      <c r="M1251" s="6">
        <v>1000</v>
      </c>
      <c r="N1251" s="6">
        <v>1000</v>
      </c>
      <c r="O1251" s="6">
        <v>40488.129999999997</v>
      </c>
      <c r="P1251" s="7">
        <v>0</v>
      </c>
      <c r="Q1251" s="6">
        <v>0</v>
      </c>
    </row>
    <row r="1252" spans="1:17">
      <c r="A1252">
        <v>1251</v>
      </c>
      <c r="B1252" s="5">
        <v>45782</v>
      </c>
      <c r="C1252" t="s">
        <v>791</v>
      </c>
      <c r="D1252" t="s">
        <v>792</v>
      </c>
      <c r="E1252" t="s">
        <v>793</v>
      </c>
      <c r="F1252">
        <v>8</v>
      </c>
      <c r="G1252" t="s">
        <v>435</v>
      </c>
      <c r="H1252" t="s">
        <v>436</v>
      </c>
      <c r="I1252" t="s">
        <v>16</v>
      </c>
      <c r="J1252" t="s">
        <v>52</v>
      </c>
      <c r="K1252" t="s">
        <v>35</v>
      </c>
      <c r="L1252" s="6">
        <v>0</v>
      </c>
      <c r="M1252" s="6">
        <v>200</v>
      </c>
      <c r="N1252" s="6">
        <v>200</v>
      </c>
      <c r="O1252" s="6">
        <v>33877.82</v>
      </c>
      <c r="P1252" s="7">
        <v>0</v>
      </c>
      <c r="Q1252" s="6">
        <v>0</v>
      </c>
    </row>
    <row r="1253" spans="1:17">
      <c r="A1253">
        <v>1252</v>
      </c>
      <c r="B1253" s="5">
        <v>45782</v>
      </c>
      <c r="C1253" t="s">
        <v>791</v>
      </c>
      <c r="D1253" t="s">
        <v>792</v>
      </c>
      <c r="E1253" t="s">
        <v>793</v>
      </c>
      <c r="F1253">
        <v>8</v>
      </c>
      <c r="G1253" t="s">
        <v>727</v>
      </c>
      <c r="H1253" t="s">
        <v>728</v>
      </c>
      <c r="I1253" t="s">
        <v>16</v>
      </c>
      <c r="J1253" t="s">
        <v>52</v>
      </c>
      <c r="K1253" t="s">
        <v>35</v>
      </c>
      <c r="L1253" s="6">
        <v>0</v>
      </c>
      <c r="M1253" s="6">
        <v>210</v>
      </c>
      <c r="N1253" s="6">
        <v>210</v>
      </c>
      <c r="O1253" s="6">
        <v>34087.82</v>
      </c>
      <c r="P1253" s="7">
        <v>0</v>
      </c>
      <c r="Q1253" s="6">
        <v>0</v>
      </c>
    </row>
    <row r="1254" spans="1:17">
      <c r="A1254">
        <v>1253</v>
      </c>
      <c r="B1254" s="5">
        <v>45782</v>
      </c>
      <c r="C1254" t="s">
        <v>791</v>
      </c>
      <c r="D1254" t="s">
        <v>792</v>
      </c>
      <c r="E1254" t="s">
        <v>793</v>
      </c>
      <c r="F1254">
        <v>8</v>
      </c>
      <c r="G1254" t="s">
        <v>199</v>
      </c>
      <c r="H1254" t="s">
        <v>200</v>
      </c>
      <c r="I1254" t="s">
        <v>16</v>
      </c>
      <c r="J1254" t="s">
        <v>52</v>
      </c>
      <c r="K1254" t="s">
        <v>35</v>
      </c>
      <c r="L1254" s="6">
        <v>0</v>
      </c>
      <c r="M1254" s="6">
        <v>2000</v>
      </c>
      <c r="N1254" s="6">
        <v>2000</v>
      </c>
      <c r="O1254" s="6">
        <v>36087.82</v>
      </c>
      <c r="P1254" s="7">
        <v>0</v>
      </c>
      <c r="Q1254" s="6">
        <v>0</v>
      </c>
    </row>
    <row r="1255" spans="1:17">
      <c r="A1255">
        <v>1254</v>
      </c>
      <c r="B1255" s="5">
        <v>45782</v>
      </c>
      <c r="C1255" t="s">
        <v>791</v>
      </c>
      <c r="D1255" t="s">
        <v>792</v>
      </c>
      <c r="E1255" t="s">
        <v>793</v>
      </c>
      <c r="F1255">
        <v>8</v>
      </c>
      <c r="G1255" t="s">
        <v>811</v>
      </c>
      <c r="H1255" t="s">
        <v>66</v>
      </c>
      <c r="I1255" t="s">
        <v>22</v>
      </c>
      <c r="J1255" t="s">
        <v>67</v>
      </c>
      <c r="K1255" t="s">
        <v>34</v>
      </c>
      <c r="L1255" s="6">
        <v>400</v>
      </c>
      <c r="M1255" s="6">
        <v>0</v>
      </c>
      <c r="N1255" s="6">
        <v>-400</v>
      </c>
      <c r="O1255" s="6">
        <v>35687.82</v>
      </c>
      <c r="P1255" s="7">
        <v>0</v>
      </c>
      <c r="Q1255" s="6">
        <v>0</v>
      </c>
    </row>
    <row r="1256" spans="1:17">
      <c r="A1256">
        <v>1255</v>
      </c>
      <c r="B1256" s="5">
        <v>45782</v>
      </c>
      <c r="C1256" t="s">
        <v>791</v>
      </c>
      <c r="D1256" t="s">
        <v>792</v>
      </c>
      <c r="E1256" t="s">
        <v>793</v>
      </c>
      <c r="F1256">
        <v>8</v>
      </c>
      <c r="G1256" t="s">
        <v>812</v>
      </c>
      <c r="H1256" t="s">
        <v>66</v>
      </c>
      <c r="I1256" t="s">
        <v>22</v>
      </c>
      <c r="J1256" t="s">
        <v>67</v>
      </c>
      <c r="K1256" t="s">
        <v>34</v>
      </c>
      <c r="L1256" s="6">
        <v>725</v>
      </c>
      <c r="M1256" s="6">
        <v>0</v>
      </c>
      <c r="N1256" s="6">
        <v>-725</v>
      </c>
      <c r="O1256" s="6">
        <v>34962.82</v>
      </c>
      <c r="P1256" s="7">
        <v>0</v>
      </c>
      <c r="Q1256" s="6">
        <v>0</v>
      </c>
    </row>
    <row r="1257" spans="1:17">
      <c r="A1257">
        <v>1256</v>
      </c>
      <c r="B1257" s="5">
        <v>45782</v>
      </c>
      <c r="C1257" t="s">
        <v>791</v>
      </c>
      <c r="D1257" t="s">
        <v>792</v>
      </c>
      <c r="E1257" t="s">
        <v>793</v>
      </c>
      <c r="F1257">
        <v>8</v>
      </c>
      <c r="G1257" t="s">
        <v>813</v>
      </c>
      <c r="H1257" t="s">
        <v>66</v>
      </c>
      <c r="I1257" t="s">
        <v>22</v>
      </c>
      <c r="J1257" t="s">
        <v>67</v>
      </c>
      <c r="K1257" t="s">
        <v>34</v>
      </c>
      <c r="L1257" s="6">
        <v>2735.71</v>
      </c>
      <c r="M1257" s="6">
        <v>0</v>
      </c>
      <c r="N1257" s="6">
        <v>-2735.71</v>
      </c>
      <c r="O1257" s="6">
        <v>32227.11</v>
      </c>
      <c r="P1257" s="7">
        <v>0</v>
      </c>
      <c r="Q1257" s="6">
        <v>0</v>
      </c>
    </row>
    <row r="1258" spans="1:17">
      <c r="A1258">
        <v>1257</v>
      </c>
      <c r="B1258" s="5">
        <v>45782</v>
      </c>
      <c r="C1258" t="s">
        <v>791</v>
      </c>
      <c r="D1258" t="s">
        <v>792</v>
      </c>
      <c r="E1258" t="s">
        <v>793</v>
      </c>
      <c r="F1258">
        <v>8</v>
      </c>
      <c r="G1258" t="s">
        <v>814</v>
      </c>
      <c r="H1258" t="s">
        <v>66</v>
      </c>
      <c r="I1258" t="s">
        <v>22</v>
      </c>
      <c r="J1258" t="s">
        <v>67</v>
      </c>
      <c r="K1258" t="s">
        <v>34</v>
      </c>
      <c r="L1258" s="6">
        <v>62.95</v>
      </c>
      <c r="M1258" s="6">
        <v>0</v>
      </c>
      <c r="N1258" s="6">
        <v>-62.95</v>
      </c>
      <c r="O1258" s="6">
        <v>32164.16</v>
      </c>
      <c r="P1258" s="7">
        <v>0</v>
      </c>
      <c r="Q1258" s="6">
        <v>0</v>
      </c>
    </row>
    <row r="1259" spans="1:17">
      <c r="A1259">
        <v>1258</v>
      </c>
      <c r="B1259" s="5">
        <v>45782</v>
      </c>
      <c r="C1259" t="s">
        <v>791</v>
      </c>
      <c r="D1259" t="s">
        <v>792</v>
      </c>
      <c r="E1259" t="s">
        <v>793</v>
      </c>
      <c r="F1259">
        <v>8</v>
      </c>
      <c r="G1259" t="s">
        <v>815</v>
      </c>
      <c r="H1259" t="s">
        <v>66</v>
      </c>
      <c r="I1259" t="s">
        <v>22</v>
      </c>
      <c r="J1259" t="s">
        <v>67</v>
      </c>
      <c r="K1259" t="s">
        <v>34</v>
      </c>
      <c r="L1259" s="6">
        <v>967</v>
      </c>
      <c r="M1259" s="6">
        <v>0</v>
      </c>
      <c r="N1259" s="6">
        <v>-967</v>
      </c>
      <c r="O1259" s="6">
        <v>31197.16</v>
      </c>
      <c r="P1259" s="7">
        <v>0</v>
      </c>
      <c r="Q1259" s="6">
        <v>0</v>
      </c>
    </row>
    <row r="1260" spans="1:17">
      <c r="A1260">
        <v>1259</v>
      </c>
      <c r="B1260" s="5">
        <v>45782</v>
      </c>
      <c r="C1260" t="s">
        <v>791</v>
      </c>
      <c r="D1260" t="s">
        <v>792</v>
      </c>
      <c r="E1260" t="s">
        <v>793</v>
      </c>
      <c r="F1260">
        <v>8</v>
      </c>
      <c r="G1260" t="s">
        <v>816</v>
      </c>
      <c r="H1260" t="s">
        <v>66</v>
      </c>
      <c r="I1260" t="s">
        <v>22</v>
      </c>
      <c r="J1260" t="s">
        <v>67</v>
      </c>
      <c r="K1260" t="s">
        <v>34</v>
      </c>
      <c r="L1260" s="6">
        <v>202.12</v>
      </c>
      <c r="M1260" s="6">
        <v>0</v>
      </c>
      <c r="N1260" s="6">
        <v>-202.12</v>
      </c>
      <c r="O1260" s="6">
        <v>30995.040000000001</v>
      </c>
      <c r="P1260" s="7">
        <v>0</v>
      </c>
      <c r="Q1260" s="6">
        <v>0</v>
      </c>
    </row>
    <row r="1261" spans="1:17">
      <c r="A1261">
        <v>1260</v>
      </c>
      <c r="B1261" s="5">
        <v>45782</v>
      </c>
      <c r="C1261" t="s">
        <v>791</v>
      </c>
      <c r="D1261" t="s">
        <v>792</v>
      </c>
      <c r="E1261" t="s">
        <v>793</v>
      </c>
      <c r="F1261">
        <v>8</v>
      </c>
      <c r="G1261" t="s">
        <v>794</v>
      </c>
      <c r="H1261" t="s">
        <v>795</v>
      </c>
      <c r="I1261" t="s">
        <v>16</v>
      </c>
      <c r="J1261" t="s">
        <v>52</v>
      </c>
      <c r="K1261" t="s">
        <v>35</v>
      </c>
      <c r="L1261" s="6">
        <v>0</v>
      </c>
      <c r="M1261" s="6">
        <v>1000</v>
      </c>
      <c r="N1261" s="6">
        <v>1000</v>
      </c>
      <c r="O1261" s="6">
        <v>31995.040000000001</v>
      </c>
      <c r="P1261" s="7">
        <v>0</v>
      </c>
      <c r="Q1261" s="6">
        <v>0</v>
      </c>
    </row>
    <row r="1262" spans="1:17">
      <c r="A1262">
        <v>1261</v>
      </c>
      <c r="B1262" s="5">
        <v>45782</v>
      </c>
      <c r="C1262" t="s">
        <v>791</v>
      </c>
      <c r="D1262" t="s">
        <v>792</v>
      </c>
      <c r="E1262" t="s">
        <v>793</v>
      </c>
      <c r="F1262">
        <v>8</v>
      </c>
      <c r="G1262" t="s">
        <v>190</v>
      </c>
      <c r="H1262" t="s">
        <v>112</v>
      </c>
      <c r="I1262" t="s">
        <v>16</v>
      </c>
      <c r="J1262" t="s">
        <v>52</v>
      </c>
      <c r="K1262" t="s">
        <v>35</v>
      </c>
      <c r="L1262" s="6">
        <v>0</v>
      </c>
      <c r="M1262" s="6">
        <v>21000</v>
      </c>
      <c r="N1262" s="6">
        <v>21000</v>
      </c>
      <c r="O1262" s="6">
        <v>52995.040000000001</v>
      </c>
      <c r="P1262" s="7">
        <v>0</v>
      </c>
      <c r="Q1262" s="6">
        <v>0</v>
      </c>
    </row>
    <row r="1263" spans="1:17">
      <c r="A1263">
        <v>1262</v>
      </c>
      <c r="B1263" s="5">
        <v>45782</v>
      </c>
      <c r="C1263" t="s">
        <v>791</v>
      </c>
      <c r="D1263" t="s">
        <v>792</v>
      </c>
      <c r="E1263" t="s">
        <v>793</v>
      </c>
      <c r="F1263">
        <v>8</v>
      </c>
      <c r="G1263" t="s">
        <v>506</v>
      </c>
      <c r="H1263" t="s">
        <v>507</v>
      </c>
      <c r="I1263" t="s">
        <v>16</v>
      </c>
      <c r="J1263" t="s">
        <v>52</v>
      </c>
      <c r="K1263" t="s">
        <v>35</v>
      </c>
      <c r="L1263" s="6">
        <v>0</v>
      </c>
      <c r="M1263" s="6">
        <v>100</v>
      </c>
      <c r="N1263" s="6">
        <v>100</v>
      </c>
      <c r="O1263" s="6">
        <v>53095.040000000001</v>
      </c>
      <c r="P1263" s="7">
        <v>0</v>
      </c>
      <c r="Q1263" s="6">
        <v>0</v>
      </c>
    </row>
    <row r="1264" spans="1:17">
      <c r="A1264">
        <v>1263</v>
      </c>
      <c r="B1264" s="5">
        <v>45782</v>
      </c>
      <c r="C1264" t="s">
        <v>791</v>
      </c>
      <c r="D1264" t="s">
        <v>792</v>
      </c>
      <c r="E1264" t="s">
        <v>793</v>
      </c>
      <c r="F1264">
        <v>8</v>
      </c>
      <c r="G1264" t="s">
        <v>817</v>
      </c>
      <c r="H1264" t="s">
        <v>818</v>
      </c>
      <c r="I1264" t="s">
        <v>16</v>
      </c>
      <c r="J1264" t="s">
        <v>52</v>
      </c>
      <c r="K1264" t="s">
        <v>35</v>
      </c>
      <c r="L1264" s="6">
        <v>0</v>
      </c>
      <c r="M1264" s="6">
        <v>10000</v>
      </c>
      <c r="N1264" s="6">
        <v>10000</v>
      </c>
      <c r="O1264" s="6">
        <v>63095.040000000001</v>
      </c>
      <c r="P1264" s="7">
        <v>0</v>
      </c>
      <c r="Q1264" s="6">
        <v>0</v>
      </c>
    </row>
    <row r="1265" spans="1:17">
      <c r="A1265">
        <v>1264</v>
      </c>
      <c r="B1265" s="5">
        <v>45782</v>
      </c>
      <c r="C1265" t="s">
        <v>791</v>
      </c>
      <c r="D1265" t="s">
        <v>792</v>
      </c>
      <c r="E1265" t="s">
        <v>793</v>
      </c>
      <c r="F1265">
        <v>8</v>
      </c>
      <c r="G1265" t="s">
        <v>819</v>
      </c>
      <c r="H1265" t="s">
        <v>66</v>
      </c>
      <c r="I1265" t="s">
        <v>22</v>
      </c>
      <c r="J1265" t="s">
        <v>67</v>
      </c>
      <c r="K1265" t="s">
        <v>34</v>
      </c>
      <c r="L1265" s="6">
        <v>200</v>
      </c>
      <c r="M1265" s="6">
        <v>0</v>
      </c>
      <c r="N1265" s="6">
        <v>-200</v>
      </c>
      <c r="O1265" s="6">
        <v>62895.040000000001</v>
      </c>
      <c r="P1265" s="7">
        <v>0</v>
      </c>
      <c r="Q1265" s="6">
        <v>0</v>
      </c>
    </row>
    <row r="1266" spans="1:17">
      <c r="A1266">
        <v>1265</v>
      </c>
      <c r="B1266" s="5">
        <v>45782</v>
      </c>
      <c r="C1266" t="s">
        <v>791</v>
      </c>
      <c r="D1266" t="s">
        <v>792</v>
      </c>
      <c r="E1266" t="s">
        <v>793</v>
      </c>
      <c r="F1266">
        <v>8</v>
      </c>
      <c r="G1266" t="s">
        <v>820</v>
      </c>
      <c r="H1266" t="s">
        <v>66</v>
      </c>
      <c r="I1266" t="s">
        <v>22</v>
      </c>
      <c r="J1266" t="s">
        <v>67</v>
      </c>
      <c r="K1266" t="s">
        <v>34</v>
      </c>
      <c r="L1266" s="6">
        <v>2983.89</v>
      </c>
      <c r="M1266" s="6">
        <v>0</v>
      </c>
      <c r="N1266" s="6">
        <v>-2983.89</v>
      </c>
      <c r="O1266" s="6">
        <v>59911.15</v>
      </c>
      <c r="P1266" s="7">
        <v>0</v>
      </c>
      <c r="Q1266" s="6">
        <v>0</v>
      </c>
    </row>
    <row r="1267" spans="1:17">
      <c r="A1267">
        <v>1266</v>
      </c>
      <c r="B1267" s="5">
        <v>45782</v>
      </c>
      <c r="C1267" t="s">
        <v>791</v>
      </c>
      <c r="D1267" t="s">
        <v>792</v>
      </c>
      <c r="E1267" t="s">
        <v>793</v>
      </c>
      <c r="F1267">
        <v>8</v>
      </c>
      <c r="G1267" t="s">
        <v>821</v>
      </c>
      <c r="H1267" t="s">
        <v>66</v>
      </c>
      <c r="I1267" t="s">
        <v>22</v>
      </c>
      <c r="J1267" t="s">
        <v>67</v>
      </c>
      <c r="K1267" t="s">
        <v>34</v>
      </c>
      <c r="L1267" s="6">
        <v>4290</v>
      </c>
      <c r="M1267" s="6">
        <v>0</v>
      </c>
      <c r="N1267" s="6">
        <v>-4290</v>
      </c>
      <c r="O1267" s="6">
        <v>55621.15</v>
      </c>
      <c r="P1267" s="7">
        <v>0</v>
      </c>
      <c r="Q1267" s="6">
        <v>0</v>
      </c>
    </row>
    <row r="1268" spans="1:17">
      <c r="A1268">
        <v>1267</v>
      </c>
      <c r="B1268" s="5">
        <v>45782</v>
      </c>
      <c r="C1268" t="s">
        <v>791</v>
      </c>
      <c r="D1268" t="s">
        <v>792</v>
      </c>
      <c r="E1268" t="s">
        <v>793</v>
      </c>
      <c r="F1268">
        <v>8</v>
      </c>
      <c r="G1268" t="s">
        <v>822</v>
      </c>
      <c r="H1268" t="s">
        <v>66</v>
      </c>
      <c r="I1268" t="s">
        <v>22</v>
      </c>
      <c r="J1268" t="s">
        <v>67</v>
      </c>
      <c r="K1268" t="s">
        <v>34</v>
      </c>
      <c r="L1268" s="6">
        <v>176.15</v>
      </c>
      <c r="M1268" s="6">
        <v>0</v>
      </c>
      <c r="N1268" s="6">
        <v>-176.15</v>
      </c>
      <c r="O1268" s="6">
        <v>55445</v>
      </c>
      <c r="P1268" s="7">
        <v>0</v>
      </c>
      <c r="Q1268" s="6">
        <v>0</v>
      </c>
    </row>
    <row r="1269" spans="1:17">
      <c r="A1269">
        <v>1268</v>
      </c>
      <c r="B1269" s="5">
        <v>45782</v>
      </c>
      <c r="C1269" t="s">
        <v>791</v>
      </c>
      <c r="D1269" t="s">
        <v>792</v>
      </c>
      <c r="E1269" t="s">
        <v>793</v>
      </c>
      <c r="F1269">
        <v>8</v>
      </c>
      <c r="G1269" t="s">
        <v>823</v>
      </c>
      <c r="H1269" t="s">
        <v>66</v>
      </c>
      <c r="I1269" t="s">
        <v>22</v>
      </c>
      <c r="J1269" t="s">
        <v>67</v>
      </c>
      <c r="K1269" t="s">
        <v>34</v>
      </c>
      <c r="L1269" s="6">
        <v>1176</v>
      </c>
      <c r="M1269" s="6">
        <v>0</v>
      </c>
      <c r="N1269" s="6">
        <v>-1176</v>
      </c>
      <c r="O1269" s="6">
        <v>54269</v>
      </c>
      <c r="P1269" s="7">
        <v>0</v>
      </c>
      <c r="Q1269" s="6">
        <v>0</v>
      </c>
    </row>
    <row r="1270" spans="1:17">
      <c r="A1270">
        <v>1269</v>
      </c>
      <c r="B1270" s="5">
        <v>45782</v>
      </c>
      <c r="C1270" t="s">
        <v>791</v>
      </c>
      <c r="D1270" t="s">
        <v>792</v>
      </c>
      <c r="E1270" t="s">
        <v>793</v>
      </c>
      <c r="F1270">
        <v>8</v>
      </c>
      <c r="G1270" t="s">
        <v>824</v>
      </c>
      <c r="H1270" t="s">
        <v>66</v>
      </c>
      <c r="I1270" t="s">
        <v>22</v>
      </c>
      <c r="J1270" t="s">
        <v>67</v>
      </c>
      <c r="K1270" t="s">
        <v>34</v>
      </c>
      <c r="L1270" s="6">
        <v>2200</v>
      </c>
      <c r="M1270" s="6">
        <v>0</v>
      </c>
      <c r="N1270" s="6">
        <v>-2200</v>
      </c>
      <c r="O1270" s="6">
        <v>52069</v>
      </c>
      <c r="P1270" s="7">
        <v>0</v>
      </c>
      <c r="Q1270" s="6">
        <v>0</v>
      </c>
    </row>
    <row r="1271" spans="1:17">
      <c r="A1271">
        <v>1270</v>
      </c>
      <c r="B1271" s="5">
        <v>45782</v>
      </c>
      <c r="C1271" t="s">
        <v>791</v>
      </c>
      <c r="D1271" t="s">
        <v>792</v>
      </c>
      <c r="E1271" t="s">
        <v>793</v>
      </c>
      <c r="F1271">
        <v>8</v>
      </c>
      <c r="G1271" t="s">
        <v>825</v>
      </c>
      <c r="H1271" t="s">
        <v>66</v>
      </c>
      <c r="I1271" t="s">
        <v>22</v>
      </c>
      <c r="J1271" t="s">
        <v>67</v>
      </c>
      <c r="K1271" t="s">
        <v>34</v>
      </c>
      <c r="L1271" s="6">
        <v>200</v>
      </c>
      <c r="M1271" s="6">
        <v>0</v>
      </c>
      <c r="N1271" s="6">
        <v>-200</v>
      </c>
      <c r="O1271" s="6">
        <v>51869</v>
      </c>
      <c r="P1271" s="7">
        <v>0</v>
      </c>
      <c r="Q1271" s="6">
        <v>0</v>
      </c>
    </row>
    <row r="1272" spans="1:17">
      <c r="A1272">
        <v>1271</v>
      </c>
      <c r="B1272" s="5">
        <v>45782</v>
      </c>
      <c r="C1272" t="s">
        <v>791</v>
      </c>
      <c r="D1272" t="s">
        <v>792</v>
      </c>
      <c r="E1272" t="s">
        <v>793</v>
      </c>
      <c r="F1272">
        <v>8</v>
      </c>
      <c r="G1272" t="s">
        <v>826</v>
      </c>
      <c r="H1272" t="s">
        <v>66</v>
      </c>
      <c r="I1272" t="s">
        <v>22</v>
      </c>
      <c r="J1272" t="s">
        <v>67</v>
      </c>
      <c r="K1272" t="s">
        <v>34</v>
      </c>
      <c r="L1272" s="6">
        <v>3542.6</v>
      </c>
      <c r="M1272" s="6">
        <v>0</v>
      </c>
      <c r="N1272" s="6">
        <v>-3542.6</v>
      </c>
      <c r="O1272" s="6">
        <v>48326.400000000001</v>
      </c>
      <c r="P1272" s="7">
        <v>0</v>
      </c>
      <c r="Q1272" s="6">
        <v>0</v>
      </c>
    </row>
    <row r="1273" spans="1:17">
      <c r="A1273">
        <v>1272</v>
      </c>
      <c r="B1273" s="5">
        <v>45782</v>
      </c>
      <c r="C1273" t="s">
        <v>791</v>
      </c>
      <c r="D1273" t="s">
        <v>792</v>
      </c>
      <c r="E1273" t="s">
        <v>793</v>
      </c>
      <c r="F1273">
        <v>8</v>
      </c>
      <c r="G1273" t="s">
        <v>264</v>
      </c>
      <c r="H1273" t="s">
        <v>265</v>
      </c>
      <c r="I1273" t="s">
        <v>16</v>
      </c>
      <c r="J1273" t="s">
        <v>52</v>
      </c>
      <c r="K1273" t="s">
        <v>35</v>
      </c>
      <c r="L1273" s="6">
        <v>0</v>
      </c>
      <c r="M1273" s="6">
        <v>200</v>
      </c>
      <c r="N1273" s="6">
        <v>200</v>
      </c>
      <c r="O1273" s="6">
        <v>48526.400000000001</v>
      </c>
      <c r="P1273" s="7">
        <v>0</v>
      </c>
      <c r="Q1273" s="6">
        <v>0</v>
      </c>
    </row>
    <row r="1274" spans="1:17">
      <c r="A1274">
        <v>1273</v>
      </c>
      <c r="B1274" s="5">
        <v>45782</v>
      </c>
      <c r="C1274" t="s">
        <v>791</v>
      </c>
      <c r="D1274" t="s">
        <v>792</v>
      </c>
      <c r="E1274" t="s">
        <v>793</v>
      </c>
      <c r="F1274">
        <v>8</v>
      </c>
      <c r="G1274" t="s">
        <v>794</v>
      </c>
      <c r="H1274" t="s">
        <v>795</v>
      </c>
      <c r="I1274" t="s">
        <v>16</v>
      </c>
      <c r="J1274" t="s">
        <v>52</v>
      </c>
      <c r="K1274" t="s">
        <v>35</v>
      </c>
      <c r="L1274" s="6">
        <v>0</v>
      </c>
      <c r="M1274" s="6">
        <v>1000</v>
      </c>
      <c r="N1274" s="6">
        <v>1000</v>
      </c>
      <c r="O1274" s="6">
        <v>49526.400000000001</v>
      </c>
      <c r="P1274" s="7">
        <v>0</v>
      </c>
      <c r="Q1274" s="6">
        <v>0</v>
      </c>
    </row>
    <row r="1275" spans="1:17">
      <c r="A1275">
        <v>1274</v>
      </c>
      <c r="B1275" s="5">
        <v>45782</v>
      </c>
      <c r="C1275" t="s">
        <v>791</v>
      </c>
      <c r="D1275" t="s">
        <v>792</v>
      </c>
      <c r="E1275" t="s">
        <v>793</v>
      </c>
      <c r="F1275">
        <v>8</v>
      </c>
      <c r="G1275" t="s">
        <v>212</v>
      </c>
      <c r="H1275" t="s">
        <v>213</v>
      </c>
      <c r="I1275" t="s">
        <v>16</v>
      </c>
      <c r="J1275" t="s">
        <v>52</v>
      </c>
      <c r="K1275" t="s">
        <v>35</v>
      </c>
      <c r="L1275" s="6">
        <v>0</v>
      </c>
      <c r="M1275" s="6">
        <v>1000</v>
      </c>
      <c r="N1275" s="6">
        <v>1000</v>
      </c>
      <c r="O1275" s="6">
        <v>50526.400000000001</v>
      </c>
      <c r="P1275" s="7">
        <v>0</v>
      </c>
      <c r="Q1275" s="6">
        <v>0</v>
      </c>
    </row>
    <row r="1276" spans="1:17">
      <c r="A1276">
        <v>1275</v>
      </c>
      <c r="B1276" s="5">
        <v>45782</v>
      </c>
      <c r="C1276" t="s">
        <v>791</v>
      </c>
      <c r="D1276" t="s">
        <v>792</v>
      </c>
      <c r="E1276" t="s">
        <v>793</v>
      </c>
      <c r="F1276">
        <v>8</v>
      </c>
      <c r="G1276" t="s">
        <v>794</v>
      </c>
      <c r="H1276" t="s">
        <v>795</v>
      </c>
      <c r="I1276" t="s">
        <v>16</v>
      </c>
      <c r="J1276" t="s">
        <v>52</v>
      </c>
      <c r="K1276" t="s">
        <v>35</v>
      </c>
      <c r="L1276" s="6">
        <v>0</v>
      </c>
      <c r="M1276" s="6">
        <v>2000</v>
      </c>
      <c r="N1276" s="6">
        <v>2000</v>
      </c>
      <c r="O1276" s="6">
        <v>52526.400000000001</v>
      </c>
      <c r="P1276" s="7">
        <v>0</v>
      </c>
      <c r="Q1276" s="6">
        <v>0</v>
      </c>
    </row>
    <row r="1277" spans="1:17">
      <c r="A1277">
        <v>1276</v>
      </c>
      <c r="B1277" s="5">
        <v>45782</v>
      </c>
      <c r="C1277" t="s">
        <v>791</v>
      </c>
      <c r="D1277" t="s">
        <v>792</v>
      </c>
      <c r="E1277" t="s">
        <v>793</v>
      </c>
      <c r="F1277">
        <v>8</v>
      </c>
      <c r="G1277" t="s">
        <v>415</v>
      </c>
      <c r="H1277" t="s">
        <v>416</v>
      </c>
      <c r="I1277" t="s">
        <v>16</v>
      </c>
      <c r="J1277" t="s">
        <v>52</v>
      </c>
      <c r="K1277" t="s">
        <v>35</v>
      </c>
      <c r="L1277" s="6">
        <v>0</v>
      </c>
      <c r="M1277" s="6">
        <v>200</v>
      </c>
      <c r="N1277" s="6">
        <v>200</v>
      </c>
      <c r="O1277" s="6">
        <v>52726.400000000001</v>
      </c>
      <c r="P1277" s="7">
        <v>0</v>
      </c>
      <c r="Q1277" s="6">
        <v>0</v>
      </c>
    </row>
    <row r="1278" spans="1:17">
      <c r="A1278">
        <v>1277</v>
      </c>
      <c r="B1278" s="5">
        <v>45782</v>
      </c>
      <c r="C1278" t="s">
        <v>791</v>
      </c>
      <c r="D1278" t="s">
        <v>792</v>
      </c>
      <c r="E1278" t="s">
        <v>793</v>
      </c>
      <c r="F1278">
        <v>8</v>
      </c>
      <c r="G1278" t="s">
        <v>827</v>
      </c>
      <c r="H1278" t="s">
        <v>66</v>
      </c>
      <c r="I1278" t="s">
        <v>22</v>
      </c>
      <c r="J1278" t="s">
        <v>67</v>
      </c>
      <c r="K1278" t="s">
        <v>34</v>
      </c>
      <c r="L1278" s="6">
        <v>211.88</v>
      </c>
      <c r="M1278" s="6">
        <v>0</v>
      </c>
      <c r="N1278" s="6">
        <v>-211.88</v>
      </c>
      <c r="O1278" s="6">
        <v>52514.52</v>
      </c>
      <c r="P1278" s="7">
        <v>0</v>
      </c>
      <c r="Q1278" s="6">
        <v>0</v>
      </c>
    </row>
    <row r="1279" spans="1:17">
      <c r="A1279">
        <v>1278</v>
      </c>
      <c r="B1279" s="5">
        <v>45782</v>
      </c>
      <c r="C1279" t="s">
        <v>791</v>
      </c>
      <c r="D1279" t="s">
        <v>792</v>
      </c>
      <c r="E1279" t="s">
        <v>793</v>
      </c>
      <c r="F1279">
        <v>8</v>
      </c>
      <c r="G1279" t="s">
        <v>828</v>
      </c>
      <c r="H1279" t="s">
        <v>66</v>
      </c>
      <c r="I1279" t="s">
        <v>22</v>
      </c>
      <c r="J1279" t="s">
        <v>67</v>
      </c>
      <c r="K1279" t="s">
        <v>34</v>
      </c>
      <c r="L1279" s="6">
        <v>1500</v>
      </c>
      <c r="M1279" s="6">
        <v>0</v>
      </c>
      <c r="N1279" s="6">
        <v>-1500</v>
      </c>
      <c r="O1279" s="6">
        <v>51014.52</v>
      </c>
      <c r="P1279" s="7">
        <v>0</v>
      </c>
      <c r="Q1279" s="6">
        <v>0</v>
      </c>
    </row>
    <row r="1280" spans="1:17">
      <c r="A1280">
        <v>1279</v>
      </c>
      <c r="B1280" s="5">
        <v>45782</v>
      </c>
      <c r="C1280" t="s">
        <v>791</v>
      </c>
      <c r="D1280" t="s">
        <v>792</v>
      </c>
      <c r="E1280" t="s">
        <v>793</v>
      </c>
      <c r="F1280">
        <v>8</v>
      </c>
      <c r="G1280" t="s">
        <v>829</v>
      </c>
      <c r="H1280" t="s">
        <v>66</v>
      </c>
      <c r="I1280" t="s">
        <v>22</v>
      </c>
      <c r="J1280" t="s">
        <v>67</v>
      </c>
      <c r="K1280" t="s">
        <v>34</v>
      </c>
      <c r="L1280" s="6">
        <v>2500</v>
      </c>
      <c r="M1280" s="6">
        <v>0</v>
      </c>
      <c r="N1280" s="6">
        <v>-2500</v>
      </c>
      <c r="O1280" s="6">
        <v>48514.52</v>
      </c>
      <c r="P1280" s="7">
        <v>0</v>
      </c>
      <c r="Q1280" s="6">
        <v>0</v>
      </c>
    </row>
    <row r="1281" spans="1:17">
      <c r="A1281">
        <v>1280</v>
      </c>
      <c r="B1281" s="5">
        <v>45782</v>
      </c>
      <c r="C1281" t="s">
        <v>791</v>
      </c>
      <c r="D1281" t="s">
        <v>792</v>
      </c>
      <c r="E1281" t="s">
        <v>793</v>
      </c>
      <c r="F1281">
        <v>8</v>
      </c>
      <c r="G1281" t="s">
        <v>830</v>
      </c>
      <c r="H1281" t="s">
        <v>66</v>
      </c>
      <c r="I1281" t="s">
        <v>22</v>
      </c>
      <c r="J1281" t="s">
        <v>67</v>
      </c>
      <c r="K1281" t="s">
        <v>34</v>
      </c>
      <c r="L1281" s="6">
        <v>544</v>
      </c>
      <c r="M1281" s="6">
        <v>0</v>
      </c>
      <c r="N1281" s="6">
        <v>-544</v>
      </c>
      <c r="O1281" s="6">
        <v>47970.52</v>
      </c>
      <c r="P1281" s="7">
        <v>0</v>
      </c>
      <c r="Q1281" s="6">
        <v>0</v>
      </c>
    </row>
    <row r="1282" spans="1:17">
      <c r="A1282">
        <v>1281</v>
      </c>
      <c r="B1282" s="5">
        <v>45782</v>
      </c>
      <c r="C1282" t="s">
        <v>791</v>
      </c>
      <c r="D1282" t="s">
        <v>792</v>
      </c>
      <c r="E1282" t="s">
        <v>793</v>
      </c>
      <c r="F1282">
        <v>8</v>
      </c>
      <c r="G1282" t="s">
        <v>831</v>
      </c>
      <c r="H1282" t="s">
        <v>66</v>
      </c>
      <c r="I1282" t="s">
        <v>22</v>
      </c>
      <c r="J1282" t="s">
        <v>67</v>
      </c>
      <c r="K1282" t="s">
        <v>34</v>
      </c>
      <c r="L1282" s="6">
        <v>1300</v>
      </c>
      <c r="M1282" s="6">
        <v>0</v>
      </c>
      <c r="N1282" s="6">
        <v>-1300</v>
      </c>
      <c r="O1282" s="6">
        <v>46670.52</v>
      </c>
      <c r="P1282" s="7">
        <v>0</v>
      </c>
      <c r="Q1282" s="6">
        <v>0</v>
      </c>
    </row>
    <row r="1283" spans="1:17">
      <c r="A1283">
        <v>1282</v>
      </c>
      <c r="B1283" s="5">
        <v>45782</v>
      </c>
      <c r="C1283" t="s">
        <v>791</v>
      </c>
      <c r="D1283" t="s">
        <v>792</v>
      </c>
      <c r="E1283" t="s">
        <v>793</v>
      </c>
      <c r="F1283">
        <v>8</v>
      </c>
      <c r="G1283" t="s">
        <v>832</v>
      </c>
      <c r="H1283" t="s">
        <v>66</v>
      </c>
      <c r="I1283" t="s">
        <v>22</v>
      </c>
      <c r="J1283" t="s">
        <v>67</v>
      </c>
      <c r="K1283" t="s">
        <v>34</v>
      </c>
      <c r="L1283" s="6">
        <v>3164.16</v>
      </c>
      <c r="M1283" s="6">
        <v>0</v>
      </c>
      <c r="N1283" s="6">
        <v>-3164.16</v>
      </c>
      <c r="O1283" s="6">
        <v>43506.36</v>
      </c>
      <c r="P1283" s="7">
        <v>0</v>
      </c>
      <c r="Q1283" s="6">
        <v>0</v>
      </c>
    </row>
    <row r="1284" spans="1:17">
      <c r="A1284">
        <v>1283</v>
      </c>
      <c r="B1284" s="5">
        <v>45782</v>
      </c>
      <c r="C1284" t="s">
        <v>791</v>
      </c>
      <c r="D1284" t="s">
        <v>792</v>
      </c>
      <c r="E1284" t="s">
        <v>793</v>
      </c>
      <c r="F1284">
        <v>9</v>
      </c>
      <c r="G1284" t="s">
        <v>833</v>
      </c>
      <c r="H1284" t="s">
        <v>66</v>
      </c>
      <c r="I1284" t="s">
        <v>22</v>
      </c>
      <c r="J1284" t="s">
        <v>67</v>
      </c>
      <c r="K1284" t="s">
        <v>34</v>
      </c>
      <c r="L1284" s="6">
        <v>7018.23</v>
      </c>
      <c r="M1284" s="6">
        <v>0</v>
      </c>
      <c r="N1284" s="6">
        <v>-7018.23</v>
      </c>
      <c r="O1284" s="6">
        <v>36488.129999999997</v>
      </c>
      <c r="P1284" s="7">
        <v>0</v>
      </c>
      <c r="Q1284" s="6">
        <v>0</v>
      </c>
    </row>
    <row r="1285" spans="1:17">
      <c r="A1285">
        <v>1284</v>
      </c>
      <c r="B1285" s="5">
        <v>45782</v>
      </c>
      <c r="C1285" t="s">
        <v>791</v>
      </c>
      <c r="D1285" t="s">
        <v>792</v>
      </c>
      <c r="E1285" t="s">
        <v>793</v>
      </c>
      <c r="F1285">
        <v>9</v>
      </c>
      <c r="G1285" t="s">
        <v>415</v>
      </c>
      <c r="H1285" t="s">
        <v>416</v>
      </c>
      <c r="I1285" t="s">
        <v>16</v>
      </c>
      <c r="J1285" t="s">
        <v>52</v>
      </c>
      <c r="K1285" t="s">
        <v>35</v>
      </c>
      <c r="L1285" s="6">
        <v>0</v>
      </c>
      <c r="M1285" s="6">
        <v>72</v>
      </c>
      <c r="N1285" s="6">
        <v>72</v>
      </c>
      <c r="O1285" s="6">
        <v>36560.129999999997</v>
      </c>
      <c r="P1285" s="7">
        <v>0</v>
      </c>
      <c r="Q1285" s="6">
        <v>0</v>
      </c>
    </row>
    <row r="1286" spans="1:17">
      <c r="A1286">
        <v>1285</v>
      </c>
      <c r="B1286" s="5">
        <v>45782</v>
      </c>
      <c r="C1286" t="s">
        <v>791</v>
      </c>
      <c r="D1286" t="s">
        <v>792</v>
      </c>
      <c r="E1286" t="s">
        <v>793</v>
      </c>
      <c r="F1286">
        <v>9</v>
      </c>
      <c r="G1286" t="s">
        <v>415</v>
      </c>
      <c r="H1286" t="s">
        <v>416</v>
      </c>
      <c r="I1286" t="s">
        <v>16</v>
      </c>
      <c r="J1286" t="s">
        <v>52</v>
      </c>
      <c r="K1286" t="s">
        <v>35</v>
      </c>
      <c r="L1286" s="6">
        <v>0</v>
      </c>
      <c r="M1286" s="6">
        <v>28</v>
      </c>
      <c r="N1286" s="6">
        <v>28</v>
      </c>
      <c r="O1286" s="6">
        <v>36588.129999999997</v>
      </c>
      <c r="P1286" s="7">
        <v>0</v>
      </c>
      <c r="Q1286" s="6">
        <v>0</v>
      </c>
    </row>
    <row r="1287" spans="1:17">
      <c r="A1287">
        <v>1286</v>
      </c>
      <c r="B1287" s="5">
        <v>45782</v>
      </c>
      <c r="C1287" t="s">
        <v>791</v>
      </c>
      <c r="D1287" t="s">
        <v>792</v>
      </c>
      <c r="E1287" t="s">
        <v>793</v>
      </c>
      <c r="F1287">
        <v>9</v>
      </c>
      <c r="G1287" t="s">
        <v>794</v>
      </c>
      <c r="H1287" t="s">
        <v>795</v>
      </c>
      <c r="I1287" t="s">
        <v>16</v>
      </c>
      <c r="J1287" t="s">
        <v>52</v>
      </c>
      <c r="K1287" t="s">
        <v>35</v>
      </c>
      <c r="L1287" s="6">
        <v>0</v>
      </c>
      <c r="M1287" s="6">
        <v>2800</v>
      </c>
      <c r="N1287" s="6">
        <v>2800</v>
      </c>
      <c r="O1287" s="6">
        <v>39388.129999999997</v>
      </c>
      <c r="P1287" s="7">
        <v>0</v>
      </c>
      <c r="Q1287" s="6">
        <v>0</v>
      </c>
    </row>
    <row r="1288" spans="1:17">
      <c r="A1288">
        <v>1287</v>
      </c>
      <c r="B1288" s="5">
        <v>45782</v>
      </c>
      <c r="C1288" t="s">
        <v>791</v>
      </c>
      <c r="D1288" t="s">
        <v>792</v>
      </c>
      <c r="E1288" t="s">
        <v>793</v>
      </c>
      <c r="F1288">
        <v>9</v>
      </c>
      <c r="G1288" t="s">
        <v>834</v>
      </c>
      <c r="H1288" t="s">
        <v>835</v>
      </c>
      <c r="I1288" t="s">
        <v>16</v>
      </c>
      <c r="J1288" t="s">
        <v>52</v>
      </c>
      <c r="K1288" t="s">
        <v>35</v>
      </c>
      <c r="L1288" s="6">
        <v>0</v>
      </c>
      <c r="M1288" s="6">
        <v>100</v>
      </c>
      <c r="N1288" s="6">
        <v>100</v>
      </c>
      <c r="O1288" s="6">
        <v>39488.129999999997</v>
      </c>
      <c r="P1288" s="7">
        <v>0</v>
      </c>
      <c r="Q1288" s="6">
        <v>0</v>
      </c>
    </row>
    <row r="1289" spans="1:17">
      <c r="A1289">
        <v>1288</v>
      </c>
      <c r="B1289" s="5">
        <v>45782</v>
      </c>
      <c r="C1289" t="s">
        <v>791</v>
      </c>
      <c r="D1289" t="s">
        <v>792</v>
      </c>
      <c r="E1289" t="s">
        <v>793</v>
      </c>
      <c r="F1289">
        <v>9</v>
      </c>
      <c r="G1289" t="s">
        <v>836</v>
      </c>
      <c r="H1289" t="s">
        <v>837</v>
      </c>
      <c r="I1289" t="s">
        <v>16</v>
      </c>
      <c r="J1289" t="s">
        <v>52</v>
      </c>
      <c r="K1289" t="s">
        <v>35</v>
      </c>
      <c r="L1289" s="6">
        <v>0</v>
      </c>
      <c r="M1289" s="6">
        <v>1000</v>
      </c>
      <c r="N1289" s="6">
        <v>1000</v>
      </c>
      <c r="O1289" s="6">
        <v>40488.129999999997</v>
      </c>
      <c r="P1289" s="7">
        <v>0</v>
      </c>
      <c r="Q1289" s="6">
        <v>0</v>
      </c>
    </row>
    <row r="1290" spans="1:17">
      <c r="A1290">
        <v>1289</v>
      </c>
      <c r="B1290" s="5">
        <v>45783</v>
      </c>
      <c r="C1290" t="s">
        <v>791</v>
      </c>
      <c r="D1290" t="s">
        <v>792</v>
      </c>
      <c r="E1290" t="s">
        <v>793</v>
      </c>
      <c r="F1290">
        <v>3</v>
      </c>
      <c r="G1290" t="s">
        <v>508</v>
      </c>
      <c r="H1290" t="s">
        <v>509</v>
      </c>
      <c r="I1290" t="s">
        <v>16</v>
      </c>
      <c r="J1290" t="s">
        <v>52</v>
      </c>
      <c r="K1290" t="s">
        <v>35</v>
      </c>
      <c r="L1290" s="6">
        <v>0</v>
      </c>
      <c r="M1290" s="6">
        <v>1000</v>
      </c>
      <c r="N1290" s="6">
        <v>1000</v>
      </c>
      <c r="O1290" s="6">
        <v>41488.129999999997</v>
      </c>
      <c r="P1290" s="7">
        <v>0</v>
      </c>
      <c r="Q1290" s="6">
        <v>0</v>
      </c>
    </row>
    <row r="1291" spans="1:17">
      <c r="A1291">
        <v>1290</v>
      </c>
      <c r="B1291" s="5">
        <v>45783</v>
      </c>
      <c r="C1291" t="s">
        <v>791</v>
      </c>
      <c r="D1291" t="s">
        <v>792</v>
      </c>
      <c r="E1291" t="s">
        <v>793</v>
      </c>
      <c r="F1291">
        <v>3</v>
      </c>
      <c r="G1291" t="s">
        <v>794</v>
      </c>
      <c r="H1291" t="s">
        <v>795</v>
      </c>
      <c r="I1291" t="s">
        <v>16</v>
      </c>
      <c r="J1291" t="s">
        <v>52</v>
      </c>
      <c r="K1291" t="s">
        <v>35</v>
      </c>
      <c r="L1291" s="6">
        <v>0</v>
      </c>
      <c r="M1291" s="6">
        <v>3000</v>
      </c>
      <c r="N1291" s="6">
        <v>3000</v>
      </c>
      <c r="O1291" s="6">
        <v>44488.13</v>
      </c>
      <c r="P1291" s="7">
        <v>0</v>
      </c>
      <c r="Q1291" s="6">
        <v>0</v>
      </c>
    </row>
    <row r="1292" spans="1:17">
      <c r="A1292">
        <v>1291</v>
      </c>
      <c r="B1292" s="5">
        <v>45783</v>
      </c>
      <c r="C1292" t="s">
        <v>791</v>
      </c>
      <c r="D1292" t="s">
        <v>792</v>
      </c>
      <c r="E1292" t="s">
        <v>793</v>
      </c>
      <c r="F1292">
        <v>3</v>
      </c>
      <c r="G1292" t="s">
        <v>201</v>
      </c>
      <c r="H1292" t="s">
        <v>100</v>
      </c>
      <c r="I1292" t="s">
        <v>16</v>
      </c>
      <c r="J1292" t="s">
        <v>52</v>
      </c>
      <c r="K1292" t="s">
        <v>35</v>
      </c>
      <c r="L1292" s="6">
        <v>0</v>
      </c>
      <c r="M1292" s="6">
        <v>1500</v>
      </c>
      <c r="N1292" s="6">
        <v>1500</v>
      </c>
      <c r="O1292" s="6">
        <v>45988.13</v>
      </c>
      <c r="P1292" s="7">
        <v>0</v>
      </c>
      <c r="Q1292" s="6">
        <v>0</v>
      </c>
    </row>
    <row r="1293" spans="1:17">
      <c r="A1293">
        <v>1292</v>
      </c>
      <c r="B1293" s="5">
        <v>45783</v>
      </c>
      <c r="C1293" t="s">
        <v>791</v>
      </c>
      <c r="D1293" t="s">
        <v>792</v>
      </c>
      <c r="E1293" t="s">
        <v>793</v>
      </c>
      <c r="F1293">
        <v>3</v>
      </c>
      <c r="G1293" t="s">
        <v>838</v>
      </c>
      <c r="H1293" t="s">
        <v>66</v>
      </c>
      <c r="I1293" t="s">
        <v>22</v>
      </c>
      <c r="J1293" t="s">
        <v>67</v>
      </c>
      <c r="K1293" t="s">
        <v>34</v>
      </c>
      <c r="L1293" s="6">
        <v>266.95999999999998</v>
      </c>
      <c r="M1293" s="6">
        <v>0</v>
      </c>
      <c r="N1293" s="6">
        <v>-266.95999999999998</v>
      </c>
      <c r="O1293" s="6">
        <v>45721.17</v>
      </c>
      <c r="P1293" s="7">
        <v>0</v>
      </c>
      <c r="Q1293" s="6">
        <v>0</v>
      </c>
    </row>
    <row r="1294" spans="1:17">
      <c r="A1294">
        <v>1293</v>
      </c>
      <c r="B1294" s="5">
        <v>45783</v>
      </c>
      <c r="C1294" t="s">
        <v>791</v>
      </c>
      <c r="D1294" t="s">
        <v>792</v>
      </c>
      <c r="E1294" t="s">
        <v>793</v>
      </c>
      <c r="F1294">
        <v>3</v>
      </c>
      <c r="G1294" t="s">
        <v>839</v>
      </c>
      <c r="H1294" t="s">
        <v>66</v>
      </c>
      <c r="I1294" t="s">
        <v>22</v>
      </c>
      <c r="J1294" t="s">
        <v>67</v>
      </c>
      <c r="K1294" t="s">
        <v>34</v>
      </c>
      <c r="L1294" s="6">
        <v>406</v>
      </c>
      <c r="M1294" s="6">
        <v>0</v>
      </c>
      <c r="N1294" s="6">
        <v>-406</v>
      </c>
      <c r="O1294" s="6">
        <v>45315.17</v>
      </c>
      <c r="P1294" s="7">
        <v>0</v>
      </c>
      <c r="Q1294" s="6">
        <v>0</v>
      </c>
    </row>
    <row r="1295" spans="1:17">
      <c r="A1295">
        <v>1294</v>
      </c>
      <c r="B1295" s="5">
        <v>45783</v>
      </c>
      <c r="C1295" t="s">
        <v>791</v>
      </c>
      <c r="D1295" t="s">
        <v>792</v>
      </c>
      <c r="E1295" t="s">
        <v>793</v>
      </c>
      <c r="F1295">
        <v>3</v>
      </c>
      <c r="G1295" t="s">
        <v>840</v>
      </c>
      <c r="H1295" t="s">
        <v>66</v>
      </c>
      <c r="I1295" t="s">
        <v>22</v>
      </c>
      <c r="J1295" t="s">
        <v>67</v>
      </c>
      <c r="K1295" t="s">
        <v>34</v>
      </c>
      <c r="L1295" s="6">
        <v>300</v>
      </c>
      <c r="M1295" s="6">
        <v>0</v>
      </c>
      <c r="N1295" s="6">
        <v>-300</v>
      </c>
      <c r="O1295" s="6">
        <v>45015.17</v>
      </c>
      <c r="P1295" s="7">
        <v>0</v>
      </c>
      <c r="Q1295" s="6">
        <v>0</v>
      </c>
    </row>
    <row r="1296" spans="1:17">
      <c r="A1296">
        <v>1295</v>
      </c>
      <c r="B1296" s="5">
        <v>45783</v>
      </c>
      <c r="C1296" t="s">
        <v>791</v>
      </c>
      <c r="D1296" t="s">
        <v>792</v>
      </c>
      <c r="E1296" t="s">
        <v>793</v>
      </c>
      <c r="F1296">
        <v>3</v>
      </c>
      <c r="G1296" t="s">
        <v>841</v>
      </c>
      <c r="H1296" t="s">
        <v>66</v>
      </c>
      <c r="I1296" t="s">
        <v>22</v>
      </c>
      <c r="J1296" t="s">
        <v>67</v>
      </c>
      <c r="K1296" t="s">
        <v>34</v>
      </c>
      <c r="L1296" s="6">
        <v>992.65</v>
      </c>
      <c r="M1296" s="6">
        <v>0</v>
      </c>
      <c r="N1296" s="6">
        <v>-992.65</v>
      </c>
      <c r="O1296" s="6">
        <v>44022.52</v>
      </c>
      <c r="P1296" s="7">
        <v>0</v>
      </c>
      <c r="Q1296" s="6">
        <v>0</v>
      </c>
    </row>
    <row r="1297" spans="1:17">
      <c r="A1297">
        <v>1296</v>
      </c>
      <c r="B1297" s="5">
        <v>45783</v>
      </c>
      <c r="C1297" t="s">
        <v>791</v>
      </c>
      <c r="D1297" t="s">
        <v>792</v>
      </c>
      <c r="E1297" t="s">
        <v>793</v>
      </c>
      <c r="F1297">
        <v>3</v>
      </c>
      <c r="G1297" t="s">
        <v>689</v>
      </c>
      <c r="H1297" t="s">
        <v>690</v>
      </c>
      <c r="I1297" t="s">
        <v>16</v>
      </c>
      <c r="J1297" t="s">
        <v>52</v>
      </c>
      <c r="K1297" t="s">
        <v>35</v>
      </c>
      <c r="L1297" s="6">
        <v>0</v>
      </c>
      <c r="M1297" s="6">
        <v>500</v>
      </c>
      <c r="N1297" s="6">
        <v>500</v>
      </c>
      <c r="O1297" s="6">
        <v>44522.52</v>
      </c>
      <c r="P1297" s="7">
        <v>0</v>
      </c>
      <c r="Q1297" s="6">
        <v>0</v>
      </c>
    </row>
    <row r="1298" spans="1:17">
      <c r="A1298">
        <v>1297</v>
      </c>
      <c r="B1298" s="5">
        <v>45783</v>
      </c>
      <c r="C1298" t="s">
        <v>791</v>
      </c>
      <c r="D1298" t="s">
        <v>792</v>
      </c>
      <c r="E1298" t="s">
        <v>793</v>
      </c>
      <c r="F1298">
        <v>3</v>
      </c>
      <c r="G1298" t="s">
        <v>784</v>
      </c>
      <c r="H1298" t="s">
        <v>785</v>
      </c>
      <c r="I1298" t="s">
        <v>16</v>
      </c>
      <c r="J1298" t="s">
        <v>52</v>
      </c>
      <c r="K1298" t="s">
        <v>35</v>
      </c>
      <c r="L1298" s="6">
        <v>0</v>
      </c>
      <c r="M1298" s="6">
        <v>150</v>
      </c>
      <c r="N1298" s="6">
        <v>150</v>
      </c>
      <c r="O1298" s="6">
        <v>44672.52</v>
      </c>
      <c r="P1298" s="7">
        <v>0</v>
      </c>
      <c r="Q1298" s="6">
        <v>0</v>
      </c>
    </row>
    <row r="1299" spans="1:17">
      <c r="A1299">
        <v>1298</v>
      </c>
      <c r="B1299" s="5">
        <v>45783</v>
      </c>
      <c r="C1299" t="s">
        <v>791</v>
      </c>
      <c r="D1299" t="s">
        <v>792</v>
      </c>
      <c r="E1299" t="s">
        <v>793</v>
      </c>
      <c r="F1299">
        <v>3</v>
      </c>
      <c r="G1299" t="s">
        <v>659</v>
      </c>
      <c r="H1299" t="s">
        <v>660</v>
      </c>
      <c r="I1299" t="s">
        <v>16</v>
      </c>
      <c r="J1299" t="s">
        <v>52</v>
      </c>
      <c r="K1299" t="s">
        <v>35</v>
      </c>
      <c r="L1299" s="6">
        <v>0</v>
      </c>
      <c r="M1299" s="6">
        <v>50</v>
      </c>
      <c r="N1299" s="6">
        <v>50</v>
      </c>
      <c r="O1299" s="6">
        <v>44722.52</v>
      </c>
      <c r="P1299" s="7">
        <v>0</v>
      </c>
      <c r="Q1299" s="6">
        <v>0</v>
      </c>
    </row>
    <row r="1300" spans="1:17">
      <c r="A1300">
        <v>1299</v>
      </c>
      <c r="B1300" s="5">
        <v>45783</v>
      </c>
      <c r="C1300" t="s">
        <v>791</v>
      </c>
      <c r="D1300" t="s">
        <v>792</v>
      </c>
      <c r="E1300" t="s">
        <v>793</v>
      </c>
      <c r="F1300">
        <v>3</v>
      </c>
      <c r="G1300" t="s">
        <v>659</v>
      </c>
      <c r="H1300" t="s">
        <v>660</v>
      </c>
      <c r="I1300" t="s">
        <v>16</v>
      </c>
      <c r="J1300" t="s">
        <v>52</v>
      </c>
      <c r="K1300" t="s">
        <v>35</v>
      </c>
      <c r="L1300" s="6">
        <v>0</v>
      </c>
      <c r="M1300" s="6">
        <v>50</v>
      </c>
      <c r="N1300" s="6">
        <v>50</v>
      </c>
      <c r="O1300" s="6">
        <v>44772.52</v>
      </c>
      <c r="P1300" s="7">
        <v>0</v>
      </c>
      <c r="Q1300" s="6">
        <v>0</v>
      </c>
    </row>
    <row r="1301" spans="1:17">
      <c r="A1301">
        <v>1300</v>
      </c>
      <c r="B1301" s="5">
        <v>45783</v>
      </c>
      <c r="C1301" t="s">
        <v>791</v>
      </c>
      <c r="D1301" t="s">
        <v>792</v>
      </c>
      <c r="E1301" t="s">
        <v>793</v>
      </c>
      <c r="F1301">
        <v>3</v>
      </c>
      <c r="G1301" t="s">
        <v>834</v>
      </c>
      <c r="H1301" t="s">
        <v>835</v>
      </c>
      <c r="I1301" t="s">
        <v>16</v>
      </c>
      <c r="J1301" t="s">
        <v>52</v>
      </c>
      <c r="K1301" t="s">
        <v>35</v>
      </c>
      <c r="L1301" s="6">
        <v>0</v>
      </c>
      <c r="M1301" s="6">
        <v>100</v>
      </c>
      <c r="N1301" s="6">
        <v>100</v>
      </c>
      <c r="O1301" s="6">
        <v>44872.52</v>
      </c>
      <c r="P1301" s="7">
        <v>0</v>
      </c>
      <c r="Q1301" s="6">
        <v>0</v>
      </c>
    </row>
    <row r="1302" spans="1:17">
      <c r="A1302">
        <v>1301</v>
      </c>
      <c r="B1302" s="5">
        <v>45783</v>
      </c>
      <c r="C1302" t="s">
        <v>791</v>
      </c>
      <c r="D1302" t="s">
        <v>792</v>
      </c>
      <c r="E1302" t="s">
        <v>793</v>
      </c>
      <c r="F1302">
        <v>3</v>
      </c>
      <c r="G1302" t="s">
        <v>836</v>
      </c>
      <c r="H1302" t="s">
        <v>837</v>
      </c>
      <c r="I1302" t="s">
        <v>16</v>
      </c>
      <c r="J1302" t="s">
        <v>52</v>
      </c>
      <c r="K1302" t="s">
        <v>35</v>
      </c>
      <c r="L1302" s="6">
        <v>0</v>
      </c>
      <c r="M1302" s="6">
        <v>1000</v>
      </c>
      <c r="N1302" s="6">
        <v>1000</v>
      </c>
      <c r="O1302" s="6">
        <v>45872.52</v>
      </c>
      <c r="P1302" s="7">
        <v>0</v>
      </c>
      <c r="Q1302" s="6">
        <v>0</v>
      </c>
    </row>
    <row r="1303" spans="1:17">
      <c r="A1303">
        <v>1302</v>
      </c>
      <c r="B1303" s="5">
        <v>45783</v>
      </c>
      <c r="C1303" t="s">
        <v>791</v>
      </c>
      <c r="D1303" t="s">
        <v>792</v>
      </c>
      <c r="E1303" t="s">
        <v>793</v>
      </c>
      <c r="F1303">
        <v>3</v>
      </c>
      <c r="G1303" t="s">
        <v>201</v>
      </c>
      <c r="H1303" t="s">
        <v>100</v>
      </c>
      <c r="I1303" t="s">
        <v>16</v>
      </c>
      <c r="J1303" t="s">
        <v>52</v>
      </c>
      <c r="K1303" t="s">
        <v>35</v>
      </c>
      <c r="L1303" s="6">
        <v>0</v>
      </c>
      <c r="M1303" s="6">
        <v>800</v>
      </c>
      <c r="N1303" s="6">
        <v>800</v>
      </c>
      <c r="O1303" s="6">
        <v>46672.52</v>
      </c>
      <c r="P1303" s="7">
        <v>0</v>
      </c>
      <c r="Q1303" s="6">
        <v>0</v>
      </c>
    </row>
    <row r="1304" spans="1:17">
      <c r="A1304">
        <v>1303</v>
      </c>
      <c r="B1304" s="5">
        <v>45783</v>
      </c>
      <c r="C1304" t="s">
        <v>791</v>
      </c>
      <c r="D1304" t="s">
        <v>792</v>
      </c>
      <c r="E1304" t="s">
        <v>793</v>
      </c>
      <c r="F1304">
        <v>3</v>
      </c>
      <c r="G1304" t="s">
        <v>415</v>
      </c>
      <c r="H1304" t="s">
        <v>416</v>
      </c>
      <c r="I1304" t="s">
        <v>16</v>
      </c>
      <c r="J1304" t="s">
        <v>52</v>
      </c>
      <c r="K1304" t="s">
        <v>35</v>
      </c>
      <c r="L1304" s="6">
        <v>0</v>
      </c>
      <c r="M1304" s="6">
        <v>250</v>
      </c>
      <c r="N1304" s="6">
        <v>250</v>
      </c>
      <c r="O1304" s="6">
        <v>46922.52</v>
      </c>
      <c r="P1304" s="7">
        <v>0</v>
      </c>
      <c r="Q1304" s="6">
        <v>0</v>
      </c>
    </row>
    <row r="1305" spans="1:17">
      <c r="A1305">
        <v>1304</v>
      </c>
      <c r="B1305" s="5">
        <v>45783</v>
      </c>
      <c r="C1305" t="s">
        <v>791</v>
      </c>
      <c r="D1305" t="s">
        <v>792</v>
      </c>
      <c r="E1305" t="s">
        <v>793</v>
      </c>
      <c r="F1305">
        <v>3</v>
      </c>
      <c r="G1305" t="s">
        <v>842</v>
      </c>
      <c r="H1305" t="s">
        <v>66</v>
      </c>
      <c r="I1305" t="s">
        <v>22</v>
      </c>
      <c r="J1305" t="s">
        <v>67</v>
      </c>
      <c r="K1305" t="s">
        <v>34</v>
      </c>
      <c r="L1305" s="6">
        <v>500</v>
      </c>
      <c r="M1305" s="6">
        <v>0</v>
      </c>
      <c r="N1305" s="6">
        <v>-500</v>
      </c>
      <c r="O1305" s="6">
        <v>46422.52</v>
      </c>
      <c r="P1305" s="7">
        <v>0</v>
      </c>
      <c r="Q1305" s="6">
        <v>0</v>
      </c>
    </row>
    <row r="1306" spans="1:17">
      <c r="A1306">
        <v>1305</v>
      </c>
      <c r="B1306" s="5">
        <v>45783</v>
      </c>
      <c r="C1306" t="s">
        <v>791</v>
      </c>
      <c r="D1306" t="s">
        <v>792</v>
      </c>
      <c r="E1306" t="s">
        <v>793</v>
      </c>
      <c r="F1306">
        <v>3</v>
      </c>
      <c r="G1306" t="s">
        <v>843</v>
      </c>
      <c r="H1306" t="s">
        <v>66</v>
      </c>
      <c r="I1306" t="s">
        <v>22</v>
      </c>
      <c r="J1306" t="s">
        <v>67</v>
      </c>
      <c r="K1306" t="s">
        <v>34</v>
      </c>
      <c r="L1306" s="6">
        <v>500</v>
      </c>
      <c r="M1306" s="6">
        <v>0</v>
      </c>
      <c r="N1306" s="6">
        <v>-500</v>
      </c>
      <c r="O1306" s="6">
        <v>45922.52</v>
      </c>
      <c r="P1306" s="7">
        <v>0</v>
      </c>
      <c r="Q1306" s="6">
        <v>0</v>
      </c>
    </row>
    <row r="1307" spans="1:17">
      <c r="A1307">
        <v>1306</v>
      </c>
      <c r="B1307" s="5">
        <v>45783</v>
      </c>
      <c r="C1307" t="s">
        <v>791</v>
      </c>
      <c r="D1307" t="s">
        <v>792</v>
      </c>
      <c r="E1307" t="s">
        <v>793</v>
      </c>
      <c r="F1307">
        <v>3</v>
      </c>
      <c r="G1307" t="s">
        <v>844</v>
      </c>
      <c r="H1307" t="s">
        <v>66</v>
      </c>
      <c r="I1307" t="s">
        <v>22</v>
      </c>
      <c r="J1307" t="s">
        <v>67</v>
      </c>
      <c r="K1307" t="s">
        <v>34</v>
      </c>
      <c r="L1307" s="6">
        <v>100</v>
      </c>
      <c r="M1307" s="6">
        <v>0</v>
      </c>
      <c r="N1307" s="6">
        <v>-100</v>
      </c>
      <c r="O1307" s="6">
        <v>45822.52</v>
      </c>
      <c r="P1307" s="7">
        <v>0</v>
      </c>
      <c r="Q1307" s="6">
        <v>0</v>
      </c>
    </row>
    <row r="1308" spans="1:17">
      <c r="A1308">
        <v>1307</v>
      </c>
      <c r="B1308" s="5">
        <v>45783</v>
      </c>
      <c r="C1308" t="s">
        <v>791</v>
      </c>
      <c r="D1308" t="s">
        <v>792</v>
      </c>
      <c r="E1308" t="s">
        <v>793</v>
      </c>
      <c r="F1308">
        <v>3</v>
      </c>
      <c r="G1308" t="s">
        <v>845</v>
      </c>
      <c r="H1308" t="s">
        <v>66</v>
      </c>
      <c r="I1308" t="s">
        <v>22</v>
      </c>
      <c r="J1308" t="s">
        <v>67</v>
      </c>
      <c r="K1308" t="s">
        <v>34</v>
      </c>
      <c r="L1308" s="6">
        <v>155</v>
      </c>
      <c r="M1308" s="6">
        <v>0</v>
      </c>
      <c r="N1308" s="6">
        <v>-155</v>
      </c>
      <c r="O1308" s="6">
        <v>45667.519999999997</v>
      </c>
      <c r="P1308" s="7">
        <v>0</v>
      </c>
      <c r="Q1308" s="6">
        <v>0</v>
      </c>
    </row>
    <row r="1309" spans="1:17">
      <c r="A1309">
        <v>1308</v>
      </c>
      <c r="B1309" s="5">
        <v>45783</v>
      </c>
      <c r="C1309" t="s">
        <v>791</v>
      </c>
      <c r="D1309" t="s">
        <v>792</v>
      </c>
      <c r="E1309" t="s">
        <v>793</v>
      </c>
      <c r="F1309">
        <v>3</v>
      </c>
      <c r="G1309" t="s">
        <v>846</v>
      </c>
      <c r="H1309" t="s">
        <v>66</v>
      </c>
      <c r="I1309" t="s">
        <v>22</v>
      </c>
      <c r="J1309" t="s">
        <v>67</v>
      </c>
      <c r="K1309" t="s">
        <v>34</v>
      </c>
      <c r="L1309" s="6">
        <v>543.35</v>
      </c>
      <c r="M1309" s="6">
        <v>0</v>
      </c>
      <c r="N1309" s="6">
        <v>-543.35</v>
      </c>
      <c r="O1309" s="6">
        <v>45124.17</v>
      </c>
      <c r="P1309" s="7">
        <v>0</v>
      </c>
      <c r="Q1309" s="6">
        <v>0</v>
      </c>
    </row>
    <row r="1310" spans="1:17">
      <c r="A1310">
        <v>1309</v>
      </c>
      <c r="B1310" s="5">
        <v>45783</v>
      </c>
      <c r="C1310" t="s">
        <v>791</v>
      </c>
      <c r="D1310" t="s">
        <v>792</v>
      </c>
      <c r="E1310" t="s">
        <v>793</v>
      </c>
      <c r="F1310">
        <v>3</v>
      </c>
      <c r="G1310" t="s">
        <v>847</v>
      </c>
      <c r="H1310" t="s">
        <v>66</v>
      </c>
      <c r="I1310" t="s">
        <v>22</v>
      </c>
      <c r="J1310" t="s">
        <v>67</v>
      </c>
      <c r="K1310" t="s">
        <v>34</v>
      </c>
      <c r="L1310" s="6">
        <v>250</v>
      </c>
      <c r="M1310" s="6">
        <v>0</v>
      </c>
      <c r="N1310" s="6">
        <v>-250</v>
      </c>
      <c r="O1310" s="6">
        <v>44874.17</v>
      </c>
      <c r="P1310" s="7">
        <v>0</v>
      </c>
      <c r="Q1310" s="6">
        <v>0</v>
      </c>
    </row>
    <row r="1311" spans="1:17">
      <c r="A1311">
        <v>1310</v>
      </c>
      <c r="B1311" s="5">
        <v>45783</v>
      </c>
      <c r="C1311" t="s">
        <v>791</v>
      </c>
      <c r="D1311" t="s">
        <v>792</v>
      </c>
      <c r="E1311" t="s">
        <v>793</v>
      </c>
      <c r="F1311">
        <v>3</v>
      </c>
      <c r="G1311" t="s">
        <v>848</v>
      </c>
      <c r="H1311" t="s">
        <v>66</v>
      </c>
      <c r="I1311" t="s">
        <v>22</v>
      </c>
      <c r="J1311" t="s">
        <v>67</v>
      </c>
      <c r="K1311" t="s">
        <v>34</v>
      </c>
      <c r="L1311" s="6">
        <v>700</v>
      </c>
      <c r="M1311" s="6">
        <v>0</v>
      </c>
      <c r="N1311" s="6">
        <v>-700</v>
      </c>
      <c r="O1311" s="6">
        <v>44174.17</v>
      </c>
      <c r="P1311" s="7">
        <v>0</v>
      </c>
      <c r="Q1311" s="6">
        <v>0</v>
      </c>
    </row>
    <row r="1312" spans="1:17">
      <c r="A1312">
        <v>1311</v>
      </c>
      <c r="B1312" s="5">
        <v>45783</v>
      </c>
      <c r="C1312" t="s">
        <v>791</v>
      </c>
      <c r="D1312" t="s">
        <v>792</v>
      </c>
      <c r="E1312" t="s">
        <v>793</v>
      </c>
      <c r="F1312">
        <v>3</v>
      </c>
      <c r="G1312" t="s">
        <v>849</v>
      </c>
      <c r="H1312" t="s">
        <v>66</v>
      </c>
      <c r="I1312" t="s">
        <v>22</v>
      </c>
      <c r="J1312" t="s">
        <v>67</v>
      </c>
      <c r="K1312" t="s">
        <v>34</v>
      </c>
      <c r="L1312" s="6">
        <v>475.13</v>
      </c>
      <c r="M1312" s="6">
        <v>0</v>
      </c>
      <c r="N1312" s="6">
        <v>-475.13</v>
      </c>
      <c r="O1312" s="6">
        <v>43699.040000000001</v>
      </c>
      <c r="P1312" s="7">
        <v>0</v>
      </c>
      <c r="Q1312" s="6">
        <v>0</v>
      </c>
    </row>
    <row r="1313" spans="1:17">
      <c r="A1313">
        <v>1312</v>
      </c>
      <c r="B1313" s="5">
        <v>45783</v>
      </c>
      <c r="C1313" t="s">
        <v>791</v>
      </c>
      <c r="D1313" t="s">
        <v>792</v>
      </c>
      <c r="E1313" t="s">
        <v>793</v>
      </c>
      <c r="F1313">
        <v>3</v>
      </c>
      <c r="G1313" t="s">
        <v>850</v>
      </c>
      <c r="H1313" t="s">
        <v>66</v>
      </c>
      <c r="I1313" t="s">
        <v>22</v>
      </c>
      <c r="J1313" t="s">
        <v>67</v>
      </c>
      <c r="K1313" t="s">
        <v>34</v>
      </c>
      <c r="L1313" s="6">
        <v>30</v>
      </c>
      <c r="M1313" s="6">
        <v>0</v>
      </c>
      <c r="N1313" s="6">
        <v>-30</v>
      </c>
      <c r="O1313" s="6">
        <v>43669.04</v>
      </c>
      <c r="P1313" s="7">
        <v>0</v>
      </c>
      <c r="Q1313" s="6">
        <v>0</v>
      </c>
    </row>
    <row r="1314" spans="1:17">
      <c r="A1314">
        <v>1313</v>
      </c>
      <c r="B1314" s="5">
        <v>45783</v>
      </c>
      <c r="C1314" t="s">
        <v>791</v>
      </c>
      <c r="D1314" t="s">
        <v>792</v>
      </c>
      <c r="E1314" t="s">
        <v>793</v>
      </c>
      <c r="F1314">
        <v>3</v>
      </c>
      <c r="G1314" t="s">
        <v>851</v>
      </c>
      <c r="H1314" t="s">
        <v>66</v>
      </c>
      <c r="I1314" t="s">
        <v>22</v>
      </c>
      <c r="J1314" t="s">
        <v>67</v>
      </c>
      <c r="K1314" t="s">
        <v>34</v>
      </c>
      <c r="L1314" s="6">
        <v>133</v>
      </c>
      <c r="M1314" s="6">
        <v>0</v>
      </c>
      <c r="N1314" s="6">
        <v>-133</v>
      </c>
      <c r="O1314" s="6">
        <v>43536.04</v>
      </c>
      <c r="P1314" s="7">
        <v>0</v>
      </c>
      <c r="Q1314" s="6">
        <v>0</v>
      </c>
    </row>
    <row r="1315" spans="1:17">
      <c r="A1315">
        <v>1314</v>
      </c>
      <c r="B1315" s="5">
        <v>45783</v>
      </c>
      <c r="C1315" t="s">
        <v>791</v>
      </c>
      <c r="D1315" t="s">
        <v>792</v>
      </c>
      <c r="E1315" t="s">
        <v>793</v>
      </c>
      <c r="F1315">
        <v>3</v>
      </c>
      <c r="G1315" t="s">
        <v>852</v>
      </c>
      <c r="H1315" t="s">
        <v>66</v>
      </c>
      <c r="I1315" t="s">
        <v>22</v>
      </c>
      <c r="J1315" t="s">
        <v>67</v>
      </c>
      <c r="K1315" t="s">
        <v>34</v>
      </c>
      <c r="L1315" s="6">
        <v>769.69</v>
      </c>
      <c r="M1315" s="6">
        <v>0</v>
      </c>
      <c r="N1315" s="6">
        <v>-769.69</v>
      </c>
      <c r="O1315" s="6">
        <v>42766.35</v>
      </c>
      <c r="P1315" s="7">
        <v>0</v>
      </c>
      <c r="Q1315" s="6">
        <v>0</v>
      </c>
    </row>
    <row r="1316" spans="1:17">
      <c r="A1316">
        <v>1315</v>
      </c>
      <c r="B1316" s="5">
        <v>45783</v>
      </c>
      <c r="C1316" t="s">
        <v>791</v>
      </c>
      <c r="D1316" t="s">
        <v>792</v>
      </c>
      <c r="E1316" t="s">
        <v>793</v>
      </c>
      <c r="F1316">
        <v>9</v>
      </c>
      <c r="G1316" t="s">
        <v>508</v>
      </c>
      <c r="H1316" t="s">
        <v>509</v>
      </c>
      <c r="I1316" t="s">
        <v>16</v>
      </c>
      <c r="J1316" t="s">
        <v>52</v>
      </c>
      <c r="K1316" t="s">
        <v>35</v>
      </c>
      <c r="L1316" s="6">
        <v>0</v>
      </c>
      <c r="M1316" s="6">
        <v>1000</v>
      </c>
      <c r="N1316" s="6">
        <v>1000</v>
      </c>
      <c r="O1316" s="6">
        <v>41488.129999999997</v>
      </c>
      <c r="P1316" s="7">
        <v>0</v>
      </c>
      <c r="Q1316" s="6">
        <v>0</v>
      </c>
    </row>
    <row r="1317" spans="1:17">
      <c r="A1317">
        <v>1316</v>
      </c>
      <c r="B1317" s="5">
        <v>45783</v>
      </c>
      <c r="C1317" t="s">
        <v>791</v>
      </c>
      <c r="D1317" t="s">
        <v>792</v>
      </c>
      <c r="E1317" t="s">
        <v>793</v>
      </c>
      <c r="F1317">
        <v>9</v>
      </c>
      <c r="G1317" t="s">
        <v>794</v>
      </c>
      <c r="H1317" t="s">
        <v>795</v>
      </c>
      <c r="I1317" t="s">
        <v>16</v>
      </c>
      <c r="J1317" t="s">
        <v>52</v>
      </c>
      <c r="K1317" t="s">
        <v>35</v>
      </c>
      <c r="L1317" s="6">
        <v>0</v>
      </c>
      <c r="M1317" s="6">
        <v>3000</v>
      </c>
      <c r="N1317" s="6">
        <v>3000</v>
      </c>
      <c r="O1317" s="6">
        <v>44488.13</v>
      </c>
      <c r="P1317" s="7">
        <v>0</v>
      </c>
      <c r="Q1317" s="6">
        <v>0</v>
      </c>
    </row>
    <row r="1318" spans="1:17">
      <c r="A1318">
        <v>1317</v>
      </c>
      <c r="B1318" s="5">
        <v>45783</v>
      </c>
      <c r="C1318" t="s">
        <v>791</v>
      </c>
      <c r="D1318" t="s">
        <v>792</v>
      </c>
      <c r="E1318" t="s">
        <v>793</v>
      </c>
      <c r="F1318">
        <v>9</v>
      </c>
      <c r="G1318" t="s">
        <v>201</v>
      </c>
      <c r="H1318" t="s">
        <v>100</v>
      </c>
      <c r="I1318" t="s">
        <v>16</v>
      </c>
      <c r="J1318" t="s">
        <v>52</v>
      </c>
      <c r="K1318" t="s">
        <v>35</v>
      </c>
      <c r="L1318" s="6">
        <v>0</v>
      </c>
      <c r="M1318" s="6">
        <v>1500</v>
      </c>
      <c r="N1318" s="6">
        <v>1500</v>
      </c>
      <c r="O1318" s="6">
        <v>45988.13</v>
      </c>
      <c r="P1318" s="7">
        <v>0</v>
      </c>
      <c r="Q1318" s="6">
        <v>0</v>
      </c>
    </row>
    <row r="1319" spans="1:17">
      <c r="A1319">
        <v>1318</v>
      </c>
      <c r="B1319" s="5">
        <v>45783</v>
      </c>
      <c r="C1319" t="s">
        <v>791</v>
      </c>
      <c r="D1319" t="s">
        <v>792</v>
      </c>
      <c r="E1319" t="s">
        <v>793</v>
      </c>
      <c r="F1319">
        <v>9</v>
      </c>
      <c r="G1319" t="s">
        <v>838</v>
      </c>
      <c r="H1319" t="s">
        <v>66</v>
      </c>
      <c r="I1319" t="s">
        <v>22</v>
      </c>
      <c r="J1319" t="s">
        <v>67</v>
      </c>
      <c r="K1319" t="s">
        <v>34</v>
      </c>
      <c r="L1319" s="6">
        <v>266.95999999999998</v>
      </c>
      <c r="M1319" s="6">
        <v>0</v>
      </c>
      <c r="N1319" s="6">
        <v>-266.95999999999998</v>
      </c>
      <c r="O1319" s="6">
        <v>45721.17</v>
      </c>
      <c r="P1319" s="7">
        <v>0</v>
      </c>
      <c r="Q1319" s="6">
        <v>0</v>
      </c>
    </row>
    <row r="1320" spans="1:17">
      <c r="A1320">
        <v>1319</v>
      </c>
      <c r="B1320" s="5">
        <v>45783</v>
      </c>
      <c r="C1320" t="s">
        <v>791</v>
      </c>
      <c r="D1320" t="s">
        <v>792</v>
      </c>
      <c r="E1320" t="s">
        <v>793</v>
      </c>
      <c r="F1320">
        <v>9</v>
      </c>
      <c r="G1320" t="s">
        <v>839</v>
      </c>
      <c r="H1320" t="s">
        <v>66</v>
      </c>
      <c r="I1320" t="s">
        <v>22</v>
      </c>
      <c r="J1320" t="s">
        <v>67</v>
      </c>
      <c r="K1320" t="s">
        <v>34</v>
      </c>
      <c r="L1320" s="6">
        <v>406</v>
      </c>
      <c r="M1320" s="6">
        <v>0</v>
      </c>
      <c r="N1320" s="6">
        <v>-406</v>
      </c>
      <c r="O1320" s="6">
        <v>45315.17</v>
      </c>
      <c r="P1320" s="7">
        <v>0</v>
      </c>
      <c r="Q1320" s="6">
        <v>0</v>
      </c>
    </row>
    <row r="1321" spans="1:17">
      <c r="A1321">
        <v>1320</v>
      </c>
      <c r="B1321" s="5">
        <v>45783</v>
      </c>
      <c r="C1321" t="s">
        <v>791</v>
      </c>
      <c r="D1321" t="s">
        <v>792</v>
      </c>
      <c r="E1321" t="s">
        <v>793</v>
      </c>
      <c r="F1321">
        <v>9</v>
      </c>
      <c r="G1321" t="s">
        <v>840</v>
      </c>
      <c r="H1321" t="s">
        <v>66</v>
      </c>
      <c r="I1321" t="s">
        <v>22</v>
      </c>
      <c r="J1321" t="s">
        <v>67</v>
      </c>
      <c r="K1321" t="s">
        <v>34</v>
      </c>
      <c r="L1321" s="6">
        <v>300</v>
      </c>
      <c r="M1321" s="6">
        <v>0</v>
      </c>
      <c r="N1321" s="6">
        <v>-300</v>
      </c>
      <c r="O1321" s="6">
        <v>45015.17</v>
      </c>
      <c r="P1321" s="7">
        <v>0</v>
      </c>
      <c r="Q1321" s="6">
        <v>0</v>
      </c>
    </row>
    <row r="1322" spans="1:17">
      <c r="A1322">
        <v>1321</v>
      </c>
      <c r="B1322" s="5">
        <v>45783</v>
      </c>
      <c r="C1322" t="s">
        <v>791</v>
      </c>
      <c r="D1322" t="s">
        <v>792</v>
      </c>
      <c r="E1322" t="s">
        <v>793</v>
      </c>
      <c r="F1322">
        <v>9</v>
      </c>
      <c r="G1322" t="s">
        <v>841</v>
      </c>
      <c r="H1322" t="s">
        <v>66</v>
      </c>
      <c r="I1322" t="s">
        <v>22</v>
      </c>
      <c r="J1322" t="s">
        <v>67</v>
      </c>
      <c r="K1322" t="s">
        <v>34</v>
      </c>
      <c r="L1322" s="6">
        <v>992.65</v>
      </c>
      <c r="M1322" s="6">
        <v>0</v>
      </c>
      <c r="N1322" s="6">
        <v>-992.65</v>
      </c>
      <c r="O1322" s="6">
        <v>44022.52</v>
      </c>
      <c r="P1322" s="7">
        <v>0</v>
      </c>
      <c r="Q1322" s="6">
        <v>0</v>
      </c>
    </row>
    <row r="1323" spans="1:17">
      <c r="A1323">
        <v>1322</v>
      </c>
      <c r="B1323" s="5">
        <v>45783</v>
      </c>
      <c r="C1323" t="s">
        <v>791</v>
      </c>
      <c r="D1323" t="s">
        <v>792</v>
      </c>
      <c r="E1323" t="s">
        <v>793</v>
      </c>
      <c r="F1323">
        <v>9</v>
      </c>
      <c r="G1323" t="s">
        <v>689</v>
      </c>
      <c r="H1323" t="s">
        <v>690</v>
      </c>
      <c r="I1323" t="s">
        <v>16</v>
      </c>
      <c r="J1323" t="s">
        <v>52</v>
      </c>
      <c r="K1323" t="s">
        <v>35</v>
      </c>
      <c r="L1323" s="6">
        <v>0</v>
      </c>
      <c r="M1323" s="6">
        <v>500</v>
      </c>
      <c r="N1323" s="6">
        <v>500</v>
      </c>
      <c r="O1323" s="6">
        <v>44522.52</v>
      </c>
      <c r="P1323" s="7">
        <v>0</v>
      </c>
      <c r="Q1323" s="6">
        <v>0</v>
      </c>
    </row>
    <row r="1324" spans="1:17">
      <c r="A1324">
        <v>1323</v>
      </c>
      <c r="B1324" s="5">
        <v>45783</v>
      </c>
      <c r="C1324" t="s">
        <v>791</v>
      </c>
      <c r="D1324" t="s">
        <v>792</v>
      </c>
      <c r="E1324" t="s">
        <v>793</v>
      </c>
      <c r="F1324">
        <v>9</v>
      </c>
      <c r="G1324" t="s">
        <v>784</v>
      </c>
      <c r="H1324" t="s">
        <v>785</v>
      </c>
      <c r="I1324" t="s">
        <v>16</v>
      </c>
      <c r="J1324" t="s">
        <v>52</v>
      </c>
      <c r="K1324" t="s">
        <v>35</v>
      </c>
      <c r="L1324" s="6">
        <v>0</v>
      </c>
      <c r="M1324" s="6">
        <v>150</v>
      </c>
      <c r="N1324" s="6">
        <v>150</v>
      </c>
      <c r="O1324" s="6">
        <v>44672.52</v>
      </c>
      <c r="P1324" s="7">
        <v>0</v>
      </c>
      <c r="Q1324" s="6">
        <v>0</v>
      </c>
    </row>
    <row r="1325" spans="1:17">
      <c r="A1325">
        <v>1324</v>
      </c>
      <c r="B1325" s="5">
        <v>45783</v>
      </c>
      <c r="C1325" t="s">
        <v>791</v>
      </c>
      <c r="D1325" t="s">
        <v>792</v>
      </c>
      <c r="E1325" t="s">
        <v>793</v>
      </c>
      <c r="F1325">
        <v>9</v>
      </c>
      <c r="G1325" t="s">
        <v>659</v>
      </c>
      <c r="H1325" t="s">
        <v>660</v>
      </c>
      <c r="I1325" t="s">
        <v>16</v>
      </c>
      <c r="J1325" t="s">
        <v>52</v>
      </c>
      <c r="K1325" t="s">
        <v>35</v>
      </c>
      <c r="L1325" s="6">
        <v>0</v>
      </c>
      <c r="M1325" s="6">
        <v>50</v>
      </c>
      <c r="N1325" s="6">
        <v>50</v>
      </c>
      <c r="O1325" s="6">
        <v>44722.52</v>
      </c>
      <c r="P1325" s="7">
        <v>0</v>
      </c>
      <c r="Q1325" s="6">
        <v>0</v>
      </c>
    </row>
    <row r="1326" spans="1:17">
      <c r="A1326">
        <v>1325</v>
      </c>
      <c r="B1326" s="5">
        <v>45783</v>
      </c>
      <c r="C1326" t="s">
        <v>791</v>
      </c>
      <c r="D1326" t="s">
        <v>792</v>
      </c>
      <c r="E1326" t="s">
        <v>793</v>
      </c>
      <c r="F1326">
        <v>9</v>
      </c>
      <c r="G1326" t="s">
        <v>659</v>
      </c>
      <c r="H1326" t="s">
        <v>660</v>
      </c>
      <c r="I1326" t="s">
        <v>16</v>
      </c>
      <c r="J1326" t="s">
        <v>52</v>
      </c>
      <c r="K1326" t="s">
        <v>35</v>
      </c>
      <c r="L1326" s="6">
        <v>0</v>
      </c>
      <c r="M1326" s="6">
        <v>50</v>
      </c>
      <c r="N1326" s="6">
        <v>50</v>
      </c>
      <c r="O1326" s="6">
        <v>44772.52</v>
      </c>
      <c r="P1326" s="7">
        <v>0</v>
      </c>
      <c r="Q1326" s="6">
        <v>0</v>
      </c>
    </row>
    <row r="1327" spans="1:17">
      <c r="A1327">
        <v>1326</v>
      </c>
      <c r="B1327" s="5">
        <v>45783</v>
      </c>
      <c r="C1327" t="s">
        <v>791</v>
      </c>
      <c r="D1327" t="s">
        <v>792</v>
      </c>
      <c r="E1327" t="s">
        <v>793</v>
      </c>
      <c r="F1327">
        <v>9</v>
      </c>
      <c r="G1327" t="s">
        <v>834</v>
      </c>
      <c r="H1327" t="s">
        <v>835</v>
      </c>
      <c r="I1327" t="s">
        <v>16</v>
      </c>
      <c r="J1327" t="s">
        <v>52</v>
      </c>
      <c r="K1327" t="s">
        <v>35</v>
      </c>
      <c r="L1327" s="6">
        <v>0</v>
      </c>
      <c r="M1327" s="6">
        <v>100</v>
      </c>
      <c r="N1327" s="6">
        <v>100</v>
      </c>
      <c r="O1327" s="6">
        <v>44872.52</v>
      </c>
      <c r="P1327" s="7">
        <v>0</v>
      </c>
      <c r="Q1327" s="6">
        <v>0</v>
      </c>
    </row>
    <row r="1328" spans="1:17">
      <c r="A1328">
        <v>1327</v>
      </c>
      <c r="B1328" s="5">
        <v>45783</v>
      </c>
      <c r="C1328" t="s">
        <v>791</v>
      </c>
      <c r="D1328" t="s">
        <v>792</v>
      </c>
      <c r="E1328" t="s">
        <v>793</v>
      </c>
      <c r="F1328">
        <v>9</v>
      </c>
      <c r="G1328" t="s">
        <v>836</v>
      </c>
      <c r="H1328" t="s">
        <v>837</v>
      </c>
      <c r="I1328" t="s">
        <v>16</v>
      </c>
      <c r="J1328" t="s">
        <v>52</v>
      </c>
      <c r="K1328" t="s">
        <v>35</v>
      </c>
      <c r="L1328" s="6">
        <v>0</v>
      </c>
      <c r="M1328" s="6">
        <v>1000</v>
      </c>
      <c r="N1328" s="6">
        <v>1000</v>
      </c>
      <c r="O1328" s="6">
        <v>45872.52</v>
      </c>
      <c r="P1328" s="7">
        <v>0</v>
      </c>
      <c r="Q1328" s="6">
        <v>0</v>
      </c>
    </row>
    <row r="1329" spans="1:17">
      <c r="A1329">
        <v>1328</v>
      </c>
      <c r="B1329" s="5">
        <v>45783</v>
      </c>
      <c r="C1329" t="s">
        <v>791</v>
      </c>
      <c r="D1329" t="s">
        <v>792</v>
      </c>
      <c r="E1329" t="s">
        <v>793</v>
      </c>
      <c r="F1329">
        <v>9</v>
      </c>
      <c r="G1329" t="s">
        <v>201</v>
      </c>
      <c r="H1329" t="s">
        <v>100</v>
      </c>
      <c r="I1329" t="s">
        <v>16</v>
      </c>
      <c r="J1329" t="s">
        <v>52</v>
      </c>
      <c r="K1329" t="s">
        <v>35</v>
      </c>
      <c r="L1329" s="6">
        <v>0</v>
      </c>
      <c r="M1329" s="6">
        <v>800</v>
      </c>
      <c r="N1329" s="6">
        <v>800</v>
      </c>
      <c r="O1329" s="6">
        <v>46672.52</v>
      </c>
      <c r="P1329" s="7">
        <v>0</v>
      </c>
      <c r="Q1329" s="6">
        <v>0</v>
      </c>
    </row>
    <row r="1330" spans="1:17">
      <c r="A1330">
        <v>1329</v>
      </c>
      <c r="B1330" s="5">
        <v>45783</v>
      </c>
      <c r="C1330" t="s">
        <v>791</v>
      </c>
      <c r="D1330" t="s">
        <v>792</v>
      </c>
      <c r="E1330" t="s">
        <v>793</v>
      </c>
      <c r="F1330">
        <v>9</v>
      </c>
      <c r="G1330" t="s">
        <v>415</v>
      </c>
      <c r="H1330" t="s">
        <v>416</v>
      </c>
      <c r="I1330" t="s">
        <v>16</v>
      </c>
      <c r="J1330" t="s">
        <v>52</v>
      </c>
      <c r="K1330" t="s">
        <v>35</v>
      </c>
      <c r="L1330" s="6">
        <v>0</v>
      </c>
      <c r="M1330" s="6">
        <v>250</v>
      </c>
      <c r="N1330" s="6">
        <v>250</v>
      </c>
      <c r="O1330" s="6">
        <v>46922.52</v>
      </c>
      <c r="P1330" s="7">
        <v>0</v>
      </c>
      <c r="Q1330" s="6">
        <v>0</v>
      </c>
    </row>
    <row r="1331" spans="1:17">
      <c r="A1331">
        <v>1330</v>
      </c>
      <c r="B1331" s="5">
        <v>45783</v>
      </c>
      <c r="C1331" t="s">
        <v>791</v>
      </c>
      <c r="D1331" t="s">
        <v>792</v>
      </c>
      <c r="E1331" t="s">
        <v>793</v>
      </c>
      <c r="F1331">
        <v>9</v>
      </c>
      <c r="G1331" t="s">
        <v>842</v>
      </c>
      <c r="H1331" t="s">
        <v>66</v>
      </c>
      <c r="I1331" t="s">
        <v>22</v>
      </c>
      <c r="J1331" t="s">
        <v>67</v>
      </c>
      <c r="K1331" t="s">
        <v>34</v>
      </c>
      <c r="L1331" s="6">
        <v>500</v>
      </c>
      <c r="M1331" s="6">
        <v>0</v>
      </c>
      <c r="N1331" s="6">
        <v>-500</v>
      </c>
      <c r="O1331" s="6">
        <v>46422.52</v>
      </c>
      <c r="P1331" s="7">
        <v>0</v>
      </c>
      <c r="Q1331" s="6">
        <v>0</v>
      </c>
    </row>
    <row r="1332" spans="1:17">
      <c r="A1332">
        <v>1331</v>
      </c>
      <c r="B1332" s="5">
        <v>45783</v>
      </c>
      <c r="C1332" t="s">
        <v>791</v>
      </c>
      <c r="D1332" t="s">
        <v>792</v>
      </c>
      <c r="E1332" t="s">
        <v>793</v>
      </c>
      <c r="F1332">
        <v>9</v>
      </c>
      <c r="G1332" t="s">
        <v>843</v>
      </c>
      <c r="H1332" t="s">
        <v>66</v>
      </c>
      <c r="I1332" t="s">
        <v>22</v>
      </c>
      <c r="J1332" t="s">
        <v>67</v>
      </c>
      <c r="K1332" t="s">
        <v>34</v>
      </c>
      <c r="L1332" s="6">
        <v>500</v>
      </c>
      <c r="M1332" s="6">
        <v>0</v>
      </c>
      <c r="N1332" s="6">
        <v>-500</v>
      </c>
      <c r="O1332" s="6">
        <v>45922.52</v>
      </c>
      <c r="P1332" s="7">
        <v>0</v>
      </c>
      <c r="Q1332" s="6">
        <v>0</v>
      </c>
    </row>
    <row r="1333" spans="1:17">
      <c r="A1333">
        <v>1332</v>
      </c>
      <c r="B1333" s="5">
        <v>45783</v>
      </c>
      <c r="C1333" t="s">
        <v>791</v>
      </c>
      <c r="D1333" t="s">
        <v>792</v>
      </c>
      <c r="E1333" t="s">
        <v>793</v>
      </c>
      <c r="F1333">
        <v>9</v>
      </c>
      <c r="G1333" t="s">
        <v>844</v>
      </c>
      <c r="H1333" t="s">
        <v>66</v>
      </c>
      <c r="I1333" t="s">
        <v>22</v>
      </c>
      <c r="J1333" t="s">
        <v>67</v>
      </c>
      <c r="K1333" t="s">
        <v>34</v>
      </c>
      <c r="L1333" s="6">
        <v>100</v>
      </c>
      <c r="M1333" s="6">
        <v>0</v>
      </c>
      <c r="N1333" s="6">
        <v>-100</v>
      </c>
      <c r="O1333" s="6">
        <v>45822.52</v>
      </c>
      <c r="P1333" s="7">
        <v>0</v>
      </c>
      <c r="Q1333" s="6">
        <v>0</v>
      </c>
    </row>
    <row r="1334" spans="1:17">
      <c r="A1334">
        <v>1333</v>
      </c>
      <c r="B1334" s="5">
        <v>45783</v>
      </c>
      <c r="C1334" t="s">
        <v>791</v>
      </c>
      <c r="D1334" t="s">
        <v>792</v>
      </c>
      <c r="E1334" t="s">
        <v>793</v>
      </c>
      <c r="F1334">
        <v>9</v>
      </c>
      <c r="G1334" t="s">
        <v>845</v>
      </c>
      <c r="H1334" t="s">
        <v>66</v>
      </c>
      <c r="I1334" t="s">
        <v>22</v>
      </c>
      <c r="J1334" t="s">
        <v>67</v>
      </c>
      <c r="K1334" t="s">
        <v>34</v>
      </c>
      <c r="L1334" s="6">
        <v>155</v>
      </c>
      <c r="M1334" s="6">
        <v>0</v>
      </c>
      <c r="N1334" s="6">
        <v>-155</v>
      </c>
      <c r="O1334" s="6">
        <v>45667.519999999997</v>
      </c>
      <c r="P1334" s="7">
        <v>0</v>
      </c>
      <c r="Q1334" s="6">
        <v>0</v>
      </c>
    </row>
    <row r="1335" spans="1:17">
      <c r="A1335">
        <v>1334</v>
      </c>
      <c r="B1335" s="5">
        <v>45783</v>
      </c>
      <c r="C1335" t="s">
        <v>791</v>
      </c>
      <c r="D1335" t="s">
        <v>792</v>
      </c>
      <c r="E1335" t="s">
        <v>793</v>
      </c>
      <c r="F1335">
        <v>9</v>
      </c>
      <c r="G1335" t="s">
        <v>846</v>
      </c>
      <c r="H1335" t="s">
        <v>66</v>
      </c>
      <c r="I1335" t="s">
        <v>22</v>
      </c>
      <c r="J1335" t="s">
        <v>67</v>
      </c>
      <c r="K1335" t="s">
        <v>34</v>
      </c>
      <c r="L1335" s="6">
        <v>543.35</v>
      </c>
      <c r="M1335" s="6">
        <v>0</v>
      </c>
      <c r="N1335" s="6">
        <v>-543.35</v>
      </c>
      <c r="O1335" s="6">
        <v>45124.17</v>
      </c>
      <c r="P1335" s="7">
        <v>0</v>
      </c>
      <c r="Q1335" s="6">
        <v>0</v>
      </c>
    </row>
    <row r="1336" spans="1:17">
      <c r="A1336">
        <v>1335</v>
      </c>
      <c r="B1336" s="5">
        <v>45783</v>
      </c>
      <c r="C1336" t="s">
        <v>791</v>
      </c>
      <c r="D1336" t="s">
        <v>792</v>
      </c>
      <c r="E1336" t="s">
        <v>793</v>
      </c>
      <c r="F1336">
        <v>9</v>
      </c>
      <c r="G1336" t="s">
        <v>847</v>
      </c>
      <c r="H1336" t="s">
        <v>66</v>
      </c>
      <c r="I1336" t="s">
        <v>22</v>
      </c>
      <c r="J1336" t="s">
        <v>67</v>
      </c>
      <c r="K1336" t="s">
        <v>34</v>
      </c>
      <c r="L1336" s="6">
        <v>250</v>
      </c>
      <c r="M1336" s="6">
        <v>0</v>
      </c>
      <c r="N1336" s="6">
        <v>-250</v>
      </c>
      <c r="O1336" s="6">
        <v>44874.17</v>
      </c>
      <c r="P1336" s="7">
        <v>0</v>
      </c>
      <c r="Q1336" s="6">
        <v>0</v>
      </c>
    </row>
    <row r="1337" spans="1:17">
      <c r="A1337">
        <v>1336</v>
      </c>
      <c r="B1337" s="5">
        <v>45783</v>
      </c>
      <c r="C1337" t="s">
        <v>791</v>
      </c>
      <c r="D1337" t="s">
        <v>792</v>
      </c>
      <c r="E1337" t="s">
        <v>793</v>
      </c>
      <c r="F1337">
        <v>9</v>
      </c>
      <c r="G1337" t="s">
        <v>848</v>
      </c>
      <c r="H1337" t="s">
        <v>66</v>
      </c>
      <c r="I1337" t="s">
        <v>22</v>
      </c>
      <c r="J1337" t="s">
        <v>67</v>
      </c>
      <c r="K1337" t="s">
        <v>34</v>
      </c>
      <c r="L1337" s="6">
        <v>700</v>
      </c>
      <c r="M1337" s="6">
        <v>0</v>
      </c>
      <c r="N1337" s="6">
        <v>-700</v>
      </c>
      <c r="O1337" s="6">
        <v>44174.17</v>
      </c>
      <c r="P1337" s="7">
        <v>0</v>
      </c>
      <c r="Q1337" s="6">
        <v>0</v>
      </c>
    </row>
    <row r="1338" spans="1:17">
      <c r="A1338">
        <v>1337</v>
      </c>
      <c r="B1338" s="5">
        <v>45783</v>
      </c>
      <c r="C1338" t="s">
        <v>791</v>
      </c>
      <c r="D1338" t="s">
        <v>792</v>
      </c>
      <c r="E1338" t="s">
        <v>793</v>
      </c>
      <c r="F1338">
        <v>9</v>
      </c>
      <c r="G1338" t="s">
        <v>849</v>
      </c>
      <c r="H1338" t="s">
        <v>66</v>
      </c>
      <c r="I1338" t="s">
        <v>22</v>
      </c>
      <c r="J1338" t="s">
        <v>67</v>
      </c>
      <c r="K1338" t="s">
        <v>34</v>
      </c>
      <c r="L1338" s="6">
        <v>475.13</v>
      </c>
      <c r="M1338" s="6">
        <v>0</v>
      </c>
      <c r="N1338" s="6">
        <v>-475.13</v>
      </c>
      <c r="O1338" s="6">
        <v>43699.040000000001</v>
      </c>
      <c r="P1338" s="7">
        <v>0</v>
      </c>
      <c r="Q1338" s="6">
        <v>0</v>
      </c>
    </row>
    <row r="1339" spans="1:17">
      <c r="A1339">
        <v>1338</v>
      </c>
      <c r="B1339" s="5">
        <v>45783</v>
      </c>
      <c r="C1339" t="s">
        <v>791</v>
      </c>
      <c r="D1339" t="s">
        <v>792</v>
      </c>
      <c r="E1339" t="s">
        <v>793</v>
      </c>
      <c r="F1339">
        <v>9</v>
      </c>
      <c r="G1339" t="s">
        <v>850</v>
      </c>
      <c r="H1339" t="s">
        <v>66</v>
      </c>
      <c r="I1339" t="s">
        <v>22</v>
      </c>
      <c r="J1339" t="s">
        <v>67</v>
      </c>
      <c r="K1339" t="s">
        <v>34</v>
      </c>
      <c r="L1339" s="6">
        <v>30</v>
      </c>
      <c r="M1339" s="6">
        <v>0</v>
      </c>
      <c r="N1339" s="6">
        <v>-30</v>
      </c>
      <c r="O1339" s="6">
        <v>43669.04</v>
      </c>
      <c r="P1339" s="7">
        <v>0</v>
      </c>
      <c r="Q1339" s="6">
        <v>0</v>
      </c>
    </row>
    <row r="1340" spans="1:17">
      <c r="A1340">
        <v>1339</v>
      </c>
      <c r="B1340" s="5">
        <v>45783</v>
      </c>
      <c r="C1340" t="s">
        <v>791</v>
      </c>
      <c r="D1340" t="s">
        <v>792</v>
      </c>
      <c r="E1340" t="s">
        <v>793</v>
      </c>
      <c r="F1340">
        <v>9</v>
      </c>
      <c r="G1340" t="s">
        <v>851</v>
      </c>
      <c r="H1340" t="s">
        <v>66</v>
      </c>
      <c r="I1340" t="s">
        <v>22</v>
      </c>
      <c r="J1340" t="s">
        <v>67</v>
      </c>
      <c r="K1340" t="s">
        <v>34</v>
      </c>
      <c r="L1340" s="6">
        <v>133</v>
      </c>
      <c r="M1340" s="6">
        <v>0</v>
      </c>
      <c r="N1340" s="6">
        <v>-133</v>
      </c>
      <c r="O1340" s="6">
        <v>43536.04</v>
      </c>
      <c r="P1340" s="7">
        <v>0</v>
      </c>
      <c r="Q1340" s="6">
        <v>0</v>
      </c>
    </row>
    <row r="1341" spans="1:17">
      <c r="A1341">
        <v>1340</v>
      </c>
      <c r="B1341" s="5">
        <v>45783</v>
      </c>
      <c r="C1341" t="s">
        <v>791</v>
      </c>
      <c r="D1341" t="s">
        <v>792</v>
      </c>
      <c r="E1341" t="s">
        <v>793</v>
      </c>
      <c r="F1341">
        <v>9</v>
      </c>
      <c r="G1341" t="s">
        <v>852</v>
      </c>
      <c r="H1341" t="s">
        <v>66</v>
      </c>
      <c r="I1341" t="s">
        <v>22</v>
      </c>
      <c r="J1341" t="s">
        <v>67</v>
      </c>
      <c r="K1341" t="s">
        <v>34</v>
      </c>
      <c r="L1341" s="6">
        <v>769.69</v>
      </c>
      <c r="M1341" s="6">
        <v>0</v>
      </c>
      <c r="N1341" s="6">
        <v>-769.69</v>
      </c>
      <c r="O1341" s="6">
        <v>42766.35</v>
      </c>
      <c r="P1341" s="7">
        <v>0</v>
      </c>
      <c r="Q1341" s="6">
        <v>0</v>
      </c>
    </row>
    <row r="1342" spans="1:17">
      <c r="A1342">
        <v>1341</v>
      </c>
      <c r="B1342" s="5">
        <v>45784</v>
      </c>
      <c r="C1342" t="s">
        <v>791</v>
      </c>
      <c r="D1342" t="s">
        <v>792</v>
      </c>
      <c r="E1342" t="s">
        <v>793</v>
      </c>
      <c r="F1342">
        <v>3</v>
      </c>
      <c r="G1342" t="s">
        <v>415</v>
      </c>
      <c r="H1342" t="s">
        <v>416</v>
      </c>
      <c r="I1342" t="s">
        <v>16</v>
      </c>
      <c r="J1342" t="s">
        <v>52</v>
      </c>
      <c r="K1342" t="s">
        <v>35</v>
      </c>
      <c r="L1342" s="6">
        <v>0</v>
      </c>
      <c r="M1342" s="6">
        <v>1000</v>
      </c>
      <c r="N1342" s="6">
        <v>1000</v>
      </c>
      <c r="O1342" s="6">
        <v>43766.35</v>
      </c>
      <c r="P1342" s="7">
        <v>0</v>
      </c>
      <c r="Q1342" s="6">
        <v>0</v>
      </c>
    </row>
    <row r="1343" spans="1:17">
      <c r="A1343">
        <v>1342</v>
      </c>
      <c r="B1343" s="5">
        <v>45784</v>
      </c>
      <c r="C1343" t="s">
        <v>791</v>
      </c>
      <c r="D1343" t="s">
        <v>792</v>
      </c>
      <c r="E1343" t="s">
        <v>793</v>
      </c>
      <c r="F1343">
        <v>3</v>
      </c>
      <c r="G1343" t="s">
        <v>853</v>
      </c>
      <c r="H1343" t="s">
        <v>66</v>
      </c>
      <c r="I1343" t="s">
        <v>22</v>
      </c>
      <c r="J1343" t="s">
        <v>67</v>
      </c>
      <c r="K1343" t="s">
        <v>34</v>
      </c>
      <c r="L1343" s="6">
        <v>6570</v>
      </c>
      <c r="M1343" s="6">
        <v>0</v>
      </c>
      <c r="N1343" s="6">
        <v>-6570</v>
      </c>
      <c r="O1343" s="6">
        <v>37196.35</v>
      </c>
      <c r="P1343" s="7">
        <v>0</v>
      </c>
      <c r="Q1343" s="6">
        <v>0</v>
      </c>
    </row>
    <row r="1344" spans="1:17">
      <c r="A1344">
        <v>1343</v>
      </c>
      <c r="B1344" s="5">
        <v>45784</v>
      </c>
      <c r="C1344" t="s">
        <v>791</v>
      </c>
      <c r="D1344" t="s">
        <v>792</v>
      </c>
      <c r="E1344" t="s">
        <v>793</v>
      </c>
      <c r="F1344">
        <v>3</v>
      </c>
      <c r="G1344" t="s">
        <v>212</v>
      </c>
      <c r="H1344" t="s">
        <v>213</v>
      </c>
      <c r="I1344" t="s">
        <v>16</v>
      </c>
      <c r="J1344" t="s">
        <v>52</v>
      </c>
      <c r="K1344" t="s">
        <v>35</v>
      </c>
      <c r="L1344" s="6">
        <v>0</v>
      </c>
      <c r="M1344" s="6">
        <v>500</v>
      </c>
      <c r="N1344" s="6">
        <v>500</v>
      </c>
      <c r="O1344" s="6">
        <v>37696.35</v>
      </c>
      <c r="P1344" s="7">
        <v>0</v>
      </c>
      <c r="Q1344" s="6">
        <v>0</v>
      </c>
    </row>
    <row r="1345" spans="1:17">
      <c r="A1345">
        <v>1344</v>
      </c>
      <c r="B1345" s="5">
        <v>45784</v>
      </c>
      <c r="C1345" t="s">
        <v>791</v>
      </c>
      <c r="D1345" t="s">
        <v>792</v>
      </c>
      <c r="E1345" t="s">
        <v>793</v>
      </c>
      <c r="F1345">
        <v>3</v>
      </c>
      <c r="G1345" t="s">
        <v>192</v>
      </c>
      <c r="H1345" t="s">
        <v>60</v>
      </c>
      <c r="I1345" t="s">
        <v>16</v>
      </c>
      <c r="J1345" t="s">
        <v>52</v>
      </c>
      <c r="K1345" t="s">
        <v>35</v>
      </c>
      <c r="L1345" s="6">
        <v>0</v>
      </c>
      <c r="M1345" s="6">
        <v>70</v>
      </c>
      <c r="N1345" s="6">
        <v>70</v>
      </c>
      <c r="O1345" s="6">
        <v>37766.35</v>
      </c>
      <c r="P1345" s="7">
        <v>0</v>
      </c>
      <c r="Q1345" s="6">
        <v>0</v>
      </c>
    </row>
    <row r="1346" spans="1:17">
      <c r="A1346">
        <v>1345</v>
      </c>
      <c r="B1346" s="5">
        <v>45784</v>
      </c>
      <c r="C1346" t="s">
        <v>791</v>
      </c>
      <c r="D1346" t="s">
        <v>792</v>
      </c>
      <c r="E1346" t="s">
        <v>793</v>
      </c>
      <c r="F1346">
        <v>3</v>
      </c>
      <c r="G1346" t="s">
        <v>192</v>
      </c>
      <c r="H1346" t="s">
        <v>60</v>
      </c>
      <c r="I1346" t="s">
        <v>16</v>
      </c>
      <c r="J1346" t="s">
        <v>52</v>
      </c>
      <c r="K1346" t="s">
        <v>35</v>
      </c>
      <c r="L1346" s="6">
        <v>0</v>
      </c>
      <c r="M1346" s="6">
        <v>30</v>
      </c>
      <c r="N1346" s="6">
        <v>30</v>
      </c>
      <c r="O1346" s="6">
        <v>37796.35</v>
      </c>
      <c r="P1346" s="7">
        <v>0</v>
      </c>
      <c r="Q1346" s="6">
        <v>0</v>
      </c>
    </row>
    <row r="1347" spans="1:17">
      <c r="A1347">
        <v>1346</v>
      </c>
      <c r="B1347" s="5">
        <v>45784</v>
      </c>
      <c r="C1347" t="s">
        <v>791</v>
      </c>
      <c r="D1347" t="s">
        <v>792</v>
      </c>
      <c r="E1347" t="s">
        <v>793</v>
      </c>
      <c r="F1347">
        <v>3</v>
      </c>
      <c r="G1347" t="s">
        <v>253</v>
      </c>
      <c r="H1347" t="s">
        <v>72</v>
      </c>
      <c r="I1347" t="s">
        <v>16</v>
      </c>
      <c r="J1347" t="s">
        <v>52</v>
      </c>
      <c r="K1347" t="s">
        <v>35</v>
      </c>
      <c r="L1347" s="6">
        <v>0</v>
      </c>
      <c r="M1347" s="6">
        <v>3000</v>
      </c>
      <c r="N1347" s="6">
        <v>3000</v>
      </c>
      <c r="O1347" s="6">
        <v>40796.35</v>
      </c>
      <c r="P1347" s="7">
        <v>0</v>
      </c>
      <c r="Q1347" s="6">
        <v>0</v>
      </c>
    </row>
    <row r="1348" spans="1:17">
      <c r="A1348">
        <v>1347</v>
      </c>
      <c r="B1348" s="5">
        <v>45784</v>
      </c>
      <c r="C1348" t="s">
        <v>791</v>
      </c>
      <c r="D1348" t="s">
        <v>792</v>
      </c>
      <c r="E1348" t="s">
        <v>793</v>
      </c>
      <c r="F1348">
        <v>3</v>
      </c>
      <c r="G1348" t="s">
        <v>194</v>
      </c>
      <c r="H1348" t="s">
        <v>195</v>
      </c>
      <c r="I1348" t="s">
        <v>16</v>
      </c>
      <c r="J1348" t="s">
        <v>52</v>
      </c>
      <c r="K1348" t="s">
        <v>35</v>
      </c>
      <c r="L1348" s="6">
        <v>0</v>
      </c>
      <c r="M1348" s="6">
        <v>280</v>
      </c>
      <c r="N1348" s="6">
        <v>280</v>
      </c>
      <c r="O1348" s="6">
        <v>41076.35</v>
      </c>
      <c r="P1348" s="7">
        <v>0</v>
      </c>
      <c r="Q1348" s="6">
        <v>0</v>
      </c>
    </row>
    <row r="1349" spans="1:17">
      <c r="A1349">
        <v>1348</v>
      </c>
      <c r="B1349" s="5">
        <v>45784</v>
      </c>
      <c r="C1349" t="s">
        <v>791</v>
      </c>
      <c r="D1349" t="s">
        <v>792</v>
      </c>
      <c r="E1349" t="s">
        <v>793</v>
      </c>
      <c r="F1349">
        <v>3</v>
      </c>
      <c r="G1349" t="s">
        <v>777</v>
      </c>
      <c r="H1349" t="s">
        <v>778</v>
      </c>
      <c r="I1349" t="s">
        <v>16</v>
      </c>
      <c r="J1349" t="s">
        <v>52</v>
      </c>
      <c r="K1349" t="s">
        <v>35</v>
      </c>
      <c r="L1349" s="6">
        <v>0</v>
      </c>
      <c r="M1349" s="6">
        <v>100</v>
      </c>
      <c r="N1349" s="6">
        <v>100</v>
      </c>
      <c r="O1349" s="6">
        <v>41176.35</v>
      </c>
      <c r="P1349" s="7">
        <v>0</v>
      </c>
      <c r="Q1349" s="6">
        <v>0</v>
      </c>
    </row>
    <row r="1350" spans="1:17">
      <c r="A1350">
        <v>1349</v>
      </c>
      <c r="B1350" s="5">
        <v>45784</v>
      </c>
      <c r="C1350" t="s">
        <v>791</v>
      </c>
      <c r="D1350" t="s">
        <v>792</v>
      </c>
      <c r="E1350" t="s">
        <v>793</v>
      </c>
      <c r="F1350">
        <v>3</v>
      </c>
      <c r="G1350" t="s">
        <v>194</v>
      </c>
      <c r="H1350" t="s">
        <v>195</v>
      </c>
      <c r="I1350" t="s">
        <v>16</v>
      </c>
      <c r="J1350" t="s">
        <v>52</v>
      </c>
      <c r="K1350" t="s">
        <v>35</v>
      </c>
      <c r="L1350" s="6">
        <v>0</v>
      </c>
      <c r="M1350" s="6">
        <v>160</v>
      </c>
      <c r="N1350" s="6">
        <v>160</v>
      </c>
      <c r="O1350" s="6">
        <v>41336.35</v>
      </c>
      <c r="P1350" s="7">
        <v>0</v>
      </c>
      <c r="Q1350" s="6">
        <v>0</v>
      </c>
    </row>
    <row r="1351" spans="1:17">
      <c r="A1351">
        <v>1350</v>
      </c>
      <c r="B1351" s="5">
        <v>45784</v>
      </c>
      <c r="C1351" t="s">
        <v>791</v>
      </c>
      <c r="D1351" t="s">
        <v>792</v>
      </c>
      <c r="E1351" t="s">
        <v>793</v>
      </c>
      <c r="F1351">
        <v>3</v>
      </c>
      <c r="G1351" t="s">
        <v>212</v>
      </c>
      <c r="H1351" t="s">
        <v>213</v>
      </c>
      <c r="I1351" t="s">
        <v>16</v>
      </c>
      <c r="J1351" t="s">
        <v>52</v>
      </c>
      <c r="K1351" t="s">
        <v>35</v>
      </c>
      <c r="L1351" s="6">
        <v>0</v>
      </c>
      <c r="M1351" s="6">
        <v>500</v>
      </c>
      <c r="N1351" s="6">
        <v>500</v>
      </c>
      <c r="O1351" s="6">
        <v>41836.35</v>
      </c>
      <c r="P1351" s="7">
        <v>0</v>
      </c>
      <c r="Q1351" s="6">
        <v>0</v>
      </c>
    </row>
    <row r="1352" spans="1:17">
      <c r="A1352">
        <v>1351</v>
      </c>
      <c r="B1352" s="5">
        <v>45784</v>
      </c>
      <c r="C1352" t="s">
        <v>791</v>
      </c>
      <c r="D1352" t="s">
        <v>792</v>
      </c>
      <c r="E1352" t="s">
        <v>793</v>
      </c>
      <c r="F1352">
        <v>3</v>
      </c>
      <c r="G1352" t="s">
        <v>192</v>
      </c>
      <c r="H1352" t="s">
        <v>60</v>
      </c>
      <c r="I1352" t="s">
        <v>16</v>
      </c>
      <c r="J1352" t="s">
        <v>52</v>
      </c>
      <c r="K1352" t="s">
        <v>35</v>
      </c>
      <c r="L1352" s="6">
        <v>0</v>
      </c>
      <c r="M1352" s="6">
        <v>100</v>
      </c>
      <c r="N1352" s="6">
        <v>100</v>
      </c>
      <c r="O1352" s="6">
        <v>41936.35</v>
      </c>
      <c r="P1352" s="7">
        <v>0</v>
      </c>
      <c r="Q1352" s="6">
        <v>0</v>
      </c>
    </row>
    <row r="1353" spans="1:17">
      <c r="A1353">
        <v>1352</v>
      </c>
      <c r="B1353" s="5">
        <v>45784</v>
      </c>
      <c r="C1353" t="s">
        <v>791</v>
      </c>
      <c r="D1353" t="s">
        <v>792</v>
      </c>
      <c r="E1353" t="s">
        <v>793</v>
      </c>
      <c r="F1353">
        <v>9</v>
      </c>
      <c r="G1353" t="s">
        <v>415</v>
      </c>
      <c r="H1353" t="s">
        <v>416</v>
      </c>
      <c r="I1353" t="s">
        <v>16</v>
      </c>
      <c r="J1353" t="s">
        <v>52</v>
      </c>
      <c r="K1353" t="s">
        <v>35</v>
      </c>
      <c r="L1353" s="6">
        <v>0</v>
      </c>
      <c r="M1353" s="6">
        <v>1000</v>
      </c>
      <c r="N1353" s="6">
        <v>1000</v>
      </c>
      <c r="O1353" s="6">
        <v>43766.35</v>
      </c>
      <c r="P1353" s="7">
        <v>0</v>
      </c>
      <c r="Q1353" s="6">
        <v>0</v>
      </c>
    </row>
    <row r="1354" spans="1:17">
      <c r="A1354">
        <v>1353</v>
      </c>
      <c r="B1354" s="5">
        <v>45784</v>
      </c>
      <c r="C1354" t="s">
        <v>791</v>
      </c>
      <c r="D1354" t="s">
        <v>792</v>
      </c>
      <c r="E1354" t="s">
        <v>793</v>
      </c>
      <c r="F1354">
        <v>9</v>
      </c>
      <c r="G1354" t="s">
        <v>853</v>
      </c>
      <c r="H1354" t="s">
        <v>66</v>
      </c>
      <c r="I1354" t="s">
        <v>22</v>
      </c>
      <c r="J1354" t="s">
        <v>67</v>
      </c>
      <c r="K1354" t="s">
        <v>34</v>
      </c>
      <c r="L1354" s="6">
        <v>6570</v>
      </c>
      <c r="M1354" s="6">
        <v>0</v>
      </c>
      <c r="N1354" s="6">
        <v>-6570</v>
      </c>
      <c r="O1354" s="6">
        <v>37196.35</v>
      </c>
      <c r="P1354" s="7">
        <v>0</v>
      </c>
      <c r="Q1354" s="6">
        <v>0</v>
      </c>
    </row>
    <row r="1355" spans="1:17">
      <c r="A1355">
        <v>1354</v>
      </c>
      <c r="B1355" s="5">
        <v>45784</v>
      </c>
      <c r="C1355" t="s">
        <v>791</v>
      </c>
      <c r="D1355" t="s">
        <v>792</v>
      </c>
      <c r="E1355" t="s">
        <v>793</v>
      </c>
      <c r="F1355">
        <v>9</v>
      </c>
      <c r="G1355" t="s">
        <v>212</v>
      </c>
      <c r="H1355" t="s">
        <v>213</v>
      </c>
      <c r="I1355" t="s">
        <v>16</v>
      </c>
      <c r="J1355" t="s">
        <v>52</v>
      </c>
      <c r="K1355" t="s">
        <v>35</v>
      </c>
      <c r="L1355" s="6">
        <v>0</v>
      </c>
      <c r="M1355" s="6">
        <v>500</v>
      </c>
      <c r="N1355" s="6">
        <v>500</v>
      </c>
      <c r="O1355" s="6">
        <v>37696.35</v>
      </c>
      <c r="P1355" s="7">
        <v>0</v>
      </c>
      <c r="Q1355" s="6">
        <v>0</v>
      </c>
    </row>
    <row r="1356" spans="1:17">
      <c r="A1356">
        <v>1355</v>
      </c>
      <c r="B1356" s="5">
        <v>45784</v>
      </c>
      <c r="C1356" t="s">
        <v>791</v>
      </c>
      <c r="D1356" t="s">
        <v>792</v>
      </c>
      <c r="E1356" t="s">
        <v>793</v>
      </c>
      <c r="F1356">
        <v>9</v>
      </c>
      <c r="G1356" t="s">
        <v>192</v>
      </c>
      <c r="H1356" t="s">
        <v>60</v>
      </c>
      <c r="I1356" t="s">
        <v>16</v>
      </c>
      <c r="J1356" t="s">
        <v>52</v>
      </c>
      <c r="K1356" t="s">
        <v>35</v>
      </c>
      <c r="L1356" s="6">
        <v>0</v>
      </c>
      <c r="M1356" s="6">
        <v>70</v>
      </c>
      <c r="N1356" s="6">
        <v>70</v>
      </c>
      <c r="O1356" s="6">
        <v>37766.35</v>
      </c>
      <c r="P1356" s="7">
        <v>0</v>
      </c>
      <c r="Q1356" s="6">
        <v>0</v>
      </c>
    </row>
    <row r="1357" spans="1:17">
      <c r="A1357">
        <v>1356</v>
      </c>
      <c r="B1357" s="5">
        <v>45784</v>
      </c>
      <c r="C1357" t="s">
        <v>791</v>
      </c>
      <c r="D1357" t="s">
        <v>792</v>
      </c>
      <c r="E1357" t="s">
        <v>793</v>
      </c>
      <c r="F1357">
        <v>9</v>
      </c>
      <c r="G1357" t="s">
        <v>192</v>
      </c>
      <c r="H1357" t="s">
        <v>60</v>
      </c>
      <c r="I1357" t="s">
        <v>16</v>
      </c>
      <c r="J1357" t="s">
        <v>52</v>
      </c>
      <c r="K1357" t="s">
        <v>35</v>
      </c>
      <c r="L1357" s="6">
        <v>0</v>
      </c>
      <c r="M1357" s="6">
        <v>30</v>
      </c>
      <c r="N1357" s="6">
        <v>30</v>
      </c>
      <c r="O1357" s="6">
        <v>37796.35</v>
      </c>
      <c r="P1357" s="7">
        <v>0</v>
      </c>
      <c r="Q1357" s="6">
        <v>0</v>
      </c>
    </row>
    <row r="1358" spans="1:17">
      <c r="A1358">
        <v>1357</v>
      </c>
      <c r="B1358" s="5">
        <v>45784</v>
      </c>
      <c r="C1358" t="s">
        <v>791</v>
      </c>
      <c r="D1358" t="s">
        <v>792</v>
      </c>
      <c r="E1358" t="s">
        <v>793</v>
      </c>
      <c r="F1358">
        <v>9</v>
      </c>
      <c r="G1358" t="s">
        <v>253</v>
      </c>
      <c r="H1358" t="s">
        <v>72</v>
      </c>
      <c r="I1358" t="s">
        <v>16</v>
      </c>
      <c r="J1358" t="s">
        <v>52</v>
      </c>
      <c r="K1358" t="s">
        <v>35</v>
      </c>
      <c r="L1358" s="6">
        <v>0</v>
      </c>
      <c r="M1358" s="6">
        <v>3000</v>
      </c>
      <c r="N1358" s="6">
        <v>3000</v>
      </c>
      <c r="O1358" s="6">
        <v>40796.35</v>
      </c>
      <c r="P1358" s="7">
        <v>0</v>
      </c>
      <c r="Q1358" s="6">
        <v>0</v>
      </c>
    </row>
    <row r="1359" spans="1:17">
      <c r="A1359">
        <v>1358</v>
      </c>
      <c r="B1359" s="5">
        <v>45784</v>
      </c>
      <c r="C1359" t="s">
        <v>791</v>
      </c>
      <c r="D1359" t="s">
        <v>792</v>
      </c>
      <c r="E1359" t="s">
        <v>793</v>
      </c>
      <c r="F1359">
        <v>9</v>
      </c>
      <c r="G1359" t="s">
        <v>194</v>
      </c>
      <c r="H1359" t="s">
        <v>195</v>
      </c>
      <c r="I1359" t="s">
        <v>16</v>
      </c>
      <c r="J1359" t="s">
        <v>52</v>
      </c>
      <c r="K1359" t="s">
        <v>35</v>
      </c>
      <c r="L1359" s="6">
        <v>0</v>
      </c>
      <c r="M1359" s="6">
        <v>280</v>
      </c>
      <c r="N1359" s="6">
        <v>280</v>
      </c>
      <c r="O1359" s="6">
        <v>41076.35</v>
      </c>
      <c r="P1359" s="7">
        <v>0</v>
      </c>
      <c r="Q1359" s="6">
        <v>0</v>
      </c>
    </row>
    <row r="1360" spans="1:17">
      <c r="A1360">
        <v>1359</v>
      </c>
      <c r="B1360" s="5">
        <v>45784</v>
      </c>
      <c r="C1360" t="s">
        <v>791</v>
      </c>
      <c r="D1360" t="s">
        <v>792</v>
      </c>
      <c r="E1360" t="s">
        <v>793</v>
      </c>
      <c r="F1360">
        <v>9</v>
      </c>
      <c r="G1360" t="s">
        <v>777</v>
      </c>
      <c r="H1360" t="s">
        <v>778</v>
      </c>
      <c r="I1360" t="s">
        <v>16</v>
      </c>
      <c r="J1360" t="s">
        <v>52</v>
      </c>
      <c r="K1360" t="s">
        <v>35</v>
      </c>
      <c r="L1360" s="6">
        <v>0</v>
      </c>
      <c r="M1360" s="6">
        <v>100</v>
      </c>
      <c r="N1360" s="6">
        <v>100</v>
      </c>
      <c r="O1360" s="6">
        <v>41176.35</v>
      </c>
      <c r="P1360" s="7">
        <v>0</v>
      </c>
      <c r="Q1360" s="6">
        <v>0</v>
      </c>
    </row>
    <row r="1361" spans="1:17">
      <c r="A1361">
        <v>1360</v>
      </c>
      <c r="B1361" s="5">
        <v>45784</v>
      </c>
      <c r="C1361" t="s">
        <v>791</v>
      </c>
      <c r="D1361" t="s">
        <v>792</v>
      </c>
      <c r="E1361" t="s">
        <v>793</v>
      </c>
      <c r="F1361">
        <v>9</v>
      </c>
      <c r="G1361" t="s">
        <v>194</v>
      </c>
      <c r="H1361" t="s">
        <v>195</v>
      </c>
      <c r="I1361" t="s">
        <v>16</v>
      </c>
      <c r="J1361" t="s">
        <v>52</v>
      </c>
      <c r="K1361" t="s">
        <v>35</v>
      </c>
      <c r="L1361" s="6">
        <v>0</v>
      </c>
      <c r="M1361" s="6">
        <v>160</v>
      </c>
      <c r="N1361" s="6">
        <v>160</v>
      </c>
      <c r="O1361" s="6">
        <v>41336.35</v>
      </c>
      <c r="P1361" s="7">
        <v>0</v>
      </c>
      <c r="Q1361" s="6">
        <v>0</v>
      </c>
    </row>
    <row r="1362" spans="1:17">
      <c r="A1362">
        <v>1361</v>
      </c>
      <c r="B1362" s="5">
        <v>45784</v>
      </c>
      <c r="C1362" t="s">
        <v>791</v>
      </c>
      <c r="D1362" t="s">
        <v>792</v>
      </c>
      <c r="E1362" t="s">
        <v>793</v>
      </c>
      <c r="F1362">
        <v>9</v>
      </c>
      <c r="G1362" t="s">
        <v>212</v>
      </c>
      <c r="H1362" t="s">
        <v>213</v>
      </c>
      <c r="I1362" t="s">
        <v>16</v>
      </c>
      <c r="J1362" t="s">
        <v>52</v>
      </c>
      <c r="K1362" t="s">
        <v>35</v>
      </c>
      <c r="L1362" s="6">
        <v>0</v>
      </c>
      <c r="M1362" s="6">
        <v>500</v>
      </c>
      <c r="N1362" s="6">
        <v>500</v>
      </c>
      <c r="O1362" s="6">
        <v>41836.35</v>
      </c>
      <c r="P1362" s="7">
        <v>0</v>
      </c>
      <c r="Q1362" s="6">
        <v>0</v>
      </c>
    </row>
    <row r="1363" spans="1:17">
      <c r="A1363">
        <v>1362</v>
      </c>
      <c r="B1363" s="5">
        <v>45784</v>
      </c>
      <c r="C1363" t="s">
        <v>791</v>
      </c>
      <c r="D1363" t="s">
        <v>792</v>
      </c>
      <c r="E1363" t="s">
        <v>793</v>
      </c>
      <c r="F1363">
        <v>9</v>
      </c>
      <c r="G1363" t="s">
        <v>192</v>
      </c>
      <c r="H1363" t="s">
        <v>60</v>
      </c>
      <c r="I1363" t="s">
        <v>16</v>
      </c>
      <c r="J1363" t="s">
        <v>52</v>
      </c>
      <c r="K1363" t="s">
        <v>35</v>
      </c>
      <c r="L1363" s="6">
        <v>0</v>
      </c>
      <c r="M1363" s="6">
        <v>100</v>
      </c>
      <c r="N1363" s="6">
        <v>100</v>
      </c>
      <c r="O1363" s="6">
        <v>41936.35</v>
      </c>
      <c r="P1363" s="7">
        <v>0</v>
      </c>
      <c r="Q1363" s="6">
        <v>0</v>
      </c>
    </row>
    <row r="1364" spans="1:17">
      <c r="A1364">
        <v>1363</v>
      </c>
      <c r="B1364" s="5">
        <v>45785</v>
      </c>
      <c r="C1364" t="s">
        <v>791</v>
      </c>
      <c r="D1364" t="s">
        <v>792</v>
      </c>
      <c r="E1364" t="s">
        <v>793</v>
      </c>
      <c r="F1364">
        <v>3</v>
      </c>
      <c r="G1364" t="s">
        <v>440</v>
      </c>
      <c r="H1364" t="s">
        <v>441</v>
      </c>
      <c r="I1364" t="s">
        <v>16</v>
      </c>
      <c r="J1364" t="s">
        <v>52</v>
      </c>
      <c r="K1364" t="s">
        <v>35</v>
      </c>
      <c r="L1364" s="6">
        <v>0</v>
      </c>
      <c r="M1364" s="6">
        <v>3000</v>
      </c>
      <c r="N1364" s="6">
        <v>3000</v>
      </c>
      <c r="O1364" s="6">
        <v>44936.35</v>
      </c>
      <c r="P1364" s="7">
        <v>0</v>
      </c>
      <c r="Q1364" s="6">
        <v>0</v>
      </c>
    </row>
    <row r="1365" spans="1:17">
      <c r="A1365">
        <v>1364</v>
      </c>
      <c r="B1365" s="5">
        <v>45785</v>
      </c>
      <c r="C1365" t="s">
        <v>791</v>
      </c>
      <c r="D1365" t="s">
        <v>792</v>
      </c>
      <c r="E1365" t="s">
        <v>793</v>
      </c>
      <c r="F1365">
        <v>3</v>
      </c>
      <c r="G1365" t="s">
        <v>749</v>
      </c>
      <c r="H1365" t="s">
        <v>750</v>
      </c>
      <c r="I1365" t="s">
        <v>16</v>
      </c>
      <c r="J1365" t="s">
        <v>52</v>
      </c>
      <c r="K1365" t="s">
        <v>35</v>
      </c>
      <c r="L1365" s="6">
        <v>0</v>
      </c>
      <c r="M1365" s="6">
        <v>300</v>
      </c>
      <c r="N1365" s="6">
        <v>300</v>
      </c>
      <c r="O1365" s="6">
        <v>45236.35</v>
      </c>
      <c r="P1365" s="7">
        <v>0</v>
      </c>
      <c r="Q1365" s="6">
        <v>0</v>
      </c>
    </row>
    <row r="1366" spans="1:17">
      <c r="A1366">
        <v>1365</v>
      </c>
      <c r="B1366" s="5">
        <v>45785</v>
      </c>
      <c r="C1366" t="s">
        <v>791</v>
      </c>
      <c r="D1366" t="s">
        <v>792</v>
      </c>
      <c r="E1366" t="s">
        <v>793</v>
      </c>
      <c r="F1366">
        <v>3</v>
      </c>
      <c r="G1366" t="s">
        <v>440</v>
      </c>
      <c r="H1366" t="s">
        <v>441</v>
      </c>
      <c r="I1366" t="s">
        <v>16</v>
      </c>
      <c r="J1366" t="s">
        <v>52</v>
      </c>
      <c r="K1366" t="s">
        <v>35</v>
      </c>
      <c r="L1366" s="6">
        <v>0</v>
      </c>
      <c r="M1366" s="6">
        <v>5000</v>
      </c>
      <c r="N1366" s="6">
        <v>5000</v>
      </c>
      <c r="O1366" s="6">
        <v>50236.35</v>
      </c>
      <c r="P1366" s="7">
        <v>0</v>
      </c>
      <c r="Q1366" s="6">
        <v>0</v>
      </c>
    </row>
    <row r="1367" spans="1:17">
      <c r="A1367">
        <v>1366</v>
      </c>
      <c r="B1367" s="5">
        <v>45785</v>
      </c>
      <c r="C1367" t="s">
        <v>791</v>
      </c>
      <c r="D1367" t="s">
        <v>792</v>
      </c>
      <c r="E1367" t="s">
        <v>793</v>
      </c>
      <c r="F1367">
        <v>3</v>
      </c>
      <c r="G1367" t="s">
        <v>659</v>
      </c>
      <c r="H1367" t="s">
        <v>660</v>
      </c>
      <c r="I1367" t="s">
        <v>16</v>
      </c>
      <c r="J1367" t="s">
        <v>52</v>
      </c>
      <c r="K1367" t="s">
        <v>35</v>
      </c>
      <c r="L1367" s="6">
        <v>0</v>
      </c>
      <c r="M1367" s="6">
        <v>100</v>
      </c>
      <c r="N1367" s="6">
        <v>100</v>
      </c>
      <c r="O1367" s="6">
        <v>50336.35</v>
      </c>
      <c r="P1367" s="7">
        <v>0</v>
      </c>
      <c r="Q1367" s="6">
        <v>0</v>
      </c>
    </row>
    <row r="1368" spans="1:17">
      <c r="A1368">
        <v>1367</v>
      </c>
      <c r="B1368" s="5">
        <v>45785</v>
      </c>
      <c r="C1368" t="s">
        <v>791</v>
      </c>
      <c r="D1368" t="s">
        <v>792</v>
      </c>
      <c r="E1368" t="s">
        <v>793</v>
      </c>
      <c r="F1368">
        <v>3</v>
      </c>
      <c r="G1368" t="s">
        <v>659</v>
      </c>
      <c r="H1368" t="s">
        <v>660</v>
      </c>
      <c r="I1368" t="s">
        <v>16</v>
      </c>
      <c r="J1368" t="s">
        <v>52</v>
      </c>
      <c r="K1368" t="s">
        <v>35</v>
      </c>
      <c r="L1368" s="6">
        <v>0</v>
      </c>
      <c r="M1368" s="6">
        <v>100</v>
      </c>
      <c r="N1368" s="6">
        <v>100</v>
      </c>
      <c r="O1368" s="6">
        <v>50436.35</v>
      </c>
      <c r="P1368" s="7">
        <v>0</v>
      </c>
      <c r="Q1368" s="6">
        <v>0</v>
      </c>
    </row>
    <row r="1369" spans="1:17">
      <c r="A1369">
        <v>1368</v>
      </c>
      <c r="B1369" s="5">
        <v>45785</v>
      </c>
      <c r="C1369" t="s">
        <v>791</v>
      </c>
      <c r="D1369" t="s">
        <v>792</v>
      </c>
      <c r="E1369" t="s">
        <v>793</v>
      </c>
      <c r="F1369">
        <v>3</v>
      </c>
      <c r="G1369" t="s">
        <v>689</v>
      </c>
      <c r="H1369" t="s">
        <v>690</v>
      </c>
      <c r="I1369" t="s">
        <v>16</v>
      </c>
      <c r="J1369" t="s">
        <v>52</v>
      </c>
      <c r="K1369" t="s">
        <v>35</v>
      </c>
      <c r="L1369" s="6">
        <v>0</v>
      </c>
      <c r="M1369" s="6">
        <v>250</v>
      </c>
      <c r="N1369" s="6">
        <v>250</v>
      </c>
      <c r="O1369" s="6">
        <v>50686.35</v>
      </c>
      <c r="P1369" s="7">
        <v>0</v>
      </c>
      <c r="Q1369" s="6">
        <v>0</v>
      </c>
    </row>
    <row r="1370" spans="1:17">
      <c r="A1370">
        <v>1369</v>
      </c>
      <c r="B1370" s="5">
        <v>45785</v>
      </c>
      <c r="C1370" t="s">
        <v>791</v>
      </c>
      <c r="D1370" t="s">
        <v>792</v>
      </c>
      <c r="E1370" t="s">
        <v>793</v>
      </c>
      <c r="F1370">
        <v>3</v>
      </c>
      <c r="G1370" t="s">
        <v>854</v>
      </c>
      <c r="H1370" t="s">
        <v>66</v>
      </c>
      <c r="I1370" t="s">
        <v>22</v>
      </c>
      <c r="J1370" t="s">
        <v>67</v>
      </c>
      <c r="K1370" t="s">
        <v>34</v>
      </c>
      <c r="L1370" s="6">
        <v>600</v>
      </c>
      <c r="M1370" s="6">
        <v>0</v>
      </c>
      <c r="N1370" s="6">
        <v>-600</v>
      </c>
      <c r="O1370" s="6">
        <v>50086.35</v>
      </c>
      <c r="P1370" s="7">
        <v>0</v>
      </c>
      <c r="Q1370" s="6">
        <v>0</v>
      </c>
    </row>
    <row r="1371" spans="1:17">
      <c r="A1371">
        <v>1370</v>
      </c>
      <c r="B1371" s="5">
        <v>45785</v>
      </c>
      <c r="C1371" t="s">
        <v>791</v>
      </c>
      <c r="D1371" t="s">
        <v>792</v>
      </c>
      <c r="E1371" t="s">
        <v>793</v>
      </c>
      <c r="F1371">
        <v>4</v>
      </c>
      <c r="G1371" t="s">
        <v>855</v>
      </c>
      <c r="H1371" t="s">
        <v>66</v>
      </c>
      <c r="I1371" t="s">
        <v>22</v>
      </c>
      <c r="J1371" t="s">
        <v>67</v>
      </c>
      <c r="K1371" t="s">
        <v>34</v>
      </c>
      <c r="L1371" s="6">
        <v>4600</v>
      </c>
      <c r="M1371" s="6">
        <v>0</v>
      </c>
      <c r="N1371" s="6">
        <v>-4600</v>
      </c>
      <c r="O1371" s="6">
        <v>45486.35</v>
      </c>
      <c r="P1371" s="7">
        <v>0</v>
      </c>
      <c r="Q1371" s="6">
        <v>0</v>
      </c>
    </row>
    <row r="1372" spans="1:17">
      <c r="A1372">
        <v>1371</v>
      </c>
      <c r="B1372" s="5">
        <v>45785</v>
      </c>
      <c r="C1372" t="s">
        <v>791</v>
      </c>
      <c r="D1372" t="s">
        <v>792</v>
      </c>
      <c r="E1372" t="s">
        <v>793</v>
      </c>
      <c r="F1372">
        <v>4</v>
      </c>
      <c r="G1372" t="s">
        <v>856</v>
      </c>
      <c r="H1372" t="s">
        <v>66</v>
      </c>
      <c r="I1372" t="s">
        <v>22</v>
      </c>
      <c r="J1372" t="s">
        <v>67</v>
      </c>
      <c r="K1372" t="s">
        <v>34</v>
      </c>
      <c r="L1372" s="6">
        <v>200</v>
      </c>
      <c r="M1372" s="6">
        <v>0</v>
      </c>
      <c r="N1372" s="6">
        <v>-200</v>
      </c>
      <c r="O1372" s="6">
        <v>45286.35</v>
      </c>
      <c r="P1372" s="7">
        <v>0</v>
      </c>
      <c r="Q1372" s="6">
        <v>0</v>
      </c>
    </row>
    <row r="1373" spans="1:17">
      <c r="A1373">
        <v>1372</v>
      </c>
      <c r="B1373" s="5">
        <v>45785</v>
      </c>
      <c r="C1373" t="s">
        <v>791</v>
      </c>
      <c r="D1373" t="s">
        <v>792</v>
      </c>
      <c r="E1373" t="s">
        <v>793</v>
      </c>
      <c r="F1373">
        <v>4</v>
      </c>
      <c r="G1373" t="s">
        <v>857</v>
      </c>
      <c r="H1373" t="s">
        <v>66</v>
      </c>
      <c r="I1373" t="s">
        <v>22</v>
      </c>
      <c r="J1373" t="s">
        <v>67</v>
      </c>
      <c r="K1373" t="s">
        <v>34</v>
      </c>
      <c r="L1373" s="6">
        <v>164</v>
      </c>
      <c r="M1373" s="6">
        <v>0</v>
      </c>
      <c r="N1373" s="6">
        <v>-164</v>
      </c>
      <c r="O1373" s="6">
        <v>45122.35</v>
      </c>
      <c r="P1373" s="7">
        <v>0</v>
      </c>
      <c r="Q1373" s="6">
        <v>0</v>
      </c>
    </row>
    <row r="1374" spans="1:17">
      <c r="A1374">
        <v>1373</v>
      </c>
      <c r="B1374" s="5">
        <v>45785</v>
      </c>
      <c r="C1374" t="s">
        <v>791</v>
      </c>
      <c r="D1374" t="s">
        <v>792</v>
      </c>
      <c r="E1374" t="s">
        <v>793</v>
      </c>
      <c r="F1374">
        <v>4</v>
      </c>
      <c r="G1374" t="s">
        <v>858</v>
      </c>
      <c r="H1374" t="s">
        <v>66</v>
      </c>
      <c r="I1374" t="s">
        <v>22</v>
      </c>
      <c r="J1374" t="s">
        <v>67</v>
      </c>
      <c r="K1374" t="s">
        <v>34</v>
      </c>
      <c r="L1374" s="6">
        <v>151</v>
      </c>
      <c r="M1374" s="6">
        <v>0</v>
      </c>
      <c r="N1374" s="6">
        <v>-151</v>
      </c>
      <c r="O1374" s="6">
        <v>44971.35</v>
      </c>
      <c r="P1374" s="7">
        <v>0</v>
      </c>
      <c r="Q1374" s="6">
        <v>0</v>
      </c>
    </row>
    <row r="1375" spans="1:17">
      <c r="A1375">
        <v>1374</v>
      </c>
      <c r="B1375" s="5">
        <v>45785</v>
      </c>
      <c r="C1375" t="s">
        <v>791</v>
      </c>
      <c r="D1375" t="s">
        <v>792</v>
      </c>
      <c r="E1375" t="s">
        <v>793</v>
      </c>
      <c r="F1375">
        <v>4</v>
      </c>
      <c r="G1375" t="s">
        <v>859</v>
      </c>
      <c r="H1375" t="s">
        <v>66</v>
      </c>
      <c r="I1375" t="s">
        <v>22</v>
      </c>
      <c r="J1375" t="s">
        <v>67</v>
      </c>
      <c r="K1375" t="s">
        <v>34</v>
      </c>
      <c r="L1375" s="6">
        <v>785</v>
      </c>
      <c r="M1375" s="6">
        <v>0</v>
      </c>
      <c r="N1375" s="6">
        <v>-785</v>
      </c>
      <c r="O1375" s="6">
        <v>44186.35</v>
      </c>
      <c r="P1375" s="7">
        <v>0</v>
      </c>
      <c r="Q1375" s="6">
        <v>0</v>
      </c>
    </row>
    <row r="1376" spans="1:17">
      <c r="A1376">
        <v>1375</v>
      </c>
      <c r="B1376" s="5">
        <v>45785</v>
      </c>
      <c r="C1376" t="s">
        <v>791</v>
      </c>
      <c r="D1376" t="s">
        <v>792</v>
      </c>
      <c r="E1376" t="s">
        <v>793</v>
      </c>
      <c r="F1376">
        <v>4</v>
      </c>
      <c r="G1376" t="s">
        <v>860</v>
      </c>
      <c r="H1376" t="s">
        <v>66</v>
      </c>
      <c r="I1376" t="s">
        <v>22</v>
      </c>
      <c r="J1376" t="s">
        <v>67</v>
      </c>
      <c r="K1376" t="s">
        <v>34</v>
      </c>
      <c r="L1376" s="6">
        <v>295</v>
      </c>
      <c r="M1376" s="6">
        <v>0</v>
      </c>
      <c r="N1376" s="6">
        <v>-295</v>
      </c>
      <c r="O1376" s="6">
        <v>43891.35</v>
      </c>
      <c r="P1376" s="7">
        <v>0</v>
      </c>
      <c r="Q1376" s="6">
        <v>0</v>
      </c>
    </row>
    <row r="1377" spans="1:17">
      <c r="A1377">
        <v>1376</v>
      </c>
      <c r="B1377" s="5">
        <v>45785</v>
      </c>
      <c r="C1377" t="s">
        <v>791</v>
      </c>
      <c r="D1377" t="s">
        <v>792</v>
      </c>
      <c r="E1377" t="s">
        <v>793</v>
      </c>
      <c r="F1377">
        <v>4</v>
      </c>
      <c r="G1377" t="s">
        <v>861</v>
      </c>
      <c r="H1377" t="s">
        <v>66</v>
      </c>
      <c r="I1377" t="s">
        <v>22</v>
      </c>
      <c r="J1377" t="s">
        <v>67</v>
      </c>
      <c r="K1377" t="s">
        <v>34</v>
      </c>
      <c r="L1377" s="6">
        <v>3531</v>
      </c>
      <c r="M1377" s="6">
        <v>0</v>
      </c>
      <c r="N1377" s="6">
        <v>-3531</v>
      </c>
      <c r="O1377" s="6">
        <v>40360.35</v>
      </c>
      <c r="P1377" s="7">
        <v>0</v>
      </c>
      <c r="Q1377" s="6">
        <v>0</v>
      </c>
    </row>
    <row r="1378" spans="1:17">
      <c r="A1378">
        <v>1377</v>
      </c>
      <c r="B1378" s="5">
        <v>45785</v>
      </c>
      <c r="C1378" t="s">
        <v>791</v>
      </c>
      <c r="D1378" t="s">
        <v>792</v>
      </c>
      <c r="E1378" t="s">
        <v>793</v>
      </c>
      <c r="F1378">
        <v>4</v>
      </c>
      <c r="G1378" t="s">
        <v>862</v>
      </c>
      <c r="H1378" t="s">
        <v>66</v>
      </c>
      <c r="I1378" t="s">
        <v>22</v>
      </c>
      <c r="J1378" t="s">
        <v>67</v>
      </c>
      <c r="K1378" t="s">
        <v>34</v>
      </c>
      <c r="L1378" s="6">
        <v>700</v>
      </c>
      <c r="M1378" s="6">
        <v>0</v>
      </c>
      <c r="N1378" s="6">
        <v>-700</v>
      </c>
      <c r="O1378" s="6">
        <v>39660.35</v>
      </c>
      <c r="P1378" s="7">
        <v>0</v>
      </c>
      <c r="Q1378" s="6">
        <v>0</v>
      </c>
    </row>
    <row r="1379" spans="1:17">
      <c r="A1379">
        <v>1378</v>
      </c>
      <c r="B1379" s="5">
        <v>45785</v>
      </c>
      <c r="C1379" t="s">
        <v>791</v>
      </c>
      <c r="D1379" t="s">
        <v>792</v>
      </c>
      <c r="E1379" t="s">
        <v>793</v>
      </c>
      <c r="F1379">
        <v>4</v>
      </c>
      <c r="G1379" t="s">
        <v>863</v>
      </c>
      <c r="H1379" t="s">
        <v>66</v>
      </c>
      <c r="I1379" t="s">
        <v>22</v>
      </c>
      <c r="J1379" t="s">
        <v>67</v>
      </c>
      <c r="K1379" t="s">
        <v>34</v>
      </c>
      <c r="L1379" s="6">
        <v>8800</v>
      </c>
      <c r="M1379" s="6">
        <v>0</v>
      </c>
      <c r="N1379" s="6">
        <v>-8800</v>
      </c>
      <c r="O1379" s="6">
        <v>30860.35</v>
      </c>
      <c r="P1379" s="7">
        <v>0</v>
      </c>
      <c r="Q1379" s="6">
        <v>0</v>
      </c>
    </row>
    <row r="1380" spans="1:17">
      <c r="A1380">
        <v>1379</v>
      </c>
      <c r="B1380" s="5">
        <v>45785</v>
      </c>
      <c r="C1380" t="s">
        <v>791</v>
      </c>
      <c r="D1380" t="s">
        <v>792</v>
      </c>
      <c r="E1380" t="s">
        <v>793</v>
      </c>
      <c r="F1380">
        <v>4</v>
      </c>
      <c r="G1380" t="s">
        <v>691</v>
      </c>
      <c r="H1380" t="s">
        <v>692</v>
      </c>
      <c r="I1380" t="s">
        <v>16</v>
      </c>
      <c r="J1380" t="s">
        <v>52</v>
      </c>
      <c r="K1380" t="s">
        <v>35</v>
      </c>
      <c r="L1380" s="6">
        <v>0</v>
      </c>
      <c r="M1380" s="6">
        <v>100</v>
      </c>
      <c r="N1380" s="6">
        <v>100</v>
      </c>
      <c r="O1380" s="6">
        <v>30960.35</v>
      </c>
      <c r="P1380" s="7">
        <v>0</v>
      </c>
      <c r="Q1380" s="6">
        <v>0</v>
      </c>
    </row>
    <row r="1381" spans="1:17">
      <c r="A1381">
        <v>1380</v>
      </c>
      <c r="B1381" s="5">
        <v>45785</v>
      </c>
      <c r="C1381" t="s">
        <v>791</v>
      </c>
      <c r="D1381" t="s">
        <v>792</v>
      </c>
      <c r="E1381" t="s">
        <v>793</v>
      </c>
      <c r="F1381">
        <v>4</v>
      </c>
      <c r="G1381" t="s">
        <v>440</v>
      </c>
      <c r="H1381" t="s">
        <v>441</v>
      </c>
      <c r="I1381" t="s">
        <v>16</v>
      </c>
      <c r="J1381" t="s">
        <v>52</v>
      </c>
      <c r="K1381" t="s">
        <v>35</v>
      </c>
      <c r="L1381" s="6">
        <v>0</v>
      </c>
      <c r="M1381" s="6">
        <v>2200</v>
      </c>
      <c r="N1381" s="6">
        <v>2200</v>
      </c>
      <c r="O1381" s="6">
        <v>33160.35</v>
      </c>
      <c r="P1381" s="7">
        <v>0</v>
      </c>
      <c r="Q1381" s="6">
        <v>0</v>
      </c>
    </row>
    <row r="1382" spans="1:17">
      <c r="A1382">
        <v>1381</v>
      </c>
      <c r="B1382" s="5">
        <v>45785</v>
      </c>
      <c r="C1382" t="s">
        <v>791</v>
      </c>
      <c r="D1382" t="s">
        <v>792</v>
      </c>
      <c r="E1382" t="s">
        <v>793</v>
      </c>
      <c r="F1382">
        <v>4</v>
      </c>
      <c r="G1382" t="s">
        <v>817</v>
      </c>
      <c r="H1382" t="s">
        <v>818</v>
      </c>
      <c r="I1382" t="s">
        <v>16</v>
      </c>
      <c r="J1382" t="s">
        <v>52</v>
      </c>
      <c r="K1382" t="s">
        <v>35</v>
      </c>
      <c r="L1382" s="6">
        <v>0</v>
      </c>
      <c r="M1382" s="6">
        <v>5000</v>
      </c>
      <c r="N1382" s="6">
        <v>5000</v>
      </c>
      <c r="O1382" s="6">
        <v>38160.35</v>
      </c>
      <c r="P1382" s="7">
        <v>0</v>
      </c>
      <c r="Q1382" s="6">
        <v>0</v>
      </c>
    </row>
    <row r="1383" spans="1:17">
      <c r="A1383">
        <v>1382</v>
      </c>
      <c r="B1383" s="5">
        <v>45785</v>
      </c>
      <c r="C1383" t="s">
        <v>791</v>
      </c>
      <c r="D1383" t="s">
        <v>792</v>
      </c>
      <c r="E1383" t="s">
        <v>793</v>
      </c>
      <c r="F1383">
        <v>4</v>
      </c>
      <c r="G1383" t="s">
        <v>794</v>
      </c>
      <c r="H1383" t="s">
        <v>795</v>
      </c>
      <c r="I1383" t="s">
        <v>16</v>
      </c>
      <c r="J1383" t="s">
        <v>52</v>
      </c>
      <c r="K1383" t="s">
        <v>35</v>
      </c>
      <c r="L1383" s="6">
        <v>0</v>
      </c>
      <c r="M1383" s="6">
        <v>500</v>
      </c>
      <c r="N1383" s="6">
        <v>500</v>
      </c>
      <c r="O1383" s="6">
        <v>38660.35</v>
      </c>
      <c r="P1383" s="7">
        <v>0</v>
      </c>
      <c r="Q1383" s="6">
        <v>0</v>
      </c>
    </row>
    <row r="1384" spans="1:17">
      <c r="A1384">
        <v>1383</v>
      </c>
      <c r="B1384" s="5">
        <v>45785</v>
      </c>
      <c r="C1384" t="s">
        <v>791</v>
      </c>
      <c r="D1384" t="s">
        <v>792</v>
      </c>
      <c r="E1384" t="s">
        <v>793</v>
      </c>
      <c r="F1384">
        <v>4</v>
      </c>
      <c r="G1384" t="s">
        <v>794</v>
      </c>
      <c r="H1384" t="s">
        <v>795</v>
      </c>
      <c r="I1384" t="s">
        <v>16</v>
      </c>
      <c r="J1384" t="s">
        <v>52</v>
      </c>
      <c r="K1384" t="s">
        <v>35</v>
      </c>
      <c r="L1384" s="6">
        <v>0</v>
      </c>
      <c r="M1384" s="6">
        <v>1000</v>
      </c>
      <c r="N1384" s="6">
        <v>1000</v>
      </c>
      <c r="O1384" s="6">
        <v>39660.35</v>
      </c>
      <c r="P1384" s="7">
        <v>0</v>
      </c>
      <c r="Q1384" s="6">
        <v>0</v>
      </c>
    </row>
    <row r="1385" spans="1:17">
      <c r="A1385">
        <v>1384</v>
      </c>
      <c r="B1385" s="5">
        <v>45785</v>
      </c>
      <c r="C1385" t="s">
        <v>791</v>
      </c>
      <c r="D1385" t="s">
        <v>792</v>
      </c>
      <c r="E1385" t="s">
        <v>793</v>
      </c>
      <c r="F1385">
        <v>4</v>
      </c>
      <c r="G1385" t="s">
        <v>689</v>
      </c>
      <c r="H1385" t="s">
        <v>690</v>
      </c>
      <c r="I1385" t="s">
        <v>16</v>
      </c>
      <c r="J1385" t="s">
        <v>52</v>
      </c>
      <c r="K1385" t="s">
        <v>35</v>
      </c>
      <c r="L1385" s="6">
        <v>0</v>
      </c>
      <c r="M1385" s="6">
        <v>100</v>
      </c>
      <c r="N1385" s="6">
        <v>100</v>
      </c>
      <c r="O1385" s="6">
        <v>39760.35</v>
      </c>
      <c r="P1385" s="7">
        <v>0</v>
      </c>
      <c r="Q1385" s="6">
        <v>0</v>
      </c>
    </row>
    <row r="1386" spans="1:17">
      <c r="A1386">
        <v>1385</v>
      </c>
      <c r="B1386" s="5">
        <v>45785</v>
      </c>
      <c r="C1386" t="s">
        <v>791</v>
      </c>
      <c r="D1386" t="s">
        <v>792</v>
      </c>
      <c r="E1386" t="s">
        <v>793</v>
      </c>
      <c r="F1386">
        <v>4</v>
      </c>
      <c r="G1386" t="s">
        <v>864</v>
      </c>
      <c r="H1386" t="s">
        <v>66</v>
      </c>
      <c r="I1386" t="s">
        <v>22</v>
      </c>
      <c r="J1386" t="s">
        <v>67</v>
      </c>
      <c r="K1386" t="s">
        <v>34</v>
      </c>
      <c r="L1386" s="6">
        <v>750</v>
      </c>
      <c r="M1386" s="6">
        <v>0</v>
      </c>
      <c r="N1386" s="6">
        <v>-750</v>
      </c>
      <c r="O1386" s="6">
        <v>39010.35</v>
      </c>
      <c r="P1386" s="7">
        <v>0</v>
      </c>
      <c r="Q1386" s="6">
        <v>0</v>
      </c>
    </row>
    <row r="1387" spans="1:17">
      <c r="A1387">
        <v>1386</v>
      </c>
      <c r="B1387" s="5">
        <v>45785</v>
      </c>
      <c r="C1387" t="s">
        <v>791</v>
      </c>
      <c r="D1387" t="s">
        <v>792</v>
      </c>
      <c r="E1387" t="s">
        <v>793</v>
      </c>
      <c r="F1387">
        <v>4</v>
      </c>
      <c r="G1387" t="s">
        <v>865</v>
      </c>
      <c r="H1387" t="s">
        <v>66</v>
      </c>
      <c r="I1387" t="s">
        <v>22</v>
      </c>
      <c r="J1387" t="s">
        <v>67</v>
      </c>
      <c r="K1387" t="s">
        <v>34</v>
      </c>
      <c r="L1387" s="6">
        <v>512</v>
      </c>
      <c r="M1387" s="6">
        <v>0</v>
      </c>
      <c r="N1387" s="6">
        <v>-512</v>
      </c>
      <c r="O1387" s="6">
        <v>38498.35</v>
      </c>
      <c r="P1387" s="7">
        <v>0</v>
      </c>
      <c r="Q1387" s="6">
        <v>0</v>
      </c>
    </row>
    <row r="1388" spans="1:17">
      <c r="A1388">
        <v>1387</v>
      </c>
      <c r="B1388" s="5">
        <v>45785</v>
      </c>
      <c r="C1388" t="s">
        <v>791</v>
      </c>
      <c r="D1388" t="s">
        <v>792</v>
      </c>
      <c r="E1388" t="s">
        <v>793</v>
      </c>
      <c r="F1388">
        <v>4</v>
      </c>
      <c r="G1388" t="s">
        <v>866</v>
      </c>
      <c r="H1388" t="s">
        <v>66</v>
      </c>
      <c r="I1388" t="s">
        <v>22</v>
      </c>
      <c r="J1388" t="s">
        <v>67</v>
      </c>
      <c r="K1388" t="s">
        <v>34</v>
      </c>
      <c r="L1388" s="6">
        <v>2400</v>
      </c>
      <c r="M1388" s="6">
        <v>0</v>
      </c>
      <c r="N1388" s="6">
        <v>-2400</v>
      </c>
      <c r="O1388" s="6">
        <v>36098.35</v>
      </c>
      <c r="P1388" s="7">
        <v>0</v>
      </c>
      <c r="Q1388" s="6">
        <v>0</v>
      </c>
    </row>
    <row r="1389" spans="1:17">
      <c r="A1389">
        <v>1388</v>
      </c>
      <c r="B1389" s="5">
        <v>45785</v>
      </c>
      <c r="C1389" t="s">
        <v>791</v>
      </c>
      <c r="D1389" t="s">
        <v>792</v>
      </c>
      <c r="E1389" t="s">
        <v>793</v>
      </c>
      <c r="F1389">
        <v>4</v>
      </c>
      <c r="G1389" t="s">
        <v>867</v>
      </c>
      <c r="H1389" t="s">
        <v>66</v>
      </c>
      <c r="I1389" t="s">
        <v>22</v>
      </c>
      <c r="J1389" t="s">
        <v>67</v>
      </c>
      <c r="K1389" t="s">
        <v>34</v>
      </c>
      <c r="L1389" s="6">
        <v>1212.17</v>
      </c>
      <c r="M1389" s="6">
        <v>0</v>
      </c>
      <c r="N1389" s="6">
        <v>-1212.17</v>
      </c>
      <c r="O1389" s="6">
        <v>34886.18</v>
      </c>
      <c r="P1389" s="7">
        <v>0</v>
      </c>
      <c r="Q1389" s="6">
        <v>0</v>
      </c>
    </row>
    <row r="1390" spans="1:17">
      <c r="A1390">
        <v>1389</v>
      </c>
      <c r="B1390" s="5">
        <v>45785</v>
      </c>
      <c r="C1390" t="s">
        <v>791</v>
      </c>
      <c r="D1390" t="s">
        <v>792</v>
      </c>
      <c r="E1390" t="s">
        <v>793</v>
      </c>
      <c r="F1390">
        <v>4</v>
      </c>
      <c r="G1390" t="s">
        <v>868</v>
      </c>
      <c r="H1390" t="s">
        <v>66</v>
      </c>
      <c r="I1390" t="s">
        <v>22</v>
      </c>
      <c r="J1390" t="s">
        <v>67</v>
      </c>
      <c r="K1390" t="s">
        <v>34</v>
      </c>
      <c r="L1390" s="6">
        <v>500</v>
      </c>
      <c r="M1390" s="6">
        <v>0</v>
      </c>
      <c r="N1390" s="6">
        <v>-500</v>
      </c>
      <c r="O1390" s="6">
        <v>34386.18</v>
      </c>
      <c r="P1390" s="7">
        <v>0</v>
      </c>
      <c r="Q1390" s="6">
        <v>0</v>
      </c>
    </row>
    <row r="1391" spans="1:17">
      <c r="A1391">
        <v>1390</v>
      </c>
      <c r="B1391" s="5">
        <v>45785</v>
      </c>
      <c r="C1391" t="s">
        <v>791</v>
      </c>
      <c r="D1391" t="s">
        <v>792</v>
      </c>
      <c r="E1391" t="s">
        <v>793</v>
      </c>
      <c r="F1391">
        <v>4</v>
      </c>
      <c r="G1391" t="s">
        <v>869</v>
      </c>
      <c r="H1391" t="s">
        <v>66</v>
      </c>
      <c r="I1391" t="s">
        <v>22</v>
      </c>
      <c r="J1391" t="s">
        <v>67</v>
      </c>
      <c r="K1391" t="s">
        <v>34</v>
      </c>
      <c r="L1391" s="6">
        <v>1000</v>
      </c>
      <c r="M1391" s="6">
        <v>0</v>
      </c>
      <c r="N1391" s="6">
        <v>-1000</v>
      </c>
      <c r="O1391" s="6">
        <v>33386.18</v>
      </c>
      <c r="P1391" s="7">
        <v>0</v>
      </c>
      <c r="Q1391" s="6">
        <v>0</v>
      </c>
    </row>
    <row r="1392" spans="1:17">
      <c r="A1392">
        <v>1391</v>
      </c>
      <c r="B1392" s="5">
        <v>45785</v>
      </c>
      <c r="C1392" t="s">
        <v>791</v>
      </c>
      <c r="D1392" t="s">
        <v>792</v>
      </c>
      <c r="E1392" t="s">
        <v>793</v>
      </c>
      <c r="F1392">
        <v>4</v>
      </c>
      <c r="G1392" t="s">
        <v>870</v>
      </c>
      <c r="H1392" t="s">
        <v>66</v>
      </c>
      <c r="I1392" t="s">
        <v>22</v>
      </c>
      <c r="J1392" t="s">
        <v>67</v>
      </c>
      <c r="K1392" t="s">
        <v>34</v>
      </c>
      <c r="L1392" s="6">
        <v>369.1</v>
      </c>
      <c r="M1392" s="6">
        <v>0</v>
      </c>
      <c r="N1392" s="6">
        <v>-369.1</v>
      </c>
      <c r="O1392" s="6">
        <v>33017.08</v>
      </c>
      <c r="P1392" s="7">
        <v>0</v>
      </c>
      <c r="Q1392" s="6">
        <v>0</v>
      </c>
    </row>
    <row r="1393" spans="1:17">
      <c r="A1393">
        <v>1392</v>
      </c>
      <c r="B1393" s="5">
        <v>45785</v>
      </c>
      <c r="C1393" t="s">
        <v>791</v>
      </c>
      <c r="D1393" t="s">
        <v>792</v>
      </c>
      <c r="E1393" t="s">
        <v>793</v>
      </c>
      <c r="F1393">
        <v>4</v>
      </c>
      <c r="G1393" t="s">
        <v>871</v>
      </c>
      <c r="H1393" t="s">
        <v>66</v>
      </c>
      <c r="I1393" t="s">
        <v>22</v>
      </c>
      <c r="J1393" t="s">
        <v>67</v>
      </c>
      <c r="K1393" t="s">
        <v>34</v>
      </c>
      <c r="L1393" s="6">
        <v>1491.83</v>
      </c>
      <c r="M1393" s="6">
        <v>0</v>
      </c>
      <c r="N1393" s="6">
        <v>-1491.83</v>
      </c>
      <c r="O1393" s="6">
        <v>31525.25</v>
      </c>
      <c r="P1393" s="7">
        <v>0</v>
      </c>
      <c r="Q1393" s="6">
        <v>0</v>
      </c>
    </row>
    <row r="1394" spans="1:17">
      <c r="A1394">
        <v>1393</v>
      </c>
      <c r="B1394" s="5">
        <v>45785</v>
      </c>
      <c r="C1394" t="s">
        <v>791</v>
      </c>
      <c r="D1394" t="s">
        <v>792</v>
      </c>
      <c r="E1394" t="s">
        <v>793</v>
      </c>
      <c r="F1394">
        <v>4</v>
      </c>
      <c r="G1394" t="s">
        <v>794</v>
      </c>
      <c r="H1394" t="s">
        <v>795</v>
      </c>
      <c r="I1394" t="s">
        <v>16</v>
      </c>
      <c r="J1394" t="s">
        <v>52</v>
      </c>
      <c r="K1394" t="s">
        <v>35</v>
      </c>
      <c r="L1394" s="6">
        <v>0</v>
      </c>
      <c r="M1394" s="6">
        <v>500</v>
      </c>
      <c r="N1394" s="6">
        <v>500</v>
      </c>
      <c r="O1394" s="6">
        <v>32025.25</v>
      </c>
      <c r="P1394" s="7">
        <v>0</v>
      </c>
      <c r="Q1394" s="6">
        <v>0</v>
      </c>
    </row>
    <row r="1395" spans="1:17">
      <c r="A1395">
        <v>1394</v>
      </c>
      <c r="B1395" s="5">
        <v>45785</v>
      </c>
      <c r="C1395" t="s">
        <v>791</v>
      </c>
      <c r="D1395" t="s">
        <v>792</v>
      </c>
      <c r="E1395" t="s">
        <v>793</v>
      </c>
      <c r="F1395">
        <v>4</v>
      </c>
      <c r="G1395" t="s">
        <v>212</v>
      </c>
      <c r="H1395" t="s">
        <v>213</v>
      </c>
      <c r="I1395" t="s">
        <v>16</v>
      </c>
      <c r="J1395" t="s">
        <v>52</v>
      </c>
      <c r="K1395" t="s">
        <v>35</v>
      </c>
      <c r="L1395" s="6">
        <v>0</v>
      </c>
      <c r="M1395" s="6">
        <v>500</v>
      </c>
      <c r="N1395" s="6">
        <v>500</v>
      </c>
      <c r="O1395" s="6">
        <v>32525.25</v>
      </c>
      <c r="P1395" s="7">
        <v>0</v>
      </c>
      <c r="Q1395" s="6">
        <v>0</v>
      </c>
    </row>
    <row r="1396" spans="1:17">
      <c r="A1396">
        <v>1395</v>
      </c>
      <c r="B1396" s="5">
        <v>45785</v>
      </c>
      <c r="C1396" t="s">
        <v>791</v>
      </c>
      <c r="D1396" t="s">
        <v>792</v>
      </c>
      <c r="E1396" t="s">
        <v>793</v>
      </c>
      <c r="F1396">
        <v>9</v>
      </c>
      <c r="G1396" t="s">
        <v>440</v>
      </c>
      <c r="H1396" t="s">
        <v>441</v>
      </c>
      <c r="I1396" t="s">
        <v>16</v>
      </c>
      <c r="J1396" t="s">
        <v>52</v>
      </c>
      <c r="K1396" t="s">
        <v>35</v>
      </c>
      <c r="L1396" s="6">
        <v>0</v>
      </c>
      <c r="M1396" s="6">
        <v>3000</v>
      </c>
      <c r="N1396" s="6">
        <v>3000</v>
      </c>
      <c r="O1396" s="6">
        <v>44936.35</v>
      </c>
      <c r="P1396" s="7">
        <v>0</v>
      </c>
      <c r="Q1396" s="6">
        <v>0</v>
      </c>
    </row>
    <row r="1397" spans="1:17">
      <c r="A1397">
        <v>1396</v>
      </c>
      <c r="B1397" s="5">
        <v>45785</v>
      </c>
      <c r="C1397" t="s">
        <v>791</v>
      </c>
      <c r="D1397" t="s">
        <v>792</v>
      </c>
      <c r="E1397" t="s">
        <v>793</v>
      </c>
      <c r="F1397">
        <v>9</v>
      </c>
      <c r="G1397" t="s">
        <v>749</v>
      </c>
      <c r="H1397" t="s">
        <v>750</v>
      </c>
      <c r="I1397" t="s">
        <v>16</v>
      </c>
      <c r="J1397" t="s">
        <v>52</v>
      </c>
      <c r="K1397" t="s">
        <v>35</v>
      </c>
      <c r="L1397" s="6">
        <v>0</v>
      </c>
      <c r="M1397" s="6">
        <v>300</v>
      </c>
      <c r="N1397" s="6">
        <v>300</v>
      </c>
      <c r="O1397" s="6">
        <v>45236.35</v>
      </c>
      <c r="P1397" s="7">
        <v>0</v>
      </c>
      <c r="Q1397" s="6">
        <v>0</v>
      </c>
    </row>
    <row r="1398" spans="1:17">
      <c r="A1398">
        <v>1397</v>
      </c>
      <c r="B1398" s="5">
        <v>45785</v>
      </c>
      <c r="C1398" t="s">
        <v>791</v>
      </c>
      <c r="D1398" t="s">
        <v>792</v>
      </c>
      <c r="E1398" t="s">
        <v>793</v>
      </c>
      <c r="F1398">
        <v>9</v>
      </c>
      <c r="G1398" t="s">
        <v>440</v>
      </c>
      <c r="H1398" t="s">
        <v>441</v>
      </c>
      <c r="I1398" t="s">
        <v>16</v>
      </c>
      <c r="J1398" t="s">
        <v>52</v>
      </c>
      <c r="K1398" t="s">
        <v>35</v>
      </c>
      <c r="L1398" s="6">
        <v>0</v>
      </c>
      <c r="M1398" s="6">
        <v>5000</v>
      </c>
      <c r="N1398" s="6">
        <v>5000</v>
      </c>
      <c r="O1398" s="6">
        <v>50236.35</v>
      </c>
      <c r="P1398" s="7">
        <v>0</v>
      </c>
      <c r="Q1398" s="6">
        <v>0</v>
      </c>
    </row>
    <row r="1399" spans="1:17">
      <c r="A1399">
        <v>1398</v>
      </c>
      <c r="B1399" s="5">
        <v>45785</v>
      </c>
      <c r="C1399" t="s">
        <v>791</v>
      </c>
      <c r="D1399" t="s">
        <v>792</v>
      </c>
      <c r="E1399" t="s">
        <v>793</v>
      </c>
      <c r="F1399">
        <v>9</v>
      </c>
      <c r="G1399" t="s">
        <v>659</v>
      </c>
      <c r="H1399" t="s">
        <v>660</v>
      </c>
      <c r="I1399" t="s">
        <v>16</v>
      </c>
      <c r="J1399" t="s">
        <v>52</v>
      </c>
      <c r="K1399" t="s">
        <v>35</v>
      </c>
      <c r="L1399" s="6">
        <v>0</v>
      </c>
      <c r="M1399" s="6">
        <v>100</v>
      </c>
      <c r="N1399" s="6">
        <v>100</v>
      </c>
      <c r="O1399" s="6">
        <v>50336.35</v>
      </c>
      <c r="P1399" s="7">
        <v>0</v>
      </c>
      <c r="Q1399" s="6">
        <v>0</v>
      </c>
    </row>
    <row r="1400" spans="1:17">
      <c r="A1400">
        <v>1399</v>
      </c>
      <c r="B1400" s="5">
        <v>45785</v>
      </c>
      <c r="C1400" t="s">
        <v>791</v>
      </c>
      <c r="D1400" t="s">
        <v>792</v>
      </c>
      <c r="E1400" t="s">
        <v>793</v>
      </c>
      <c r="F1400">
        <v>9</v>
      </c>
      <c r="G1400" t="s">
        <v>659</v>
      </c>
      <c r="H1400" t="s">
        <v>660</v>
      </c>
      <c r="I1400" t="s">
        <v>16</v>
      </c>
      <c r="J1400" t="s">
        <v>52</v>
      </c>
      <c r="K1400" t="s">
        <v>35</v>
      </c>
      <c r="L1400" s="6">
        <v>0</v>
      </c>
      <c r="M1400" s="6">
        <v>100</v>
      </c>
      <c r="N1400" s="6">
        <v>100</v>
      </c>
      <c r="O1400" s="6">
        <v>50436.35</v>
      </c>
      <c r="P1400" s="7">
        <v>0</v>
      </c>
      <c r="Q1400" s="6">
        <v>0</v>
      </c>
    </row>
    <row r="1401" spans="1:17">
      <c r="A1401">
        <v>1400</v>
      </c>
      <c r="B1401" s="5">
        <v>45785</v>
      </c>
      <c r="C1401" t="s">
        <v>791</v>
      </c>
      <c r="D1401" t="s">
        <v>792</v>
      </c>
      <c r="E1401" t="s">
        <v>793</v>
      </c>
      <c r="F1401">
        <v>9</v>
      </c>
      <c r="G1401" t="s">
        <v>689</v>
      </c>
      <c r="H1401" t="s">
        <v>690</v>
      </c>
      <c r="I1401" t="s">
        <v>16</v>
      </c>
      <c r="J1401" t="s">
        <v>52</v>
      </c>
      <c r="K1401" t="s">
        <v>35</v>
      </c>
      <c r="L1401" s="6">
        <v>0</v>
      </c>
      <c r="M1401" s="6">
        <v>250</v>
      </c>
      <c r="N1401" s="6">
        <v>250</v>
      </c>
      <c r="O1401" s="6">
        <v>50686.35</v>
      </c>
      <c r="P1401" s="7">
        <v>0</v>
      </c>
      <c r="Q1401" s="6">
        <v>0</v>
      </c>
    </row>
    <row r="1402" spans="1:17">
      <c r="A1402">
        <v>1401</v>
      </c>
      <c r="B1402" s="5">
        <v>45785</v>
      </c>
      <c r="C1402" t="s">
        <v>791</v>
      </c>
      <c r="D1402" t="s">
        <v>792</v>
      </c>
      <c r="E1402" t="s">
        <v>793</v>
      </c>
      <c r="F1402">
        <v>9</v>
      </c>
      <c r="G1402" t="s">
        <v>854</v>
      </c>
      <c r="H1402" t="s">
        <v>66</v>
      </c>
      <c r="I1402" t="s">
        <v>22</v>
      </c>
      <c r="J1402" t="s">
        <v>67</v>
      </c>
      <c r="K1402" t="s">
        <v>34</v>
      </c>
      <c r="L1402" s="6">
        <v>600</v>
      </c>
      <c r="M1402" s="6">
        <v>0</v>
      </c>
      <c r="N1402" s="6">
        <v>-600</v>
      </c>
      <c r="O1402" s="6">
        <v>50086.35</v>
      </c>
      <c r="P1402" s="7">
        <v>0</v>
      </c>
      <c r="Q1402" s="6">
        <v>0</v>
      </c>
    </row>
    <row r="1403" spans="1:17">
      <c r="A1403">
        <v>1402</v>
      </c>
      <c r="B1403" s="5">
        <v>45785</v>
      </c>
      <c r="C1403" t="s">
        <v>791</v>
      </c>
      <c r="D1403" t="s">
        <v>792</v>
      </c>
      <c r="E1403" t="s">
        <v>793</v>
      </c>
      <c r="F1403">
        <v>10</v>
      </c>
      <c r="G1403" t="s">
        <v>855</v>
      </c>
      <c r="H1403" t="s">
        <v>66</v>
      </c>
      <c r="I1403" t="s">
        <v>22</v>
      </c>
      <c r="J1403" t="s">
        <v>67</v>
      </c>
      <c r="K1403" t="s">
        <v>34</v>
      </c>
      <c r="L1403" s="6">
        <v>4600</v>
      </c>
      <c r="M1403" s="6">
        <v>0</v>
      </c>
      <c r="N1403" s="6">
        <v>-4600</v>
      </c>
      <c r="O1403" s="6">
        <v>45486.35</v>
      </c>
      <c r="P1403" s="7">
        <v>0</v>
      </c>
      <c r="Q1403" s="6">
        <v>0</v>
      </c>
    </row>
    <row r="1404" spans="1:17">
      <c r="A1404">
        <v>1403</v>
      </c>
      <c r="B1404" s="5">
        <v>45785</v>
      </c>
      <c r="C1404" t="s">
        <v>791</v>
      </c>
      <c r="D1404" t="s">
        <v>792</v>
      </c>
      <c r="E1404" t="s">
        <v>793</v>
      </c>
      <c r="F1404">
        <v>10</v>
      </c>
      <c r="G1404" t="s">
        <v>856</v>
      </c>
      <c r="H1404" t="s">
        <v>66</v>
      </c>
      <c r="I1404" t="s">
        <v>22</v>
      </c>
      <c r="J1404" t="s">
        <v>67</v>
      </c>
      <c r="K1404" t="s">
        <v>34</v>
      </c>
      <c r="L1404" s="6">
        <v>200</v>
      </c>
      <c r="M1404" s="6">
        <v>0</v>
      </c>
      <c r="N1404" s="6">
        <v>-200</v>
      </c>
      <c r="O1404" s="6">
        <v>45286.35</v>
      </c>
      <c r="P1404" s="7">
        <v>0</v>
      </c>
      <c r="Q1404" s="6">
        <v>0</v>
      </c>
    </row>
    <row r="1405" spans="1:17">
      <c r="A1405">
        <v>1404</v>
      </c>
      <c r="B1405" s="5">
        <v>45785</v>
      </c>
      <c r="C1405" t="s">
        <v>791</v>
      </c>
      <c r="D1405" t="s">
        <v>792</v>
      </c>
      <c r="E1405" t="s">
        <v>793</v>
      </c>
      <c r="F1405">
        <v>10</v>
      </c>
      <c r="G1405" t="s">
        <v>857</v>
      </c>
      <c r="H1405" t="s">
        <v>66</v>
      </c>
      <c r="I1405" t="s">
        <v>22</v>
      </c>
      <c r="J1405" t="s">
        <v>67</v>
      </c>
      <c r="K1405" t="s">
        <v>34</v>
      </c>
      <c r="L1405" s="6">
        <v>164</v>
      </c>
      <c r="M1405" s="6">
        <v>0</v>
      </c>
      <c r="N1405" s="6">
        <v>-164</v>
      </c>
      <c r="O1405" s="6">
        <v>45122.35</v>
      </c>
      <c r="P1405" s="7">
        <v>0</v>
      </c>
      <c r="Q1405" s="6">
        <v>0</v>
      </c>
    </row>
    <row r="1406" spans="1:17">
      <c r="A1406">
        <v>1405</v>
      </c>
      <c r="B1406" s="5">
        <v>45785</v>
      </c>
      <c r="C1406" t="s">
        <v>791</v>
      </c>
      <c r="D1406" t="s">
        <v>792</v>
      </c>
      <c r="E1406" t="s">
        <v>793</v>
      </c>
      <c r="F1406">
        <v>10</v>
      </c>
      <c r="G1406" t="s">
        <v>858</v>
      </c>
      <c r="H1406" t="s">
        <v>66</v>
      </c>
      <c r="I1406" t="s">
        <v>22</v>
      </c>
      <c r="J1406" t="s">
        <v>67</v>
      </c>
      <c r="K1406" t="s">
        <v>34</v>
      </c>
      <c r="L1406" s="6">
        <v>151</v>
      </c>
      <c r="M1406" s="6">
        <v>0</v>
      </c>
      <c r="N1406" s="6">
        <v>-151</v>
      </c>
      <c r="O1406" s="6">
        <v>44971.35</v>
      </c>
      <c r="P1406" s="7">
        <v>0</v>
      </c>
      <c r="Q1406" s="6">
        <v>0</v>
      </c>
    </row>
    <row r="1407" spans="1:17">
      <c r="A1407">
        <v>1406</v>
      </c>
      <c r="B1407" s="5">
        <v>45785</v>
      </c>
      <c r="C1407" t="s">
        <v>791</v>
      </c>
      <c r="D1407" t="s">
        <v>792</v>
      </c>
      <c r="E1407" t="s">
        <v>793</v>
      </c>
      <c r="F1407">
        <v>10</v>
      </c>
      <c r="G1407" t="s">
        <v>859</v>
      </c>
      <c r="H1407" t="s">
        <v>66</v>
      </c>
      <c r="I1407" t="s">
        <v>22</v>
      </c>
      <c r="J1407" t="s">
        <v>67</v>
      </c>
      <c r="K1407" t="s">
        <v>34</v>
      </c>
      <c r="L1407" s="6">
        <v>785</v>
      </c>
      <c r="M1407" s="6">
        <v>0</v>
      </c>
      <c r="N1407" s="6">
        <v>-785</v>
      </c>
      <c r="O1407" s="6">
        <v>44186.35</v>
      </c>
      <c r="P1407" s="7">
        <v>0</v>
      </c>
      <c r="Q1407" s="6">
        <v>0</v>
      </c>
    </row>
    <row r="1408" spans="1:17">
      <c r="A1408">
        <v>1407</v>
      </c>
      <c r="B1408" s="5">
        <v>45785</v>
      </c>
      <c r="C1408" t="s">
        <v>791</v>
      </c>
      <c r="D1408" t="s">
        <v>792</v>
      </c>
      <c r="E1408" t="s">
        <v>793</v>
      </c>
      <c r="F1408">
        <v>10</v>
      </c>
      <c r="G1408" t="s">
        <v>860</v>
      </c>
      <c r="H1408" t="s">
        <v>66</v>
      </c>
      <c r="I1408" t="s">
        <v>22</v>
      </c>
      <c r="J1408" t="s">
        <v>67</v>
      </c>
      <c r="K1408" t="s">
        <v>34</v>
      </c>
      <c r="L1408" s="6">
        <v>295</v>
      </c>
      <c r="M1408" s="6">
        <v>0</v>
      </c>
      <c r="N1408" s="6">
        <v>-295</v>
      </c>
      <c r="O1408" s="6">
        <v>43891.35</v>
      </c>
      <c r="P1408" s="7">
        <v>0</v>
      </c>
      <c r="Q1408" s="6">
        <v>0</v>
      </c>
    </row>
    <row r="1409" spans="1:17">
      <c r="A1409">
        <v>1408</v>
      </c>
      <c r="B1409" s="5">
        <v>45785</v>
      </c>
      <c r="C1409" t="s">
        <v>791</v>
      </c>
      <c r="D1409" t="s">
        <v>792</v>
      </c>
      <c r="E1409" t="s">
        <v>793</v>
      </c>
      <c r="F1409">
        <v>10</v>
      </c>
      <c r="G1409" t="s">
        <v>861</v>
      </c>
      <c r="H1409" t="s">
        <v>66</v>
      </c>
      <c r="I1409" t="s">
        <v>22</v>
      </c>
      <c r="J1409" t="s">
        <v>67</v>
      </c>
      <c r="K1409" t="s">
        <v>34</v>
      </c>
      <c r="L1409" s="6">
        <v>3531</v>
      </c>
      <c r="M1409" s="6">
        <v>0</v>
      </c>
      <c r="N1409" s="6">
        <v>-3531</v>
      </c>
      <c r="O1409" s="6">
        <v>40360.35</v>
      </c>
      <c r="P1409" s="7">
        <v>0</v>
      </c>
      <c r="Q1409" s="6">
        <v>0</v>
      </c>
    </row>
    <row r="1410" spans="1:17">
      <c r="A1410">
        <v>1409</v>
      </c>
      <c r="B1410" s="5">
        <v>45785</v>
      </c>
      <c r="C1410" t="s">
        <v>791</v>
      </c>
      <c r="D1410" t="s">
        <v>792</v>
      </c>
      <c r="E1410" t="s">
        <v>793</v>
      </c>
      <c r="F1410">
        <v>10</v>
      </c>
      <c r="G1410" t="s">
        <v>862</v>
      </c>
      <c r="H1410" t="s">
        <v>66</v>
      </c>
      <c r="I1410" t="s">
        <v>22</v>
      </c>
      <c r="J1410" t="s">
        <v>67</v>
      </c>
      <c r="K1410" t="s">
        <v>34</v>
      </c>
      <c r="L1410" s="6">
        <v>700</v>
      </c>
      <c r="M1410" s="6">
        <v>0</v>
      </c>
      <c r="N1410" s="6">
        <v>-700</v>
      </c>
      <c r="O1410" s="6">
        <v>39660.35</v>
      </c>
      <c r="P1410" s="7">
        <v>0</v>
      </c>
      <c r="Q1410" s="6">
        <v>0</v>
      </c>
    </row>
    <row r="1411" spans="1:17">
      <c r="A1411">
        <v>1410</v>
      </c>
      <c r="B1411" s="5">
        <v>45785</v>
      </c>
      <c r="C1411" t="s">
        <v>791</v>
      </c>
      <c r="D1411" t="s">
        <v>792</v>
      </c>
      <c r="E1411" t="s">
        <v>793</v>
      </c>
      <c r="F1411">
        <v>10</v>
      </c>
      <c r="G1411" t="s">
        <v>863</v>
      </c>
      <c r="H1411" t="s">
        <v>66</v>
      </c>
      <c r="I1411" t="s">
        <v>22</v>
      </c>
      <c r="J1411" t="s">
        <v>67</v>
      </c>
      <c r="K1411" t="s">
        <v>34</v>
      </c>
      <c r="L1411" s="6">
        <v>8800</v>
      </c>
      <c r="M1411" s="6">
        <v>0</v>
      </c>
      <c r="N1411" s="6">
        <v>-8800</v>
      </c>
      <c r="O1411" s="6">
        <v>30860.35</v>
      </c>
      <c r="P1411" s="7">
        <v>0</v>
      </c>
      <c r="Q1411" s="6">
        <v>0</v>
      </c>
    </row>
    <row r="1412" spans="1:17">
      <c r="A1412">
        <v>1411</v>
      </c>
      <c r="B1412" s="5">
        <v>45785</v>
      </c>
      <c r="C1412" t="s">
        <v>791</v>
      </c>
      <c r="D1412" t="s">
        <v>792</v>
      </c>
      <c r="E1412" t="s">
        <v>793</v>
      </c>
      <c r="F1412">
        <v>10</v>
      </c>
      <c r="G1412" t="s">
        <v>691</v>
      </c>
      <c r="H1412" t="s">
        <v>692</v>
      </c>
      <c r="I1412" t="s">
        <v>16</v>
      </c>
      <c r="J1412" t="s">
        <v>52</v>
      </c>
      <c r="K1412" t="s">
        <v>35</v>
      </c>
      <c r="L1412" s="6">
        <v>0</v>
      </c>
      <c r="M1412" s="6">
        <v>100</v>
      </c>
      <c r="N1412" s="6">
        <v>100</v>
      </c>
      <c r="O1412" s="6">
        <v>30960.35</v>
      </c>
      <c r="P1412" s="7">
        <v>0</v>
      </c>
      <c r="Q1412" s="6">
        <v>0</v>
      </c>
    </row>
    <row r="1413" spans="1:17">
      <c r="A1413">
        <v>1412</v>
      </c>
      <c r="B1413" s="5">
        <v>45785</v>
      </c>
      <c r="C1413" t="s">
        <v>791</v>
      </c>
      <c r="D1413" t="s">
        <v>792</v>
      </c>
      <c r="E1413" t="s">
        <v>793</v>
      </c>
      <c r="F1413">
        <v>10</v>
      </c>
      <c r="G1413" t="s">
        <v>440</v>
      </c>
      <c r="H1413" t="s">
        <v>441</v>
      </c>
      <c r="I1413" t="s">
        <v>16</v>
      </c>
      <c r="J1413" t="s">
        <v>52</v>
      </c>
      <c r="K1413" t="s">
        <v>35</v>
      </c>
      <c r="L1413" s="6">
        <v>0</v>
      </c>
      <c r="M1413" s="6">
        <v>2200</v>
      </c>
      <c r="N1413" s="6">
        <v>2200</v>
      </c>
      <c r="O1413" s="6">
        <v>33160.35</v>
      </c>
      <c r="P1413" s="7">
        <v>0</v>
      </c>
      <c r="Q1413" s="6">
        <v>0</v>
      </c>
    </row>
    <row r="1414" spans="1:17">
      <c r="A1414">
        <v>1413</v>
      </c>
      <c r="B1414" s="5">
        <v>45785</v>
      </c>
      <c r="C1414" t="s">
        <v>791</v>
      </c>
      <c r="D1414" t="s">
        <v>792</v>
      </c>
      <c r="E1414" t="s">
        <v>793</v>
      </c>
      <c r="F1414">
        <v>10</v>
      </c>
      <c r="G1414" t="s">
        <v>817</v>
      </c>
      <c r="H1414" t="s">
        <v>818</v>
      </c>
      <c r="I1414" t="s">
        <v>16</v>
      </c>
      <c r="J1414" t="s">
        <v>52</v>
      </c>
      <c r="K1414" t="s">
        <v>35</v>
      </c>
      <c r="L1414" s="6">
        <v>0</v>
      </c>
      <c r="M1414" s="6">
        <v>5000</v>
      </c>
      <c r="N1414" s="6">
        <v>5000</v>
      </c>
      <c r="O1414" s="6">
        <v>38160.35</v>
      </c>
      <c r="P1414" s="7">
        <v>0</v>
      </c>
      <c r="Q1414" s="6">
        <v>0</v>
      </c>
    </row>
    <row r="1415" spans="1:17">
      <c r="A1415">
        <v>1414</v>
      </c>
      <c r="B1415" s="5">
        <v>45785</v>
      </c>
      <c r="C1415" t="s">
        <v>791</v>
      </c>
      <c r="D1415" t="s">
        <v>792</v>
      </c>
      <c r="E1415" t="s">
        <v>793</v>
      </c>
      <c r="F1415">
        <v>10</v>
      </c>
      <c r="G1415" t="s">
        <v>794</v>
      </c>
      <c r="H1415" t="s">
        <v>795</v>
      </c>
      <c r="I1415" t="s">
        <v>16</v>
      </c>
      <c r="J1415" t="s">
        <v>52</v>
      </c>
      <c r="K1415" t="s">
        <v>35</v>
      </c>
      <c r="L1415" s="6">
        <v>0</v>
      </c>
      <c r="M1415" s="6">
        <v>500</v>
      </c>
      <c r="N1415" s="6">
        <v>500</v>
      </c>
      <c r="O1415" s="6">
        <v>38660.35</v>
      </c>
      <c r="P1415" s="7">
        <v>0</v>
      </c>
      <c r="Q1415" s="6">
        <v>0</v>
      </c>
    </row>
    <row r="1416" spans="1:17">
      <c r="A1416">
        <v>1415</v>
      </c>
      <c r="B1416" s="5">
        <v>45785</v>
      </c>
      <c r="C1416" t="s">
        <v>791</v>
      </c>
      <c r="D1416" t="s">
        <v>792</v>
      </c>
      <c r="E1416" t="s">
        <v>793</v>
      </c>
      <c r="F1416">
        <v>10</v>
      </c>
      <c r="G1416" t="s">
        <v>794</v>
      </c>
      <c r="H1416" t="s">
        <v>795</v>
      </c>
      <c r="I1416" t="s">
        <v>16</v>
      </c>
      <c r="J1416" t="s">
        <v>52</v>
      </c>
      <c r="K1416" t="s">
        <v>35</v>
      </c>
      <c r="L1416" s="6">
        <v>0</v>
      </c>
      <c r="M1416" s="6">
        <v>1000</v>
      </c>
      <c r="N1416" s="6">
        <v>1000</v>
      </c>
      <c r="O1416" s="6">
        <v>39660.35</v>
      </c>
      <c r="P1416" s="7">
        <v>0</v>
      </c>
      <c r="Q1416" s="6">
        <v>0</v>
      </c>
    </row>
    <row r="1417" spans="1:17">
      <c r="A1417">
        <v>1416</v>
      </c>
      <c r="B1417" s="5">
        <v>45785</v>
      </c>
      <c r="C1417" t="s">
        <v>791</v>
      </c>
      <c r="D1417" t="s">
        <v>792</v>
      </c>
      <c r="E1417" t="s">
        <v>793</v>
      </c>
      <c r="F1417">
        <v>10</v>
      </c>
      <c r="G1417" t="s">
        <v>689</v>
      </c>
      <c r="H1417" t="s">
        <v>690</v>
      </c>
      <c r="I1417" t="s">
        <v>16</v>
      </c>
      <c r="J1417" t="s">
        <v>52</v>
      </c>
      <c r="K1417" t="s">
        <v>35</v>
      </c>
      <c r="L1417" s="6">
        <v>0</v>
      </c>
      <c r="M1417" s="6">
        <v>100</v>
      </c>
      <c r="N1417" s="6">
        <v>100</v>
      </c>
      <c r="O1417" s="6">
        <v>39760.35</v>
      </c>
      <c r="P1417" s="7">
        <v>0</v>
      </c>
      <c r="Q1417" s="6">
        <v>0</v>
      </c>
    </row>
    <row r="1418" spans="1:17">
      <c r="A1418">
        <v>1417</v>
      </c>
      <c r="B1418" s="5">
        <v>45785</v>
      </c>
      <c r="C1418" t="s">
        <v>791</v>
      </c>
      <c r="D1418" t="s">
        <v>792</v>
      </c>
      <c r="E1418" t="s">
        <v>793</v>
      </c>
      <c r="F1418">
        <v>10</v>
      </c>
      <c r="G1418" t="s">
        <v>864</v>
      </c>
      <c r="H1418" t="s">
        <v>66</v>
      </c>
      <c r="I1418" t="s">
        <v>22</v>
      </c>
      <c r="J1418" t="s">
        <v>67</v>
      </c>
      <c r="K1418" t="s">
        <v>34</v>
      </c>
      <c r="L1418" s="6">
        <v>750</v>
      </c>
      <c r="M1418" s="6">
        <v>0</v>
      </c>
      <c r="N1418" s="6">
        <v>-750</v>
      </c>
      <c r="O1418" s="6">
        <v>39010.35</v>
      </c>
      <c r="P1418" s="7">
        <v>0</v>
      </c>
      <c r="Q1418" s="6">
        <v>0</v>
      </c>
    </row>
    <row r="1419" spans="1:17">
      <c r="A1419">
        <v>1418</v>
      </c>
      <c r="B1419" s="5">
        <v>45785</v>
      </c>
      <c r="C1419" t="s">
        <v>791</v>
      </c>
      <c r="D1419" t="s">
        <v>792</v>
      </c>
      <c r="E1419" t="s">
        <v>793</v>
      </c>
      <c r="F1419">
        <v>10</v>
      </c>
      <c r="G1419" t="s">
        <v>865</v>
      </c>
      <c r="H1419" t="s">
        <v>66</v>
      </c>
      <c r="I1419" t="s">
        <v>22</v>
      </c>
      <c r="J1419" t="s">
        <v>67</v>
      </c>
      <c r="K1419" t="s">
        <v>34</v>
      </c>
      <c r="L1419" s="6">
        <v>512</v>
      </c>
      <c r="M1419" s="6">
        <v>0</v>
      </c>
      <c r="N1419" s="6">
        <v>-512</v>
      </c>
      <c r="O1419" s="6">
        <v>38498.35</v>
      </c>
      <c r="P1419" s="7">
        <v>0</v>
      </c>
      <c r="Q1419" s="6">
        <v>0</v>
      </c>
    </row>
    <row r="1420" spans="1:17">
      <c r="A1420">
        <v>1419</v>
      </c>
      <c r="B1420" s="5">
        <v>45785</v>
      </c>
      <c r="C1420" t="s">
        <v>791</v>
      </c>
      <c r="D1420" t="s">
        <v>792</v>
      </c>
      <c r="E1420" t="s">
        <v>793</v>
      </c>
      <c r="F1420">
        <v>10</v>
      </c>
      <c r="G1420" t="s">
        <v>866</v>
      </c>
      <c r="H1420" t="s">
        <v>66</v>
      </c>
      <c r="I1420" t="s">
        <v>22</v>
      </c>
      <c r="J1420" t="s">
        <v>67</v>
      </c>
      <c r="K1420" t="s">
        <v>34</v>
      </c>
      <c r="L1420" s="6">
        <v>2400</v>
      </c>
      <c r="M1420" s="6">
        <v>0</v>
      </c>
      <c r="N1420" s="6">
        <v>-2400</v>
      </c>
      <c r="O1420" s="6">
        <v>36098.35</v>
      </c>
      <c r="P1420" s="7">
        <v>0</v>
      </c>
      <c r="Q1420" s="6">
        <v>0</v>
      </c>
    </row>
    <row r="1421" spans="1:17">
      <c r="A1421">
        <v>1420</v>
      </c>
      <c r="B1421" s="5">
        <v>45785</v>
      </c>
      <c r="C1421" t="s">
        <v>791</v>
      </c>
      <c r="D1421" t="s">
        <v>792</v>
      </c>
      <c r="E1421" t="s">
        <v>793</v>
      </c>
      <c r="F1421">
        <v>10</v>
      </c>
      <c r="G1421" t="s">
        <v>867</v>
      </c>
      <c r="H1421" t="s">
        <v>66</v>
      </c>
      <c r="I1421" t="s">
        <v>22</v>
      </c>
      <c r="J1421" t="s">
        <v>67</v>
      </c>
      <c r="K1421" t="s">
        <v>34</v>
      </c>
      <c r="L1421" s="6">
        <v>1212.17</v>
      </c>
      <c r="M1421" s="6">
        <v>0</v>
      </c>
      <c r="N1421" s="6">
        <v>-1212.17</v>
      </c>
      <c r="O1421" s="6">
        <v>34886.18</v>
      </c>
      <c r="P1421" s="7">
        <v>0</v>
      </c>
      <c r="Q1421" s="6">
        <v>0</v>
      </c>
    </row>
    <row r="1422" spans="1:17">
      <c r="A1422">
        <v>1421</v>
      </c>
      <c r="B1422" s="5">
        <v>45785</v>
      </c>
      <c r="C1422" t="s">
        <v>791</v>
      </c>
      <c r="D1422" t="s">
        <v>792</v>
      </c>
      <c r="E1422" t="s">
        <v>793</v>
      </c>
      <c r="F1422">
        <v>10</v>
      </c>
      <c r="G1422" t="s">
        <v>868</v>
      </c>
      <c r="H1422" t="s">
        <v>66</v>
      </c>
      <c r="I1422" t="s">
        <v>22</v>
      </c>
      <c r="J1422" t="s">
        <v>67</v>
      </c>
      <c r="K1422" t="s">
        <v>34</v>
      </c>
      <c r="L1422" s="6">
        <v>500</v>
      </c>
      <c r="M1422" s="6">
        <v>0</v>
      </c>
      <c r="N1422" s="6">
        <v>-500</v>
      </c>
      <c r="O1422" s="6">
        <v>34386.18</v>
      </c>
      <c r="P1422" s="7">
        <v>0</v>
      </c>
      <c r="Q1422" s="6">
        <v>0</v>
      </c>
    </row>
    <row r="1423" spans="1:17">
      <c r="A1423">
        <v>1422</v>
      </c>
      <c r="B1423" s="5">
        <v>45785</v>
      </c>
      <c r="C1423" t="s">
        <v>791</v>
      </c>
      <c r="D1423" t="s">
        <v>792</v>
      </c>
      <c r="E1423" t="s">
        <v>793</v>
      </c>
      <c r="F1423">
        <v>10</v>
      </c>
      <c r="G1423" t="s">
        <v>869</v>
      </c>
      <c r="H1423" t="s">
        <v>66</v>
      </c>
      <c r="I1423" t="s">
        <v>22</v>
      </c>
      <c r="J1423" t="s">
        <v>67</v>
      </c>
      <c r="K1423" t="s">
        <v>34</v>
      </c>
      <c r="L1423" s="6">
        <v>1000</v>
      </c>
      <c r="M1423" s="6">
        <v>0</v>
      </c>
      <c r="N1423" s="6">
        <v>-1000</v>
      </c>
      <c r="O1423" s="6">
        <v>33386.18</v>
      </c>
      <c r="P1423" s="7">
        <v>0</v>
      </c>
      <c r="Q1423" s="6">
        <v>0</v>
      </c>
    </row>
    <row r="1424" spans="1:17">
      <c r="A1424">
        <v>1423</v>
      </c>
      <c r="B1424" s="5">
        <v>45785</v>
      </c>
      <c r="C1424" t="s">
        <v>791</v>
      </c>
      <c r="D1424" t="s">
        <v>792</v>
      </c>
      <c r="E1424" t="s">
        <v>793</v>
      </c>
      <c r="F1424">
        <v>10</v>
      </c>
      <c r="G1424" t="s">
        <v>870</v>
      </c>
      <c r="H1424" t="s">
        <v>66</v>
      </c>
      <c r="I1424" t="s">
        <v>22</v>
      </c>
      <c r="J1424" t="s">
        <v>67</v>
      </c>
      <c r="K1424" t="s">
        <v>34</v>
      </c>
      <c r="L1424" s="6">
        <v>369.1</v>
      </c>
      <c r="M1424" s="6">
        <v>0</v>
      </c>
      <c r="N1424" s="6">
        <v>-369.1</v>
      </c>
      <c r="O1424" s="6">
        <v>33017.08</v>
      </c>
      <c r="P1424" s="7">
        <v>0</v>
      </c>
      <c r="Q1424" s="6">
        <v>0</v>
      </c>
    </row>
    <row r="1425" spans="1:17">
      <c r="A1425">
        <v>1424</v>
      </c>
      <c r="B1425" s="5">
        <v>45785</v>
      </c>
      <c r="C1425" t="s">
        <v>791</v>
      </c>
      <c r="D1425" t="s">
        <v>792</v>
      </c>
      <c r="E1425" t="s">
        <v>793</v>
      </c>
      <c r="F1425">
        <v>10</v>
      </c>
      <c r="G1425" t="s">
        <v>871</v>
      </c>
      <c r="H1425" t="s">
        <v>66</v>
      </c>
      <c r="I1425" t="s">
        <v>22</v>
      </c>
      <c r="J1425" t="s">
        <v>67</v>
      </c>
      <c r="K1425" t="s">
        <v>34</v>
      </c>
      <c r="L1425" s="6">
        <v>1491.83</v>
      </c>
      <c r="M1425" s="6">
        <v>0</v>
      </c>
      <c r="N1425" s="6">
        <v>-1491.83</v>
      </c>
      <c r="O1425" s="6">
        <v>31525.25</v>
      </c>
      <c r="P1425" s="7">
        <v>0</v>
      </c>
      <c r="Q1425" s="6">
        <v>0</v>
      </c>
    </row>
    <row r="1426" spans="1:17">
      <c r="A1426">
        <v>1425</v>
      </c>
      <c r="B1426" s="5">
        <v>45785</v>
      </c>
      <c r="C1426" t="s">
        <v>791</v>
      </c>
      <c r="D1426" t="s">
        <v>792</v>
      </c>
      <c r="E1426" t="s">
        <v>793</v>
      </c>
      <c r="F1426">
        <v>10</v>
      </c>
      <c r="G1426" t="s">
        <v>794</v>
      </c>
      <c r="H1426" t="s">
        <v>795</v>
      </c>
      <c r="I1426" t="s">
        <v>16</v>
      </c>
      <c r="J1426" t="s">
        <v>52</v>
      </c>
      <c r="K1426" t="s">
        <v>35</v>
      </c>
      <c r="L1426" s="6">
        <v>0</v>
      </c>
      <c r="M1426" s="6">
        <v>500</v>
      </c>
      <c r="N1426" s="6">
        <v>500</v>
      </c>
      <c r="O1426" s="6">
        <v>32025.25</v>
      </c>
      <c r="P1426" s="7">
        <v>0</v>
      </c>
      <c r="Q1426" s="6">
        <v>0</v>
      </c>
    </row>
    <row r="1427" spans="1:17">
      <c r="A1427">
        <v>1426</v>
      </c>
      <c r="B1427" s="5">
        <v>45785</v>
      </c>
      <c r="C1427" t="s">
        <v>791</v>
      </c>
      <c r="D1427" t="s">
        <v>792</v>
      </c>
      <c r="E1427" t="s">
        <v>793</v>
      </c>
      <c r="F1427">
        <v>10</v>
      </c>
      <c r="G1427" t="s">
        <v>212</v>
      </c>
      <c r="H1427" t="s">
        <v>213</v>
      </c>
      <c r="I1427" t="s">
        <v>16</v>
      </c>
      <c r="J1427" t="s">
        <v>52</v>
      </c>
      <c r="K1427" t="s">
        <v>35</v>
      </c>
      <c r="L1427" s="6">
        <v>0</v>
      </c>
      <c r="M1427" s="6">
        <v>500</v>
      </c>
      <c r="N1427" s="6">
        <v>500</v>
      </c>
      <c r="O1427" s="6">
        <v>32525.25</v>
      </c>
      <c r="P1427" s="7">
        <v>0</v>
      </c>
      <c r="Q1427" s="6">
        <v>0</v>
      </c>
    </row>
    <row r="1428" spans="1:17">
      <c r="A1428">
        <v>1427</v>
      </c>
      <c r="B1428" s="5">
        <v>45786</v>
      </c>
      <c r="C1428" t="s">
        <v>791</v>
      </c>
      <c r="D1428" t="s">
        <v>792</v>
      </c>
      <c r="E1428" t="s">
        <v>793</v>
      </c>
      <c r="F1428">
        <v>4</v>
      </c>
      <c r="G1428" t="s">
        <v>834</v>
      </c>
      <c r="H1428" t="s">
        <v>835</v>
      </c>
      <c r="I1428" t="s">
        <v>16</v>
      </c>
      <c r="J1428" t="s">
        <v>52</v>
      </c>
      <c r="K1428" t="s">
        <v>35</v>
      </c>
      <c r="L1428" s="6">
        <v>0</v>
      </c>
      <c r="M1428" s="6">
        <v>100</v>
      </c>
      <c r="N1428" s="6">
        <v>100</v>
      </c>
      <c r="O1428" s="6">
        <v>32625.25</v>
      </c>
      <c r="P1428" s="7">
        <v>0</v>
      </c>
      <c r="Q1428" s="6">
        <v>0</v>
      </c>
    </row>
    <row r="1429" spans="1:17">
      <c r="A1429">
        <v>1428</v>
      </c>
      <c r="B1429" s="5">
        <v>45786</v>
      </c>
      <c r="C1429" t="s">
        <v>791</v>
      </c>
      <c r="D1429" t="s">
        <v>792</v>
      </c>
      <c r="E1429" t="s">
        <v>793</v>
      </c>
      <c r="F1429">
        <v>4</v>
      </c>
      <c r="G1429" t="s">
        <v>278</v>
      </c>
      <c r="H1429" t="s">
        <v>89</v>
      </c>
      <c r="I1429" t="s">
        <v>16</v>
      </c>
      <c r="J1429" t="s">
        <v>52</v>
      </c>
      <c r="K1429" t="s">
        <v>35</v>
      </c>
      <c r="L1429" s="6">
        <v>0</v>
      </c>
      <c r="M1429" s="6">
        <v>120</v>
      </c>
      <c r="N1429" s="6">
        <v>120</v>
      </c>
      <c r="O1429" s="6">
        <v>32745.25</v>
      </c>
      <c r="P1429" s="7">
        <v>0</v>
      </c>
      <c r="Q1429" s="6">
        <v>0</v>
      </c>
    </row>
    <row r="1430" spans="1:17">
      <c r="A1430">
        <v>1429</v>
      </c>
      <c r="B1430" s="5">
        <v>45786</v>
      </c>
      <c r="C1430" t="s">
        <v>791</v>
      </c>
      <c r="D1430" t="s">
        <v>792</v>
      </c>
      <c r="E1430" t="s">
        <v>793</v>
      </c>
      <c r="F1430">
        <v>4</v>
      </c>
      <c r="G1430" t="s">
        <v>872</v>
      </c>
      <c r="H1430" t="s">
        <v>668</v>
      </c>
      <c r="I1430" t="s">
        <v>18</v>
      </c>
      <c r="J1430" t="s">
        <v>345</v>
      </c>
      <c r="K1430" t="s">
        <v>34</v>
      </c>
      <c r="L1430" s="6">
        <v>703.48</v>
      </c>
      <c r="M1430" s="6">
        <v>0</v>
      </c>
      <c r="N1430" s="6">
        <v>-703.48</v>
      </c>
      <c r="O1430" s="6">
        <v>32041.77</v>
      </c>
      <c r="P1430" s="7">
        <v>0</v>
      </c>
      <c r="Q1430" s="6">
        <v>0</v>
      </c>
    </row>
    <row r="1431" spans="1:17">
      <c r="A1431">
        <v>1430</v>
      </c>
      <c r="B1431" s="5">
        <v>45786</v>
      </c>
      <c r="C1431" t="s">
        <v>791</v>
      </c>
      <c r="D1431" t="s">
        <v>792</v>
      </c>
      <c r="E1431" t="s">
        <v>793</v>
      </c>
      <c r="F1431">
        <v>4</v>
      </c>
      <c r="G1431" t="s">
        <v>346</v>
      </c>
      <c r="I1431" t="s">
        <v>14</v>
      </c>
      <c r="J1431" t="s">
        <v>46</v>
      </c>
      <c r="K1431" t="s">
        <v>34</v>
      </c>
      <c r="L1431" s="6">
        <v>30</v>
      </c>
      <c r="M1431" s="6">
        <v>0</v>
      </c>
      <c r="N1431" s="6">
        <v>-30</v>
      </c>
      <c r="O1431" s="6">
        <v>32011.77</v>
      </c>
      <c r="P1431" s="7">
        <v>0.15</v>
      </c>
      <c r="Q1431" s="6">
        <v>3.91</v>
      </c>
    </row>
    <row r="1432" spans="1:17">
      <c r="A1432">
        <v>1431</v>
      </c>
      <c r="B1432" s="5">
        <v>45786</v>
      </c>
      <c r="C1432" t="s">
        <v>791</v>
      </c>
      <c r="D1432" t="s">
        <v>792</v>
      </c>
      <c r="E1432" t="s">
        <v>793</v>
      </c>
      <c r="F1432">
        <v>4</v>
      </c>
      <c r="G1432" t="s">
        <v>873</v>
      </c>
      <c r="H1432" t="s">
        <v>668</v>
      </c>
      <c r="I1432" t="s">
        <v>18</v>
      </c>
      <c r="J1432" t="s">
        <v>345</v>
      </c>
      <c r="K1432" t="s">
        <v>34</v>
      </c>
      <c r="L1432" s="6">
        <v>151.56</v>
      </c>
      <c r="M1432" s="6">
        <v>0</v>
      </c>
      <c r="N1432" s="6">
        <v>-151.56</v>
      </c>
      <c r="O1432" s="6">
        <v>31860.21</v>
      </c>
      <c r="P1432" s="7">
        <v>0</v>
      </c>
      <c r="Q1432" s="6">
        <v>0</v>
      </c>
    </row>
    <row r="1433" spans="1:17">
      <c r="A1433">
        <v>1432</v>
      </c>
      <c r="B1433" s="5">
        <v>45786</v>
      </c>
      <c r="C1433" t="s">
        <v>791</v>
      </c>
      <c r="D1433" t="s">
        <v>792</v>
      </c>
      <c r="E1433" t="s">
        <v>793</v>
      </c>
      <c r="F1433">
        <v>4</v>
      </c>
      <c r="G1433" t="s">
        <v>346</v>
      </c>
      <c r="I1433" t="s">
        <v>14</v>
      </c>
      <c r="J1433" t="s">
        <v>46</v>
      </c>
      <c r="K1433" t="s">
        <v>34</v>
      </c>
      <c r="L1433" s="6">
        <v>20</v>
      </c>
      <c r="M1433" s="6">
        <v>0</v>
      </c>
      <c r="N1433" s="6">
        <v>-20</v>
      </c>
      <c r="O1433" s="6">
        <v>31840.21</v>
      </c>
      <c r="P1433" s="7">
        <v>0.15</v>
      </c>
      <c r="Q1433" s="6">
        <v>2.61</v>
      </c>
    </row>
    <row r="1434" spans="1:17">
      <c r="A1434">
        <v>1433</v>
      </c>
      <c r="B1434" s="5">
        <v>45786</v>
      </c>
      <c r="C1434" t="s">
        <v>791</v>
      </c>
      <c r="D1434" t="s">
        <v>792</v>
      </c>
      <c r="E1434" t="s">
        <v>793</v>
      </c>
      <c r="F1434">
        <v>4</v>
      </c>
      <c r="G1434" t="s">
        <v>874</v>
      </c>
      <c r="H1434" t="s">
        <v>66</v>
      </c>
      <c r="I1434" t="s">
        <v>22</v>
      </c>
      <c r="J1434" t="s">
        <v>67</v>
      </c>
      <c r="K1434" t="s">
        <v>34</v>
      </c>
      <c r="L1434" s="6">
        <v>734.93</v>
      </c>
      <c r="M1434" s="6">
        <v>0</v>
      </c>
      <c r="N1434" s="6">
        <v>-734.93</v>
      </c>
      <c r="O1434" s="6">
        <v>31105.279999999999</v>
      </c>
      <c r="P1434" s="7">
        <v>0</v>
      </c>
      <c r="Q1434" s="6">
        <v>0</v>
      </c>
    </row>
    <row r="1435" spans="1:17">
      <c r="A1435">
        <v>1434</v>
      </c>
      <c r="B1435" s="5">
        <v>45786</v>
      </c>
      <c r="C1435" t="s">
        <v>791</v>
      </c>
      <c r="D1435" t="s">
        <v>792</v>
      </c>
      <c r="E1435" t="s">
        <v>793</v>
      </c>
      <c r="F1435">
        <v>4</v>
      </c>
      <c r="G1435" t="s">
        <v>875</v>
      </c>
      <c r="H1435" t="s">
        <v>66</v>
      </c>
      <c r="I1435" t="s">
        <v>22</v>
      </c>
      <c r="J1435" t="s">
        <v>67</v>
      </c>
      <c r="K1435" t="s">
        <v>34</v>
      </c>
      <c r="L1435" s="6">
        <v>126.06</v>
      </c>
      <c r="M1435" s="6">
        <v>0</v>
      </c>
      <c r="N1435" s="6">
        <v>-126.06</v>
      </c>
      <c r="O1435" s="6">
        <v>30979.22</v>
      </c>
      <c r="P1435" s="7">
        <v>0</v>
      </c>
      <c r="Q1435" s="6">
        <v>0</v>
      </c>
    </row>
    <row r="1436" spans="1:17">
      <c r="A1436">
        <v>1435</v>
      </c>
      <c r="B1436" s="5">
        <v>45786</v>
      </c>
      <c r="C1436" t="s">
        <v>791</v>
      </c>
      <c r="D1436" t="s">
        <v>792</v>
      </c>
      <c r="E1436" t="s">
        <v>793</v>
      </c>
      <c r="F1436">
        <v>4</v>
      </c>
      <c r="G1436" t="s">
        <v>876</v>
      </c>
      <c r="H1436" t="s">
        <v>66</v>
      </c>
      <c r="I1436" t="s">
        <v>22</v>
      </c>
      <c r="J1436" t="s">
        <v>67</v>
      </c>
      <c r="K1436" t="s">
        <v>34</v>
      </c>
      <c r="L1436" s="6">
        <v>43.62</v>
      </c>
      <c r="M1436" s="6">
        <v>0</v>
      </c>
      <c r="N1436" s="6">
        <v>-43.62</v>
      </c>
      <c r="O1436" s="6">
        <v>30935.599999999999</v>
      </c>
      <c r="P1436" s="7">
        <v>0</v>
      </c>
      <c r="Q1436" s="6">
        <v>0</v>
      </c>
    </row>
    <row r="1437" spans="1:17">
      <c r="A1437">
        <v>1436</v>
      </c>
      <c r="B1437" s="5">
        <v>45786</v>
      </c>
      <c r="C1437" t="s">
        <v>791</v>
      </c>
      <c r="D1437" t="s">
        <v>792</v>
      </c>
      <c r="E1437" t="s">
        <v>793</v>
      </c>
      <c r="F1437">
        <v>4</v>
      </c>
      <c r="G1437" t="s">
        <v>877</v>
      </c>
      <c r="H1437" t="s">
        <v>66</v>
      </c>
      <c r="I1437" t="s">
        <v>22</v>
      </c>
      <c r="J1437" t="s">
        <v>67</v>
      </c>
      <c r="K1437" t="s">
        <v>34</v>
      </c>
      <c r="L1437" s="6">
        <v>5004.93</v>
      </c>
      <c r="M1437" s="6">
        <v>0</v>
      </c>
      <c r="N1437" s="6">
        <v>-5004.93</v>
      </c>
      <c r="O1437" s="6">
        <v>25930.67</v>
      </c>
      <c r="P1437" s="7">
        <v>0</v>
      </c>
      <c r="Q1437" s="6">
        <v>0</v>
      </c>
    </row>
    <row r="1438" spans="1:17">
      <c r="A1438">
        <v>1437</v>
      </c>
      <c r="B1438" s="5">
        <v>45786</v>
      </c>
      <c r="C1438" t="s">
        <v>791</v>
      </c>
      <c r="D1438" t="s">
        <v>792</v>
      </c>
      <c r="E1438" t="s">
        <v>793</v>
      </c>
      <c r="F1438">
        <v>4</v>
      </c>
      <c r="G1438" t="s">
        <v>878</v>
      </c>
      <c r="H1438" t="s">
        <v>66</v>
      </c>
      <c r="I1438" t="s">
        <v>22</v>
      </c>
      <c r="J1438" t="s">
        <v>67</v>
      </c>
      <c r="K1438" t="s">
        <v>34</v>
      </c>
      <c r="L1438" s="6">
        <v>400</v>
      </c>
      <c r="M1438" s="6">
        <v>0</v>
      </c>
      <c r="N1438" s="6">
        <v>-400</v>
      </c>
      <c r="O1438" s="6">
        <v>25530.67</v>
      </c>
      <c r="P1438" s="7">
        <v>0</v>
      </c>
      <c r="Q1438" s="6">
        <v>0</v>
      </c>
    </row>
    <row r="1439" spans="1:17">
      <c r="A1439">
        <v>1438</v>
      </c>
      <c r="B1439" s="5">
        <v>45786</v>
      </c>
      <c r="C1439" t="s">
        <v>791</v>
      </c>
      <c r="D1439" t="s">
        <v>792</v>
      </c>
      <c r="E1439" t="s">
        <v>793</v>
      </c>
      <c r="F1439">
        <v>4</v>
      </c>
      <c r="G1439" t="s">
        <v>201</v>
      </c>
      <c r="H1439" t="s">
        <v>100</v>
      </c>
      <c r="I1439" t="s">
        <v>16</v>
      </c>
      <c r="J1439" t="s">
        <v>52</v>
      </c>
      <c r="K1439" t="s">
        <v>35</v>
      </c>
      <c r="L1439" s="6">
        <v>0</v>
      </c>
      <c r="M1439" s="6">
        <v>1350</v>
      </c>
      <c r="N1439" s="6">
        <v>1350</v>
      </c>
      <c r="O1439" s="6">
        <v>26880.67</v>
      </c>
      <c r="P1439" s="7">
        <v>0</v>
      </c>
      <c r="Q1439" s="6">
        <v>0</v>
      </c>
    </row>
    <row r="1440" spans="1:17">
      <c r="A1440">
        <v>1439</v>
      </c>
      <c r="B1440" s="5">
        <v>45786</v>
      </c>
      <c r="C1440" t="s">
        <v>791</v>
      </c>
      <c r="D1440" t="s">
        <v>792</v>
      </c>
      <c r="E1440" t="s">
        <v>793</v>
      </c>
      <c r="F1440">
        <v>4</v>
      </c>
      <c r="G1440" t="s">
        <v>659</v>
      </c>
      <c r="H1440" t="s">
        <v>660</v>
      </c>
      <c r="I1440" t="s">
        <v>16</v>
      </c>
      <c r="J1440" t="s">
        <v>52</v>
      </c>
      <c r="K1440" t="s">
        <v>35</v>
      </c>
      <c r="L1440" s="6">
        <v>0</v>
      </c>
      <c r="M1440" s="6">
        <v>100</v>
      </c>
      <c r="N1440" s="6">
        <v>100</v>
      </c>
      <c r="O1440" s="6">
        <v>26980.67</v>
      </c>
      <c r="P1440" s="7">
        <v>0</v>
      </c>
      <c r="Q1440" s="6">
        <v>0</v>
      </c>
    </row>
    <row r="1441" spans="1:17">
      <c r="A1441">
        <v>1440</v>
      </c>
      <c r="B1441" s="5">
        <v>45786</v>
      </c>
      <c r="C1441" t="s">
        <v>791</v>
      </c>
      <c r="D1441" t="s">
        <v>792</v>
      </c>
      <c r="E1441" t="s">
        <v>793</v>
      </c>
      <c r="F1441">
        <v>4</v>
      </c>
      <c r="G1441" t="s">
        <v>879</v>
      </c>
      <c r="I1441" t="s">
        <v>17</v>
      </c>
      <c r="J1441" t="s">
        <v>64</v>
      </c>
      <c r="K1441" t="s">
        <v>34</v>
      </c>
      <c r="L1441" s="6">
        <v>24000</v>
      </c>
      <c r="M1441" s="6">
        <v>0</v>
      </c>
      <c r="N1441" s="6">
        <v>-24000</v>
      </c>
      <c r="O1441" s="6">
        <v>2980.67</v>
      </c>
      <c r="P1441" s="7">
        <v>0</v>
      </c>
      <c r="Q1441" s="6">
        <v>0</v>
      </c>
    </row>
    <row r="1442" spans="1:17">
      <c r="A1442">
        <v>1441</v>
      </c>
      <c r="B1442" s="5">
        <v>45786</v>
      </c>
      <c r="C1442" t="s">
        <v>791</v>
      </c>
      <c r="D1442" t="s">
        <v>792</v>
      </c>
      <c r="E1442" t="s">
        <v>793</v>
      </c>
      <c r="F1442">
        <v>4</v>
      </c>
      <c r="G1442" t="s">
        <v>212</v>
      </c>
      <c r="H1442" t="s">
        <v>213</v>
      </c>
      <c r="I1442" t="s">
        <v>16</v>
      </c>
      <c r="J1442" t="s">
        <v>52</v>
      </c>
      <c r="K1442" t="s">
        <v>35</v>
      </c>
      <c r="L1442" s="6">
        <v>0</v>
      </c>
      <c r="M1442" s="6">
        <v>300</v>
      </c>
      <c r="N1442" s="6">
        <v>300</v>
      </c>
      <c r="O1442" s="6">
        <v>3280.67</v>
      </c>
      <c r="P1442" s="7">
        <v>0</v>
      </c>
      <c r="Q1442" s="6">
        <v>0</v>
      </c>
    </row>
    <row r="1443" spans="1:17">
      <c r="A1443">
        <v>1442</v>
      </c>
      <c r="B1443" s="5">
        <v>45786</v>
      </c>
      <c r="C1443" t="s">
        <v>791</v>
      </c>
      <c r="D1443" t="s">
        <v>792</v>
      </c>
      <c r="E1443" t="s">
        <v>793</v>
      </c>
      <c r="F1443">
        <v>10</v>
      </c>
      <c r="G1443" t="s">
        <v>834</v>
      </c>
      <c r="H1443" t="s">
        <v>835</v>
      </c>
      <c r="I1443" t="s">
        <v>16</v>
      </c>
      <c r="J1443" t="s">
        <v>52</v>
      </c>
      <c r="K1443" t="s">
        <v>35</v>
      </c>
      <c r="L1443" s="6">
        <v>0</v>
      </c>
      <c r="M1443" s="6">
        <v>100</v>
      </c>
      <c r="N1443" s="6">
        <v>100</v>
      </c>
      <c r="O1443" s="6">
        <v>32625.25</v>
      </c>
      <c r="P1443" s="7">
        <v>0</v>
      </c>
      <c r="Q1443" s="6">
        <v>0</v>
      </c>
    </row>
    <row r="1444" spans="1:17">
      <c r="A1444">
        <v>1443</v>
      </c>
      <c r="B1444" s="5">
        <v>45786</v>
      </c>
      <c r="C1444" t="s">
        <v>791</v>
      </c>
      <c r="D1444" t="s">
        <v>792</v>
      </c>
      <c r="E1444" t="s">
        <v>793</v>
      </c>
      <c r="F1444">
        <v>10</v>
      </c>
      <c r="G1444" t="s">
        <v>278</v>
      </c>
      <c r="H1444" t="s">
        <v>89</v>
      </c>
      <c r="I1444" t="s">
        <v>16</v>
      </c>
      <c r="J1444" t="s">
        <v>52</v>
      </c>
      <c r="K1444" t="s">
        <v>35</v>
      </c>
      <c r="L1444" s="6">
        <v>0</v>
      </c>
      <c r="M1444" s="6">
        <v>120</v>
      </c>
      <c r="N1444" s="6">
        <v>120</v>
      </c>
      <c r="O1444" s="6">
        <v>32745.25</v>
      </c>
      <c r="P1444" s="7">
        <v>0</v>
      </c>
      <c r="Q1444" s="6">
        <v>0</v>
      </c>
    </row>
    <row r="1445" spans="1:17">
      <c r="A1445">
        <v>1444</v>
      </c>
      <c r="B1445" s="5">
        <v>45786</v>
      </c>
      <c r="C1445" t="s">
        <v>791</v>
      </c>
      <c r="D1445" t="s">
        <v>792</v>
      </c>
      <c r="E1445" t="s">
        <v>793</v>
      </c>
      <c r="F1445">
        <v>10</v>
      </c>
      <c r="G1445" t="s">
        <v>872</v>
      </c>
      <c r="H1445" t="s">
        <v>668</v>
      </c>
      <c r="I1445" t="s">
        <v>18</v>
      </c>
      <c r="J1445" t="s">
        <v>345</v>
      </c>
      <c r="K1445" t="s">
        <v>34</v>
      </c>
      <c r="L1445" s="6">
        <v>703.48</v>
      </c>
      <c r="M1445" s="6">
        <v>0</v>
      </c>
      <c r="N1445" s="6">
        <v>-703.48</v>
      </c>
      <c r="O1445" s="6">
        <v>32041.77</v>
      </c>
      <c r="P1445" s="7">
        <v>0</v>
      </c>
      <c r="Q1445" s="6">
        <v>0</v>
      </c>
    </row>
    <row r="1446" spans="1:17">
      <c r="A1446">
        <v>1445</v>
      </c>
      <c r="B1446" s="5">
        <v>45786</v>
      </c>
      <c r="C1446" t="s">
        <v>791</v>
      </c>
      <c r="D1446" t="s">
        <v>792</v>
      </c>
      <c r="E1446" t="s">
        <v>793</v>
      </c>
      <c r="F1446">
        <v>10</v>
      </c>
      <c r="G1446" t="s">
        <v>346</v>
      </c>
      <c r="I1446" t="s">
        <v>14</v>
      </c>
      <c r="J1446" t="s">
        <v>46</v>
      </c>
      <c r="K1446" t="s">
        <v>34</v>
      </c>
      <c r="L1446" s="6">
        <v>30</v>
      </c>
      <c r="M1446" s="6">
        <v>0</v>
      </c>
      <c r="N1446" s="6">
        <v>-30</v>
      </c>
      <c r="O1446" s="6">
        <v>32011.77</v>
      </c>
      <c r="P1446" s="7">
        <v>0.15</v>
      </c>
      <c r="Q1446" s="6">
        <v>3.91</v>
      </c>
    </row>
    <row r="1447" spans="1:17">
      <c r="A1447">
        <v>1446</v>
      </c>
      <c r="B1447" s="5">
        <v>45786</v>
      </c>
      <c r="C1447" t="s">
        <v>791</v>
      </c>
      <c r="D1447" t="s">
        <v>792</v>
      </c>
      <c r="E1447" t="s">
        <v>793</v>
      </c>
      <c r="F1447">
        <v>10</v>
      </c>
      <c r="G1447" t="s">
        <v>873</v>
      </c>
      <c r="H1447" t="s">
        <v>668</v>
      </c>
      <c r="I1447" t="s">
        <v>18</v>
      </c>
      <c r="J1447" t="s">
        <v>345</v>
      </c>
      <c r="K1447" t="s">
        <v>34</v>
      </c>
      <c r="L1447" s="6">
        <v>151.56</v>
      </c>
      <c r="M1447" s="6">
        <v>0</v>
      </c>
      <c r="N1447" s="6">
        <v>-151.56</v>
      </c>
      <c r="O1447" s="6">
        <v>31860.21</v>
      </c>
      <c r="P1447" s="7">
        <v>0</v>
      </c>
      <c r="Q1447" s="6">
        <v>0</v>
      </c>
    </row>
    <row r="1448" spans="1:17">
      <c r="A1448">
        <v>1447</v>
      </c>
      <c r="B1448" s="5">
        <v>45786</v>
      </c>
      <c r="C1448" t="s">
        <v>791</v>
      </c>
      <c r="D1448" t="s">
        <v>792</v>
      </c>
      <c r="E1448" t="s">
        <v>793</v>
      </c>
      <c r="F1448">
        <v>10</v>
      </c>
      <c r="G1448" t="s">
        <v>346</v>
      </c>
      <c r="I1448" t="s">
        <v>14</v>
      </c>
      <c r="J1448" t="s">
        <v>46</v>
      </c>
      <c r="K1448" t="s">
        <v>34</v>
      </c>
      <c r="L1448" s="6">
        <v>20</v>
      </c>
      <c r="M1448" s="6">
        <v>0</v>
      </c>
      <c r="N1448" s="6">
        <v>-20</v>
      </c>
      <c r="O1448" s="6">
        <v>31840.21</v>
      </c>
      <c r="P1448" s="7">
        <v>0.15</v>
      </c>
      <c r="Q1448" s="6">
        <v>2.61</v>
      </c>
    </row>
    <row r="1449" spans="1:17">
      <c r="A1449">
        <v>1448</v>
      </c>
      <c r="B1449" s="5">
        <v>45786</v>
      </c>
      <c r="C1449" t="s">
        <v>791</v>
      </c>
      <c r="D1449" t="s">
        <v>792</v>
      </c>
      <c r="E1449" t="s">
        <v>793</v>
      </c>
      <c r="F1449">
        <v>10</v>
      </c>
      <c r="G1449" t="s">
        <v>874</v>
      </c>
      <c r="H1449" t="s">
        <v>66</v>
      </c>
      <c r="I1449" t="s">
        <v>22</v>
      </c>
      <c r="J1449" t="s">
        <v>67</v>
      </c>
      <c r="K1449" t="s">
        <v>34</v>
      </c>
      <c r="L1449" s="6">
        <v>734.93</v>
      </c>
      <c r="M1449" s="6">
        <v>0</v>
      </c>
      <c r="N1449" s="6">
        <v>-734.93</v>
      </c>
      <c r="O1449" s="6">
        <v>31105.279999999999</v>
      </c>
      <c r="P1449" s="7">
        <v>0</v>
      </c>
      <c r="Q1449" s="6">
        <v>0</v>
      </c>
    </row>
    <row r="1450" spans="1:17">
      <c r="A1450">
        <v>1449</v>
      </c>
      <c r="B1450" s="5">
        <v>45786</v>
      </c>
      <c r="C1450" t="s">
        <v>791</v>
      </c>
      <c r="D1450" t="s">
        <v>792</v>
      </c>
      <c r="E1450" t="s">
        <v>793</v>
      </c>
      <c r="F1450">
        <v>10</v>
      </c>
      <c r="G1450" t="s">
        <v>875</v>
      </c>
      <c r="H1450" t="s">
        <v>66</v>
      </c>
      <c r="I1450" t="s">
        <v>22</v>
      </c>
      <c r="J1450" t="s">
        <v>67</v>
      </c>
      <c r="K1450" t="s">
        <v>34</v>
      </c>
      <c r="L1450" s="6">
        <v>126.06</v>
      </c>
      <c r="M1450" s="6">
        <v>0</v>
      </c>
      <c r="N1450" s="6">
        <v>-126.06</v>
      </c>
      <c r="O1450" s="6">
        <v>30979.22</v>
      </c>
      <c r="P1450" s="7">
        <v>0</v>
      </c>
      <c r="Q1450" s="6">
        <v>0</v>
      </c>
    </row>
    <row r="1451" spans="1:17">
      <c r="A1451">
        <v>1450</v>
      </c>
      <c r="B1451" s="5">
        <v>45786</v>
      </c>
      <c r="C1451" t="s">
        <v>791</v>
      </c>
      <c r="D1451" t="s">
        <v>792</v>
      </c>
      <c r="E1451" t="s">
        <v>793</v>
      </c>
      <c r="F1451">
        <v>10</v>
      </c>
      <c r="G1451" t="s">
        <v>876</v>
      </c>
      <c r="H1451" t="s">
        <v>66</v>
      </c>
      <c r="I1451" t="s">
        <v>22</v>
      </c>
      <c r="J1451" t="s">
        <v>67</v>
      </c>
      <c r="K1451" t="s">
        <v>34</v>
      </c>
      <c r="L1451" s="6">
        <v>43.62</v>
      </c>
      <c r="M1451" s="6">
        <v>0</v>
      </c>
      <c r="N1451" s="6">
        <v>-43.62</v>
      </c>
      <c r="O1451" s="6">
        <v>30935.599999999999</v>
      </c>
      <c r="P1451" s="7">
        <v>0</v>
      </c>
      <c r="Q1451" s="6">
        <v>0</v>
      </c>
    </row>
    <row r="1452" spans="1:17">
      <c r="A1452">
        <v>1451</v>
      </c>
      <c r="B1452" s="5">
        <v>45786</v>
      </c>
      <c r="C1452" t="s">
        <v>791</v>
      </c>
      <c r="D1452" t="s">
        <v>792</v>
      </c>
      <c r="E1452" t="s">
        <v>793</v>
      </c>
      <c r="F1452">
        <v>10</v>
      </c>
      <c r="G1452" t="s">
        <v>877</v>
      </c>
      <c r="H1452" t="s">
        <v>66</v>
      </c>
      <c r="I1452" t="s">
        <v>22</v>
      </c>
      <c r="J1452" t="s">
        <v>67</v>
      </c>
      <c r="K1452" t="s">
        <v>34</v>
      </c>
      <c r="L1452" s="6">
        <v>5004.93</v>
      </c>
      <c r="M1452" s="6">
        <v>0</v>
      </c>
      <c r="N1452" s="6">
        <v>-5004.93</v>
      </c>
      <c r="O1452" s="6">
        <v>25930.67</v>
      </c>
      <c r="P1452" s="7">
        <v>0</v>
      </c>
      <c r="Q1452" s="6">
        <v>0</v>
      </c>
    </row>
    <row r="1453" spans="1:17">
      <c r="A1453">
        <v>1452</v>
      </c>
      <c r="B1453" s="5">
        <v>45786</v>
      </c>
      <c r="C1453" t="s">
        <v>791</v>
      </c>
      <c r="D1453" t="s">
        <v>792</v>
      </c>
      <c r="E1453" t="s">
        <v>793</v>
      </c>
      <c r="F1453">
        <v>10</v>
      </c>
      <c r="G1453" t="s">
        <v>878</v>
      </c>
      <c r="H1453" t="s">
        <v>66</v>
      </c>
      <c r="I1453" t="s">
        <v>22</v>
      </c>
      <c r="J1453" t="s">
        <v>67</v>
      </c>
      <c r="K1453" t="s">
        <v>34</v>
      </c>
      <c r="L1453" s="6">
        <v>400</v>
      </c>
      <c r="M1453" s="6">
        <v>0</v>
      </c>
      <c r="N1453" s="6">
        <v>-400</v>
      </c>
      <c r="O1453" s="6">
        <v>25530.67</v>
      </c>
      <c r="P1453" s="7">
        <v>0</v>
      </c>
      <c r="Q1453" s="6">
        <v>0</v>
      </c>
    </row>
    <row r="1454" spans="1:17">
      <c r="A1454">
        <v>1453</v>
      </c>
      <c r="B1454" s="5">
        <v>45786</v>
      </c>
      <c r="C1454" t="s">
        <v>791</v>
      </c>
      <c r="D1454" t="s">
        <v>792</v>
      </c>
      <c r="E1454" t="s">
        <v>793</v>
      </c>
      <c r="F1454">
        <v>10</v>
      </c>
      <c r="G1454" t="s">
        <v>201</v>
      </c>
      <c r="H1454" t="s">
        <v>100</v>
      </c>
      <c r="I1454" t="s">
        <v>16</v>
      </c>
      <c r="J1454" t="s">
        <v>52</v>
      </c>
      <c r="K1454" t="s">
        <v>35</v>
      </c>
      <c r="L1454" s="6">
        <v>0</v>
      </c>
      <c r="M1454" s="6">
        <v>1350</v>
      </c>
      <c r="N1454" s="6">
        <v>1350</v>
      </c>
      <c r="O1454" s="6">
        <v>26880.67</v>
      </c>
      <c r="P1454" s="7">
        <v>0</v>
      </c>
      <c r="Q1454" s="6">
        <v>0</v>
      </c>
    </row>
    <row r="1455" spans="1:17">
      <c r="A1455">
        <v>1454</v>
      </c>
      <c r="B1455" s="5">
        <v>45786</v>
      </c>
      <c r="C1455" t="s">
        <v>791</v>
      </c>
      <c r="D1455" t="s">
        <v>792</v>
      </c>
      <c r="E1455" t="s">
        <v>793</v>
      </c>
      <c r="F1455">
        <v>10</v>
      </c>
      <c r="G1455" t="s">
        <v>659</v>
      </c>
      <c r="H1455" t="s">
        <v>660</v>
      </c>
      <c r="I1455" t="s">
        <v>16</v>
      </c>
      <c r="J1455" t="s">
        <v>52</v>
      </c>
      <c r="K1455" t="s">
        <v>35</v>
      </c>
      <c r="L1455" s="6">
        <v>0</v>
      </c>
      <c r="M1455" s="6">
        <v>100</v>
      </c>
      <c r="N1455" s="6">
        <v>100</v>
      </c>
      <c r="O1455" s="6">
        <v>26980.67</v>
      </c>
      <c r="P1455" s="7">
        <v>0</v>
      </c>
      <c r="Q1455" s="6">
        <v>0</v>
      </c>
    </row>
    <row r="1456" spans="1:17">
      <c r="A1456">
        <v>1455</v>
      </c>
      <c r="B1456" s="5">
        <v>45786</v>
      </c>
      <c r="C1456" t="s">
        <v>791</v>
      </c>
      <c r="D1456" t="s">
        <v>792</v>
      </c>
      <c r="E1456" t="s">
        <v>793</v>
      </c>
      <c r="F1456">
        <v>10</v>
      </c>
      <c r="G1456" t="s">
        <v>879</v>
      </c>
      <c r="I1456" t="s">
        <v>17</v>
      </c>
      <c r="J1456" t="s">
        <v>64</v>
      </c>
      <c r="K1456" t="s">
        <v>34</v>
      </c>
      <c r="L1456" s="6">
        <v>24000</v>
      </c>
      <c r="M1456" s="6">
        <v>0</v>
      </c>
      <c r="N1456" s="6">
        <v>-24000</v>
      </c>
      <c r="O1456" s="6">
        <v>2980.67</v>
      </c>
      <c r="P1456" s="7">
        <v>0</v>
      </c>
      <c r="Q1456" s="6">
        <v>0</v>
      </c>
    </row>
    <row r="1457" spans="1:17">
      <c r="A1457">
        <v>1456</v>
      </c>
      <c r="B1457" s="5">
        <v>45786</v>
      </c>
      <c r="C1457" t="s">
        <v>791</v>
      </c>
      <c r="D1457" t="s">
        <v>792</v>
      </c>
      <c r="E1457" t="s">
        <v>793</v>
      </c>
      <c r="F1457">
        <v>10</v>
      </c>
      <c r="G1457" t="s">
        <v>212</v>
      </c>
      <c r="H1457" t="s">
        <v>213</v>
      </c>
      <c r="I1457" t="s">
        <v>16</v>
      </c>
      <c r="J1457" t="s">
        <v>52</v>
      </c>
      <c r="K1457" t="s">
        <v>35</v>
      </c>
      <c r="L1457" s="6">
        <v>0</v>
      </c>
      <c r="M1457" s="6">
        <v>300</v>
      </c>
      <c r="N1457" s="6">
        <v>300</v>
      </c>
      <c r="O1457" s="6">
        <v>3280.67</v>
      </c>
      <c r="P1457" s="7">
        <v>0</v>
      </c>
      <c r="Q1457" s="6">
        <v>0</v>
      </c>
    </row>
    <row r="1458" spans="1:17">
      <c r="A1458">
        <v>1457</v>
      </c>
      <c r="B1458" s="5">
        <v>45787</v>
      </c>
      <c r="C1458" t="s">
        <v>791</v>
      </c>
      <c r="D1458" t="s">
        <v>792</v>
      </c>
      <c r="E1458" t="s">
        <v>793</v>
      </c>
      <c r="F1458">
        <v>4</v>
      </c>
      <c r="G1458" t="s">
        <v>880</v>
      </c>
      <c r="H1458" t="s">
        <v>881</v>
      </c>
      <c r="I1458" t="s">
        <v>16</v>
      </c>
      <c r="J1458" t="s">
        <v>52</v>
      </c>
      <c r="K1458" t="s">
        <v>35</v>
      </c>
      <c r="L1458" s="6">
        <v>0</v>
      </c>
      <c r="M1458" s="6">
        <v>711</v>
      </c>
      <c r="N1458" s="6">
        <v>711</v>
      </c>
      <c r="O1458" s="6">
        <v>3991.67</v>
      </c>
      <c r="P1458" s="7">
        <v>0</v>
      </c>
      <c r="Q1458" s="6">
        <v>0</v>
      </c>
    </row>
    <row r="1459" spans="1:17">
      <c r="A1459">
        <v>1458</v>
      </c>
      <c r="B1459" s="5">
        <v>45787</v>
      </c>
      <c r="C1459" t="s">
        <v>791</v>
      </c>
      <c r="D1459" t="s">
        <v>792</v>
      </c>
      <c r="E1459" t="s">
        <v>793</v>
      </c>
      <c r="F1459">
        <v>4</v>
      </c>
      <c r="G1459" t="s">
        <v>278</v>
      </c>
      <c r="H1459" t="s">
        <v>89</v>
      </c>
      <c r="I1459" t="s">
        <v>16</v>
      </c>
      <c r="J1459" t="s">
        <v>52</v>
      </c>
      <c r="K1459" t="s">
        <v>35</v>
      </c>
      <c r="L1459" s="6">
        <v>0</v>
      </c>
      <c r="M1459" s="6">
        <v>200</v>
      </c>
      <c r="N1459" s="6">
        <v>200</v>
      </c>
      <c r="O1459" s="6">
        <v>4191.67</v>
      </c>
      <c r="P1459" s="7">
        <v>0</v>
      </c>
      <c r="Q1459" s="6">
        <v>0</v>
      </c>
    </row>
    <row r="1460" spans="1:17">
      <c r="A1460">
        <v>1459</v>
      </c>
      <c r="B1460" s="5">
        <v>45787</v>
      </c>
      <c r="C1460" t="s">
        <v>791</v>
      </c>
      <c r="D1460" t="s">
        <v>792</v>
      </c>
      <c r="E1460" t="s">
        <v>793</v>
      </c>
      <c r="F1460">
        <v>10</v>
      </c>
      <c r="G1460" t="s">
        <v>880</v>
      </c>
      <c r="H1460" t="s">
        <v>881</v>
      </c>
      <c r="I1460" t="s">
        <v>16</v>
      </c>
      <c r="J1460" t="s">
        <v>52</v>
      </c>
      <c r="K1460" t="s">
        <v>35</v>
      </c>
      <c r="L1460" s="6">
        <v>0</v>
      </c>
      <c r="M1460" s="6">
        <v>711</v>
      </c>
      <c r="N1460" s="6">
        <v>711</v>
      </c>
      <c r="O1460" s="6">
        <v>3991.67</v>
      </c>
      <c r="P1460" s="7">
        <v>0</v>
      </c>
      <c r="Q1460" s="6">
        <v>0</v>
      </c>
    </row>
    <row r="1461" spans="1:17">
      <c r="A1461">
        <v>1460</v>
      </c>
      <c r="B1461" s="5">
        <v>45787</v>
      </c>
      <c r="C1461" t="s">
        <v>791</v>
      </c>
      <c r="D1461" t="s">
        <v>792</v>
      </c>
      <c r="E1461" t="s">
        <v>793</v>
      </c>
      <c r="F1461">
        <v>10</v>
      </c>
      <c r="G1461" t="s">
        <v>278</v>
      </c>
      <c r="H1461" t="s">
        <v>89</v>
      </c>
      <c r="I1461" t="s">
        <v>16</v>
      </c>
      <c r="J1461" t="s">
        <v>52</v>
      </c>
      <c r="K1461" t="s">
        <v>35</v>
      </c>
      <c r="L1461" s="6">
        <v>0</v>
      </c>
      <c r="M1461" s="6">
        <v>200</v>
      </c>
      <c r="N1461" s="6">
        <v>200</v>
      </c>
      <c r="O1461" s="6">
        <v>4191.67</v>
      </c>
      <c r="P1461" s="7">
        <v>0</v>
      </c>
      <c r="Q1461" s="6">
        <v>0</v>
      </c>
    </row>
    <row r="1462" spans="1:17">
      <c r="A1462">
        <v>1461</v>
      </c>
      <c r="B1462" s="5">
        <v>45789</v>
      </c>
      <c r="C1462" t="s">
        <v>791</v>
      </c>
      <c r="D1462" t="s">
        <v>792</v>
      </c>
      <c r="E1462" t="s">
        <v>793</v>
      </c>
      <c r="F1462">
        <v>4</v>
      </c>
      <c r="G1462" t="s">
        <v>882</v>
      </c>
      <c r="H1462" t="s">
        <v>883</v>
      </c>
      <c r="I1462" t="s">
        <v>16</v>
      </c>
      <c r="J1462" t="s">
        <v>52</v>
      </c>
      <c r="K1462" t="s">
        <v>35</v>
      </c>
      <c r="L1462" s="6">
        <v>0</v>
      </c>
      <c r="M1462" s="6">
        <v>500</v>
      </c>
      <c r="N1462" s="6">
        <v>500</v>
      </c>
      <c r="O1462" s="6">
        <v>4691.67</v>
      </c>
      <c r="P1462" s="7">
        <v>0</v>
      </c>
      <c r="Q1462" s="6">
        <v>0</v>
      </c>
    </row>
    <row r="1463" spans="1:17">
      <c r="A1463">
        <v>1462</v>
      </c>
      <c r="B1463" s="5">
        <v>45789</v>
      </c>
      <c r="C1463" t="s">
        <v>791</v>
      </c>
      <c r="D1463" t="s">
        <v>792</v>
      </c>
      <c r="E1463" t="s">
        <v>793</v>
      </c>
      <c r="F1463">
        <v>4</v>
      </c>
      <c r="G1463" t="s">
        <v>834</v>
      </c>
      <c r="H1463" t="s">
        <v>835</v>
      </c>
      <c r="I1463" t="s">
        <v>16</v>
      </c>
      <c r="J1463" t="s">
        <v>52</v>
      </c>
      <c r="K1463" t="s">
        <v>35</v>
      </c>
      <c r="L1463" s="6">
        <v>0</v>
      </c>
      <c r="M1463" s="6">
        <v>100</v>
      </c>
      <c r="N1463" s="6">
        <v>100</v>
      </c>
      <c r="O1463" s="6">
        <v>4791.67</v>
      </c>
      <c r="P1463" s="7">
        <v>0</v>
      </c>
      <c r="Q1463" s="6">
        <v>0</v>
      </c>
    </row>
    <row r="1464" spans="1:17">
      <c r="A1464">
        <v>1463</v>
      </c>
      <c r="B1464" s="5">
        <v>45789</v>
      </c>
      <c r="C1464" t="s">
        <v>791</v>
      </c>
      <c r="D1464" t="s">
        <v>792</v>
      </c>
      <c r="E1464" t="s">
        <v>793</v>
      </c>
      <c r="F1464">
        <v>4</v>
      </c>
      <c r="G1464" t="s">
        <v>190</v>
      </c>
      <c r="H1464" t="s">
        <v>112</v>
      </c>
      <c r="I1464" t="s">
        <v>16</v>
      </c>
      <c r="J1464" t="s">
        <v>52</v>
      </c>
      <c r="K1464" t="s">
        <v>35</v>
      </c>
      <c r="L1464" s="6">
        <v>0</v>
      </c>
      <c r="M1464" s="6">
        <v>20500</v>
      </c>
      <c r="N1464" s="6">
        <v>20500</v>
      </c>
      <c r="O1464" s="6">
        <v>25291.67</v>
      </c>
      <c r="P1464" s="7">
        <v>0</v>
      </c>
      <c r="Q1464" s="6">
        <v>0</v>
      </c>
    </row>
    <row r="1465" spans="1:17">
      <c r="A1465">
        <v>1464</v>
      </c>
      <c r="B1465" s="5">
        <v>45789</v>
      </c>
      <c r="C1465" t="s">
        <v>791</v>
      </c>
      <c r="D1465" t="s">
        <v>792</v>
      </c>
      <c r="E1465" t="s">
        <v>793</v>
      </c>
      <c r="F1465">
        <v>4</v>
      </c>
      <c r="G1465" t="s">
        <v>727</v>
      </c>
      <c r="H1465" t="s">
        <v>728</v>
      </c>
      <c r="I1465" t="s">
        <v>16</v>
      </c>
      <c r="J1465" t="s">
        <v>52</v>
      </c>
      <c r="K1465" t="s">
        <v>35</v>
      </c>
      <c r="L1465" s="6">
        <v>0</v>
      </c>
      <c r="M1465" s="6">
        <v>200</v>
      </c>
      <c r="N1465" s="6">
        <v>200</v>
      </c>
      <c r="O1465" s="6">
        <v>25491.67</v>
      </c>
      <c r="P1465" s="7">
        <v>0</v>
      </c>
      <c r="Q1465" s="6">
        <v>0</v>
      </c>
    </row>
    <row r="1466" spans="1:17">
      <c r="A1466">
        <v>1465</v>
      </c>
      <c r="B1466" s="5">
        <v>45789</v>
      </c>
      <c r="C1466" t="s">
        <v>791</v>
      </c>
      <c r="D1466" t="s">
        <v>792</v>
      </c>
      <c r="E1466" t="s">
        <v>793</v>
      </c>
      <c r="F1466">
        <v>4</v>
      </c>
      <c r="G1466" t="s">
        <v>727</v>
      </c>
      <c r="H1466" t="s">
        <v>728</v>
      </c>
      <c r="I1466" t="s">
        <v>16</v>
      </c>
      <c r="J1466" t="s">
        <v>52</v>
      </c>
      <c r="K1466" t="s">
        <v>35</v>
      </c>
      <c r="L1466" s="6">
        <v>0</v>
      </c>
      <c r="M1466" s="6">
        <v>50</v>
      </c>
      <c r="N1466" s="6">
        <v>50</v>
      </c>
      <c r="O1466" s="6">
        <v>25541.67</v>
      </c>
      <c r="P1466" s="7">
        <v>0</v>
      </c>
      <c r="Q1466" s="6">
        <v>0</v>
      </c>
    </row>
    <row r="1467" spans="1:17">
      <c r="A1467">
        <v>1466</v>
      </c>
      <c r="B1467" s="5">
        <v>45789</v>
      </c>
      <c r="C1467" t="s">
        <v>791</v>
      </c>
      <c r="D1467" t="s">
        <v>792</v>
      </c>
      <c r="E1467" t="s">
        <v>793</v>
      </c>
      <c r="F1467">
        <v>4</v>
      </c>
      <c r="G1467" t="s">
        <v>884</v>
      </c>
      <c r="H1467" t="s">
        <v>885</v>
      </c>
      <c r="I1467" t="s">
        <v>16</v>
      </c>
      <c r="J1467" t="s">
        <v>52</v>
      </c>
      <c r="K1467" t="s">
        <v>35</v>
      </c>
      <c r="L1467" s="6">
        <v>0</v>
      </c>
      <c r="M1467" s="6">
        <v>500</v>
      </c>
      <c r="N1467" s="6">
        <v>500</v>
      </c>
      <c r="O1467" s="6">
        <v>26041.67</v>
      </c>
      <c r="P1467" s="7">
        <v>0</v>
      </c>
      <c r="Q1467" s="6">
        <v>0</v>
      </c>
    </row>
    <row r="1468" spans="1:17">
      <c r="A1468">
        <v>1467</v>
      </c>
      <c r="B1468" s="5">
        <v>45789</v>
      </c>
      <c r="C1468" t="s">
        <v>791</v>
      </c>
      <c r="D1468" t="s">
        <v>792</v>
      </c>
      <c r="E1468" t="s">
        <v>793</v>
      </c>
      <c r="F1468">
        <v>4</v>
      </c>
      <c r="G1468" t="s">
        <v>886</v>
      </c>
      <c r="I1468" t="s">
        <v>22</v>
      </c>
      <c r="J1468" t="s">
        <v>67</v>
      </c>
      <c r="K1468" t="s">
        <v>34</v>
      </c>
      <c r="L1468" s="6">
        <v>5000</v>
      </c>
      <c r="M1468" s="6">
        <v>0</v>
      </c>
      <c r="N1468" s="6">
        <v>-5000</v>
      </c>
      <c r="O1468" s="6">
        <v>21041.67</v>
      </c>
      <c r="P1468" s="7">
        <v>0</v>
      </c>
      <c r="Q1468" s="6">
        <v>0</v>
      </c>
    </row>
    <row r="1469" spans="1:17">
      <c r="A1469">
        <v>1468</v>
      </c>
      <c r="B1469" s="5">
        <v>45789</v>
      </c>
      <c r="C1469" t="s">
        <v>791</v>
      </c>
      <c r="D1469" t="s">
        <v>792</v>
      </c>
      <c r="E1469" t="s">
        <v>793</v>
      </c>
      <c r="F1469">
        <v>4</v>
      </c>
      <c r="G1469" t="s">
        <v>887</v>
      </c>
      <c r="H1469" t="s">
        <v>66</v>
      </c>
      <c r="I1469" t="s">
        <v>22</v>
      </c>
      <c r="J1469" t="s">
        <v>67</v>
      </c>
      <c r="K1469" t="s">
        <v>34</v>
      </c>
      <c r="L1469" s="6">
        <v>39.96</v>
      </c>
      <c r="M1469" s="6">
        <v>0</v>
      </c>
      <c r="N1469" s="6">
        <v>-39.96</v>
      </c>
      <c r="O1469" s="6">
        <v>21001.71</v>
      </c>
      <c r="P1469" s="7">
        <v>0</v>
      </c>
      <c r="Q1469" s="6">
        <v>0</v>
      </c>
    </row>
    <row r="1470" spans="1:17">
      <c r="A1470">
        <v>1469</v>
      </c>
      <c r="B1470" s="5">
        <v>45789</v>
      </c>
      <c r="C1470" t="s">
        <v>791</v>
      </c>
      <c r="D1470" t="s">
        <v>792</v>
      </c>
      <c r="E1470" t="s">
        <v>793</v>
      </c>
      <c r="F1470">
        <v>4</v>
      </c>
      <c r="G1470" t="s">
        <v>888</v>
      </c>
      <c r="H1470" t="s">
        <v>66</v>
      </c>
      <c r="I1470" t="s">
        <v>22</v>
      </c>
      <c r="J1470" t="s">
        <v>67</v>
      </c>
      <c r="K1470" t="s">
        <v>34</v>
      </c>
      <c r="L1470" s="6">
        <v>220</v>
      </c>
      <c r="M1470" s="6">
        <v>0</v>
      </c>
      <c r="N1470" s="6">
        <v>-220</v>
      </c>
      <c r="O1470" s="6">
        <v>20781.71</v>
      </c>
      <c r="P1470" s="7">
        <v>0</v>
      </c>
      <c r="Q1470" s="6">
        <v>0</v>
      </c>
    </row>
    <row r="1471" spans="1:17">
      <c r="A1471">
        <v>1470</v>
      </c>
      <c r="B1471" s="5">
        <v>45789</v>
      </c>
      <c r="C1471" t="s">
        <v>791</v>
      </c>
      <c r="D1471" t="s">
        <v>792</v>
      </c>
      <c r="E1471" t="s">
        <v>793</v>
      </c>
      <c r="F1471">
        <v>4</v>
      </c>
      <c r="G1471" t="s">
        <v>889</v>
      </c>
      <c r="H1471" t="s">
        <v>66</v>
      </c>
      <c r="I1471" t="s">
        <v>22</v>
      </c>
      <c r="J1471" t="s">
        <v>67</v>
      </c>
      <c r="K1471" t="s">
        <v>34</v>
      </c>
      <c r="L1471" s="6">
        <v>4.91</v>
      </c>
      <c r="M1471" s="6">
        <v>0</v>
      </c>
      <c r="N1471" s="6">
        <v>-4.91</v>
      </c>
      <c r="O1471" s="6">
        <v>20776.8</v>
      </c>
      <c r="P1471" s="7">
        <v>0</v>
      </c>
      <c r="Q1471" s="6">
        <v>0</v>
      </c>
    </row>
    <row r="1472" spans="1:17">
      <c r="A1472">
        <v>1471</v>
      </c>
      <c r="B1472" s="5">
        <v>45789</v>
      </c>
      <c r="C1472" t="s">
        <v>791</v>
      </c>
      <c r="D1472" t="s">
        <v>792</v>
      </c>
      <c r="E1472" t="s">
        <v>793</v>
      </c>
      <c r="F1472">
        <v>4</v>
      </c>
      <c r="G1472" t="s">
        <v>890</v>
      </c>
      <c r="H1472" t="s">
        <v>66</v>
      </c>
      <c r="I1472" t="s">
        <v>22</v>
      </c>
      <c r="J1472" t="s">
        <v>67</v>
      </c>
      <c r="K1472" t="s">
        <v>34</v>
      </c>
      <c r="L1472" s="6">
        <v>35.25</v>
      </c>
      <c r="M1472" s="6">
        <v>0</v>
      </c>
      <c r="N1472" s="6">
        <v>-35.25</v>
      </c>
      <c r="O1472" s="6">
        <v>20741.55</v>
      </c>
      <c r="P1472" s="7">
        <v>0</v>
      </c>
      <c r="Q1472" s="6">
        <v>0</v>
      </c>
    </row>
    <row r="1473" spans="1:17">
      <c r="A1473">
        <v>1472</v>
      </c>
      <c r="B1473" s="5">
        <v>45789</v>
      </c>
      <c r="C1473" t="s">
        <v>791</v>
      </c>
      <c r="D1473" t="s">
        <v>792</v>
      </c>
      <c r="E1473" t="s">
        <v>793</v>
      </c>
      <c r="F1473">
        <v>4</v>
      </c>
      <c r="G1473" t="s">
        <v>891</v>
      </c>
      <c r="H1473" t="s">
        <v>66</v>
      </c>
      <c r="I1473" t="s">
        <v>22</v>
      </c>
      <c r="J1473" t="s">
        <v>67</v>
      </c>
      <c r="K1473" t="s">
        <v>34</v>
      </c>
      <c r="L1473" s="6">
        <v>5900</v>
      </c>
      <c r="M1473" s="6">
        <v>0</v>
      </c>
      <c r="N1473" s="6">
        <v>-5900</v>
      </c>
      <c r="O1473" s="6">
        <v>14841.55</v>
      </c>
      <c r="P1473" s="7">
        <v>0</v>
      </c>
      <c r="Q1473" s="6">
        <v>0</v>
      </c>
    </row>
    <row r="1474" spans="1:17">
      <c r="A1474">
        <v>1473</v>
      </c>
      <c r="B1474" s="5">
        <v>45789</v>
      </c>
      <c r="C1474" t="s">
        <v>791</v>
      </c>
      <c r="D1474" t="s">
        <v>792</v>
      </c>
      <c r="E1474" t="s">
        <v>793</v>
      </c>
      <c r="F1474">
        <v>4</v>
      </c>
      <c r="G1474" t="s">
        <v>892</v>
      </c>
      <c r="H1474" t="s">
        <v>66</v>
      </c>
      <c r="I1474" t="s">
        <v>22</v>
      </c>
      <c r="J1474" t="s">
        <v>67</v>
      </c>
      <c r="K1474" t="s">
        <v>34</v>
      </c>
      <c r="L1474" s="6">
        <v>150</v>
      </c>
      <c r="M1474" s="6">
        <v>0</v>
      </c>
      <c r="N1474" s="6">
        <v>-150</v>
      </c>
      <c r="O1474" s="6">
        <v>14691.55</v>
      </c>
      <c r="P1474" s="7">
        <v>0</v>
      </c>
      <c r="Q1474" s="6">
        <v>0</v>
      </c>
    </row>
    <row r="1475" spans="1:17">
      <c r="A1475">
        <v>1474</v>
      </c>
      <c r="B1475" s="5">
        <v>45789</v>
      </c>
      <c r="C1475" t="s">
        <v>791</v>
      </c>
      <c r="D1475" t="s">
        <v>792</v>
      </c>
      <c r="E1475" t="s">
        <v>793</v>
      </c>
      <c r="F1475">
        <v>4</v>
      </c>
      <c r="G1475" t="s">
        <v>201</v>
      </c>
      <c r="H1475" t="s">
        <v>100</v>
      </c>
      <c r="I1475" t="s">
        <v>16</v>
      </c>
      <c r="J1475" t="s">
        <v>52</v>
      </c>
      <c r="K1475" t="s">
        <v>35</v>
      </c>
      <c r="L1475" s="6">
        <v>0</v>
      </c>
      <c r="M1475" s="6">
        <v>1000</v>
      </c>
      <c r="N1475" s="6">
        <v>1000</v>
      </c>
      <c r="O1475" s="6">
        <v>15691.55</v>
      </c>
      <c r="P1475" s="7">
        <v>0</v>
      </c>
      <c r="Q1475" s="6">
        <v>0</v>
      </c>
    </row>
    <row r="1476" spans="1:17">
      <c r="A1476">
        <v>1475</v>
      </c>
      <c r="B1476" s="5">
        <v>45789</v>
      </c>
      <c r="C1476" t="s">
        <v>791</v>
      </c>
      <c r="D1476" t="s">
        <v>792</v>
      </c>
      <c r="E1476" t="s">
        <v>793</v>
      </c>
      <c r="F1476">
        <v>4</v>
      </c>
      <c r="G1476" t="s">
        <v>727</v>
      </c>
      <c r="H1476" t="s">
        <v>728</v>
      </c>
      <c r="I1476" t="s">
        <v>16</v>
      </c>
      <c r="J1476" t="s">
        <v>52</v>
      </c>
      <c r="K1476" t="s">
        <v>35</v>
      </c>
      <c r="L1476" s="6">
        <v>0</v>
      </c>
      <c r="M1476" s="6">
        <v>250</v>
      </c>
      <c r="N1476" s="6">
        <v>250</v>
      </c>
      <c r="O1476" s="6">
        <v>15941.55</v>
      </c>
      <c r="P1476" s="7">
        <v>0</v>
      </c>
      <c r="Q1476" s="6">
        <v>0</v>
      </c>
    </row>
    <row r="1477" spans="1:17">
      <c r="A1477">
        <v>1476</v>
      </c>
      <c r="B1477" s="5">
        <v>45789</v>
      </c>
      <c r="C1477" t="s">
        <v>791</v>
      </c>
      <c r="D1477" t="s">
        <v>792</v>
      </c>
      <c r="E1477" t="s">
        <v>793</v>
      </c>
      <c r="F1477">
        <v>4</v>
      </c>
      <c r="G1477" t="s">
        <v>893</v>
      </c>
      <c r="H1477" t="s">
        <v>894</v>
      </c>
      <c r="I1477" t="s">
        <v>16</v>
      </c>
      <c r="J1477" t="s">
        <v>52</v>
      </c>
      <c r="K1477" t="s">
        <v>35</v>
      </c>
      <c r="L1477" s="6">
        <v>0</v>
      </c>
      <c r="M1477" s="6">
        <v>2700</v>
      </c>
      <c r="N1477" s="6">
        <v>2700</v>
      </c>
      <c r="O1477" s="6">
        <v>18641.55</v>
      </c>
      <c r="P1477" s="7">
        <v>0</v>
      </c>
      <c r="Q1477" s="6">
        <v>0</v>
      </c>
    </row>
    <row r="1478" spans="1:17">
      <c r="A1478">
        <v>1477</v>
      </c>
      <c r="B1478" s="5">
        <v>45789</v>
      </c>
      <c r="C1478" t="s">
        <v>791</v>
      </c>
      <c r="D1478" t="s">
        <v>792</v>
      </c>
      <c r="E1478" t="s">
        <v>793</v>
      </c>
      <c r="F1478">
        <v>4</v>
      </c>
      <c r="G1478" t="s">
        <v>253</v>
      </c>
      <c r="H1478" t="s">
        <v>72</v>
      </c>
      <c r="I1478" t="s">
        <v>16</v>
      </c>
      <c r="J1478" t="s">
        <v>52</v>
      </c>
      <c r="K1478" t="s">
        <v>35</v>
      </c>
      <c r="L1478" s="6">
        <v>0</v>
      </c>
      <c r="M1478" s="6">
        <v>5000</v>
      </c>
      <c r="N1478" s="6">
        <v>5000</v>
      </c>
      <c r="O1478" s="6">
        <v>23641.55</v>
      </c>
      <c r="P1478" s="7">
        <v>0</v>
      </c>
      <c r="Q1478" s="6">
        <v>0</v>
      </c>
    </row>
    <row r="1479" spans="1:17">
      <c r="A1479">
        <v>1478</v>
      </c>
      <c r="B1479" s="5">
        <v>45789</v>
      </c>
      <c r="C1479" t="s">
        <v>791</v>
      </c>
      <c r="D1479" t="s">
        <v>792</v>
      </c>
      <c r="E1479" t="s">
        <v>793</v>
      </c>
      <c r="F1479">
        <v>10</v>
      </c>
      <c r="G1479" t="s">
        <v>882</v>
      </c>
      <c r="H1479" t="s">
        <v>883</v>
      </c>
      <c r="I1479" t="s">
        <v>16</v>
      </c>
      <c r="J1479" t="s">
        <v>52</v>
      </c>
      <c r="K1479" t="s">
        <v>35</v>
      </c>
      <c r="L1479" s="6">
        <v>0</v>
      </c>
      <c r="M1479" s="6">
        <v>500</v>
      </c>
      <c r="N1479" s="6">
        <v>500</v>
      </c>
      <c r="O1479" s="6">
        <v>4691.67</v>
      </c>
      <c r="P1479" s="7">
        <v>0</v>
      </c>
      <c r="Q1479" s="6">
        <v>0</v>
      </c>
    </row>
    <row r="1480" spans="1:17">
      <c r="A1480">
        <v>1479</v>
      </c>
      <c r="B1480" s="5">
        <v>45789</v>
      </c>
      <c r="C1480" t="s">
        <v>791</v>
      </c>
      <c r="D1480" t="s">
        <v>792</v>
      </c>
      <c r="E1480" t="s">
        <v>793</v>
      </c>
      <c r="F1480">
        <v>10</v>
      </c>
      <c r="G1480" t="s">
        <v>834</v>
      </c>
      <c r="H1480" t="s">
        <v>835</v>
      </c>
      <c r="I1480" t="s">
        <v>16</v>
      </c>
      <c r="J1480" t="s">
        <v>52</v>
      </c>
      <c r="K1480" t="s">
        <v>35</v>
      </c>
      <c r="L1480" s="6">
        <v>0</v>
      </c>
      <c r="M1480" s="6">
        <v>100</v>
      </c>
      <c r="N1480" s="6">
        <v>100</v>
      </c>
      <c r="O1480" s="6">
        <v>4791.67</v>
      </c>
      <c r="P1480" s="7">
        <v>0</v>
      </c>
      <c r="Q1480" s="6">
        <v>0</v>
      </c>
    </row>
    <row r="1481" spans="1:17">
      <c r="A1481">
        <v>1480</v>
      </c>
      <c r="B1481" s="5">
        <v>45789</v>
      </c>
      <c r="C1481" t="s">
        <v>791</v>
      </c>
      <c r="D1481" t="s">
        <v>792</v>
      </c>
      <c r="E1481" t="s">
        <v>793</v>
      </c>
      <c r="F1481">
        <v>10</v>
      </c>
      <c r="G1481" t="s">
        <v>190</v>
      </c>
      <c r="H1481" t="s">
        <v>112</v>
      </c>
      <c r="I1481" t="s">
        <v>16</v>
      </c>
      <c r="J1481" t="s">
        <v>52</v>
      </c>
      <c r="K1481" t="s">
        <v>35</v>
      </c>
      <c r="L1481" s="6">
        <v>0</v>
      </c>
      <c r="M1481" s="6">
        <v>20500</v>
      </c>
      <c r="N1481" s="6">
        <v>20500</v>
      </c>
      <c r="O1481" s="6">
        <v>25291.67</v>
      </c>
      <c r="P1481" s="7">
        <v>0</v>
      </c>
      <c r="Q1481" s="6">
        <v>0</v>
      </c>
    </row>
    <row r="1482" spans="1:17">
      <c r="A1482">
        <v>1481</v>
      </c>
      <c r="B1482" s="5">
        <v>45789</v>
      </c>
      <c r="C1482" t="s">
        <v>791</v>
      </c>
      <c r="D1482" t="s">
        <v>792</v>
      </c>
      <c r="E1482" t="s">
        <v>793</v>
      </c>
      <c r="F1482">
        <v>10</v>
      </c>
      <c r="G1482" t="s">
        <v>727</v>
      </c>
      <c r="H1482" t="s">
        <v>728</v>
      </c>
      <c r="I1482" t="s">
        <v>16</v>
      </c>
      <c r="J1482" t="s">
        <v>52</v>
      </c>
      <c r="K1482" t="s">
        <v>35</v>
      </c>
      <c r="L1482" s="6">
        <v>0</v>
      </c>
      <c r="M1482" s="6">
        <v>200</v>
      </c>
      <c r="N1482" s="6">
        <v>200</v>
      </c>
      <c r="O1482" s="6">
        <v>25491.67</v>
      </c>
      <c r="P1482" s="7">
        <v>0</v>
      </c>
      <c r="Q1482" s="6">
        <v>0</v>
      </c>
    </row>
    <row r="1483" spans="1:17">
      <c r="A1483">
        <v>1482</v>
      </c>
      <c r="B1483" s="5">
        <v>45789</v>
      </c>
      <c r="C1483" t="s">
        <v>791</v>
      </c>
      <c r="D1483" t="s">
        <v>792</v>
      </c>
      <c r="E1483" t="s">
        <v>793</v>
      </c>
      <c r="F1483">
        <v>10</v>
      </c>
      <c r="G1483" t="s">
        <v>727</v>
      </c>
      <c r="H1483" t="s">
        <v>728</v>
      </c>
      <c r="I1483" t="s">
        <v>16</v>
      </c>
      <c r="J1483" t="s">
        <v>52</v>
      </c>
      <c r="K1483" t="s">
        <v>35</v>
      </c>
      <c r="L1483" s="6">
        <v>0</v>
      </c>
      <c r="M1483" s="6">
        <v>50</v>
      </c>
      <c r="N1483" s="6">
        <v>50</v>
      </c>
      <c r="O1483" s="6">
        <v>25541.67</v>
      </c>
      <c r="P1483" s="7">
        <v>0</v>
      </c>
      <c r="Q1483" s="6">
        <v>0</v>
      </c>
    </row>
    <row r="1484" spans="1:17">
      <c r="A1484">
        <v>1483</v>
      </c>
      <c r="B1484" s="5">
        <v>45789</v>
      </c>
      <c r="C1484" t="s">
        <v>791</v>
      </c>
      <c r="D1484" t="s">
        <v>792</v>
      </c>
      <c r="E1484" t="s">
        <v>793</v>
      </c>
      <c r="F1484">
        <v>10</v>
      </c>
      <c r="G1484" t="s">
        <v>884</v>
      </c>
      <c r="H1484" t="s">
        <v>885</v>
      </c>
      <c r="I1484" t="s">
        <v>16</v>
      </c>
      <c r="J1484" t="s">
        <v>52</v>
      </c>
      <c r="K1484" t="s">
        <v>35</v>
      </c>
      <c r="L1484" s="6">
        <v>0</v>
      </c>
      <c r="M1484" s="6">
        <v>500</v>
      </c>
      <c r="N1484" s="6">
        <v>500</v>
      </c>
      <c r="O1484" s="6">
        <v>26041.67</v>
      </c>
      <c r="P1484" s="7">
        <v>0</v>
      </c>
      <c r="Q1484" s="6">
        <v>0</v>
      </c>
    </row>
    <row r="1485" spans="1:17">
      <c r="A1485">
        <v>1484</v>
      </c>
      <c r="B1485" s="5">
        <v>45789</v>
      </c>
      <c r="C1485" t="s">
        <v>791</v>
      </c>
      <c r="D1485" t="s">
        <v>792</v>
      </c>
      <c r="E1485" t="s">
        <v>793</v>
      </c>
      <c r="F1485">
        <v>10</v>
      </c>
      <c r="G1485" t="s">
        <v>886</v>
      </c>
      <c r="I1485" t="s">
        <v>22</v>
      </c>
      <c r="J1485" t="s">
        <v>67</v>
      </c>
      <c r="K1485" t="s">
        <v>34</v>
      </c>
      <c r="L1485" s="6">
        <v>5000</v>
      </c>
      <c r="M1485" s="6">
        <v>0</v>
      </c>
      <c r="N1485" s="6">
        <v>-5000</v>
      </c>
      <c r="O1485" s="6">
        <v>21041.67</v>
      </c>
      <c r="P1485" s="7">
        <v>0</v>
      </c>
      <c r="Q1485" s="6">
        <v>0</v>
      </c>
    </row>
    <row r="1486" spans="1:17">
      <c r="A1486">
        <v>1485</v>
      </c>
      <c r="B1486" s="5">
        <v>45789</v>
      </c>
      <c r="C1486" t="s">
        <v>791</v>
      </c>
      <c r="D1486" t="s">
        <v>792</v>
      </c>
      <c r="E1486" t="s">
        <v>793</v>
      </c>
      <c r="F1486">
        <v>10</v>
      </c>
      <c r="G1486" t="s">
        <v>887</v>
      </c>
      <c r="H1486" t="s">
        <v>66</v>
      </c>
      <c r="I1486" t="s">
        <v>22</v>
      </c>
      <c r="J1486" t="s">
        <v>67</v>
      </c>
      <c r="K1486" t="s">
        <v>34</v>
      </c>
      <c r="L1486" s="6">
        <v>39.96</v>
      </c>
      <c r="M1486" s="6">
        <v>0</v>
      </c>
      <c r="N1486" s="6">
        <v>-39.96</v>
      </c>
      <c r="O1486" s="6">
        <v>21001.71</v>
      </c>
      <c r="P1486" s="7">
        <v>0</v>
      </c>
      <c r="Q1486" s="6">
        <v>0</v>
      </c>
    </row>
    <row r="1487" spans="1:17">
      <c r="A1487">
        <v>1486</v>
      </c>
      <c r="B1487" s="5">
        <v>45789</v>
      </c>
      <c r="C1487" t="s">
        <v>791</v>
      </c>
      <c r="D1487" t="s">
        <v>792</v>
      </c>
      <c r="E1487" t="s">
        <v>793</v>
      </c>
      <c r="F1487">
        <v>10</v>
      </c>
      <c r="G1487" t="s">
        <v>888</v>
      </c>
      <c r="H1487" t="s">
        <v>66</v>
      </c>
      <c r="I1487" t="s">
        <v>22</v>
      </c>
      <c r="J1487" t="s">
        <v>67</v>
      </c>
      <c r="K1487" t="s">
        <v>34</v>
      </c>
      <c r="L1487" s="6">
        <v>220</v>
      </c>
      <c r="M1487" s="6">
        <v>0</v>
      </c>
      <c r="N1487" s="6">
        <v>-220</v>
      </c>
      <c r="O1487" s="6">
        <v>20781.71</v>
      </c>
      <c r="P1487" s="7">
        <v>0</v>
      </c>
      <c r="Q1487" s="6">
        <v>0</v>
      </c>
    </row>
    <row r="1488" spans="1:17">
      <c r="A1488">
        <v>1487</v>
      </c>
      <c r="B1488" s="5">
        <v>45789</v>
      </c>
      <c r="C1488" t="s">
        <v>791</v>
      </c>
      <c r="D1488" t="s">
        <v>792</v>
      </c>
      <c r="E1488" t="s">
        <v>793</v>
      </c>
      <c r="F1488">
        <v>10</v>
      </c>
      <c r="G1488" t="s">
        <v>889</v>
      </c>
      <c r="H1488" t="s">
        <v>66</v>
      </c>
      <c r="I1488" t="s">
        <v>22</v>
      </c>
      <c r="J1488" t="s">
        <v>67</v>
      </c>
      <c r="K1488" t="s">
        <v>34</v>
      </c>
      <c r="L1488" s="6">
        <v>4.91</v>
      </c>
      <c r="M1488" s="6">
        <v>0</v>
      </c>
      <c r="N1488" s="6">
        <v>-4.91</v>
      </c>
      <c r="O1488" s="6">
        <v>20776.8</v>
      </c>
      <c r="P1488" s="7">
        <v>0</v>
      </c>
      <c r="Q1488" s="6">
        <v>0</v>
      </c>
    </row>
    <row r="1489" spans="1:17">
      <c r="A1489">
        <v>1488</v>
      </c>
      <c r="B1489" s="5">
        <v>45789</v>
      </c>
      <c r="C1489" t="s">
        <v>791</v>
      </c>
      <c r="D1489" t="s">
        <v>792</v>
      </c>
      <c r="E1489" t="s">
        <v>793</v>
      </c>
      <c r="F1489">
        <v>10</v>
      </c>
      <c r="G1489" t="s">
        <v>890</v>
      </c>
      <c r="H1489" t="s">
        <v>66</v>
      </c>
      <c r="I1489" t="s">
        <v>22</v>
      </c>
      <c r="J1489" t="s">
        <v>67</v>
      </c>
      <c r="K1489" t="s">
        <v>34</v>
      </c>
      <c r="L1489" s="6">
        <v>35.25</v>
      </c>
      <c r="M1489" s="6">
        <v>0</v>
      </c>
      <c r="N1489" s="6">
        <v>-35.25</v>
      </c>
      <c r="O1489" s="6">
        <v>20741.55</v>
      </c>
      <c r="P1489" s="7">
        <v>0</v>
      </c>
      <c r="Q1489" s="6">
        <v>0</v>
      </c>
    </row>
    <row r="1490" spans="1:17">
      <c r="A1490">
        <v>1489</v>
      </c>
      <c r="B1490" s="5">
        <v>45789</v>
      </c>
      <c r="C1490" t="s">
        <v>791</v>
      </c>
      <c r="D1490" t="s">
        <v>792</v>
      </c>
      <c r="E1490" t="s">
        <v>793</v>
      </c>
      <c r="F1490">
        <v>10</v>
      </c>
      <c r="G1490" t="s">
        <v>891</v>
      </c>
      <c r="H1490" t="s">
        <v>66</v>
      </c>
      <c r="I1490" t="s">
        <v>22</v>
      </c>
      <c r="J1490" t="s">
        <v>67</v>
      </c>
      <c r="K1490" t="s">
        <v>34</v>
      </c>
      <c r="L1490" s="6">
        <v>5900</v>
      </c>
      <c r="M1490" s="6">
        <v>0</v>
      </c>
      <c r="N1490" s="6">
        <v>-5900</v>
      </c>
      <c r="O1490" s="6">
        <v>14841.55</v>
      </c>
      <c r="P1490" s="7">
        <v>0</v>
      </c>
      <c r="Q1490" s="6">
        <v>0</v>
      </c>
    </row>
    <row r="1491" spans="1:17">
      <c r="A1491">
        <v>1490</v>
      </c>
      <c r="B1491" s="5">
        <v>45789</v>
      </c>
      <c r="C1491" t="s">
        <v>791</v>
      </c>
      <c r="D1491" t="s">
        <v>792</v>
      </c>
      <c r="E1491" t="s">
        <v>793</v>
      </c>
      <c r="F1491">
        <v>10</v>
      </c>
      <c r="G1491" t="s">
        <v>892</v>
      </c>
      <c r="H1491" t="s">
        <v>66</v>
      </c>
      <c r="I1491" t="s">
        <v>22</v>
      </c>
      <c r="J1491" t="s">
        <v>67</v>
      </c>
      <c r="K1491" t="s">
        <v>34</v>
      </c>
      <c r="L1491" s="6">
        <v>150</v>
      </c>
      <c r="M1491" s="6">
        <v>0</v>
      </c>
      <c r="N1491" s="6">
        <v>-150</v>
      </c>
      <c r="O1491" s="6">
        <v>14691.55</v>
      </c>
      <c r="P1491" s="7">
        <v>0</v>
      </c>
      <c r="Q1491" s="6">
        <v>0</v>
      </c>
    </row>
    <row r="1492" spans="1:17">
      <c r="A1492">
        <v>1491</v>
      </c>
      <c r="B1492" s="5">
        <v>45789</v>
      </c>
      <c r="C1492" t="s">
        <v>791</v>
      </c>
      <c r="D1492" t="s">
        <v>792</v>
      </c>
      <c r="E1492" t="s">
        <v>793</v>
      </c>
      <c r="F1492">
        <v>10</v>
      </c>
      <c r="G1492" t="s">
        <v>201</v>
      </c>
      <c r="H1492" t="s">
        <v>100</v>
      </c>
      <c r="I1492" t="s">
        <v>16</v>
      </c>
      <c r="J1492" t="s">
        <v>52</v>
      </c>
      <c r="K1492" t="s">
        <v>35</v>
      </c>
      <c r="L1492" s="6">
        <v>0</v>
      </c>
      <c r="M1492" s="6">
        <v>1000</v>
      </c>
      <c r="N1492" s="6">
        <v>1000</v>
      </c>
      <c r="O1492" s="6">
        <v>15691.55</v>
      </c>
      <c r="P1492" s="7">
        <v>0</v>
      </c>
      <c r="Q1492" s="6">
        <v>0</v>
      </c>
    </row>
    <row r="1493" spans="1:17">
      <c r="A1493">
        <v>1492</v>
      </c>
      <c r="B1493" s="5">
        <v>45789</v>
      </c>
      <c r="C1493" t="s">
        <v>791</v>
      </c>
      <c r="D1493" t="s">
        <v>792</v>
      </c>
      <c r="E1493" t="s">
        <v>793</v>
      </c>
      <c r="F1493">
        <v>10</v>
      </c>
      <c r="G1493" t="s">
        <v>727</v>
      </c>
      <c r="H1493" t="s">
        <v>728</v>
      </c>
      <c r="I1493" t="s">
        <v>16</v>
      </c>
      <c r="J1493" t="s">
        <v>52</v>
      </c>
      <c r="K1493" t="s">
        <v>35</v>
      </c>
      <c r="L1493" s="6">
        <v>0</v>
      </c>
      <c r="M1493" s="6">
        <v>250</v>
      </c>
      <c r="N1493" s="6">
        <v>250</v>
      </c>
      <c r="O1493" s="6">
        <v>15941.55</v>
      </c>
      <c r="P1493" s="7">
        <v>0</v>
      </c>
      <c r="Q1493" s="6">
        <v>0</v>
      </c>
    </row>
    <row r="1494" spans="1:17">
      <c r="A1494">
        <v>1493</v>
      </c>
      <c r="B1494" s="5">
        <v>45789</v>
      </c>
      <c r="C1494" t="s">
        <v>791</v>
      </c>
      <c r="D1494" t="s">
        <v>792</v>
      </c>
      <c r="E1494" t="s">
        <v>793</v>
      </c>
      <c r="F1494">
        <v>10</v>
      </c>
      <c r="G1494" t="s">
        <v>893</v>
      </c>
      <c r="H1494" t="s">
        <v>894</v>
      </c>
      <c r="I1494" t="s">
        <v>16</v>
      </c>
      <c r="J1494" t="s">
        <v>52</v>
      </c>
      <c r="K1494" t="s">
        <v>35</v>
      </c>
      <c r="L1494" s="6">
        <v>0</v>
      </c>
      <c r="M1494" s="6">
        <v>2700</v>
      </c>
      <c r="N1494" s="6">
        <v>2700</v>
      </c>
      <c r="O1494" s="6">
        <v>18641.55</v>
      </c>
      <c r="P1494" s="7">
        <v>0</v>
      </c>
      <c r="Q1494" s="6">
        <v>0</v>
      </c>
    </row>
    <row r="1495" spans="1:17">
      <c r="A1495">
        <v>1494</v>
      </c>
      <c r="B1495" s="5">
        <v>45789</v>
      </c>
      <c r="C1495" t="s">
        <v>791</v>
      </c>
      <c r="D1495" t="s">
        <v>792</v>
      </c>
      <c r="E1495" t="s">
        <v>793</v>
      </c>
      <c r="F1495">
        <v>10</v>
      </c>
      <c r="G1495" t="s">
        <v>253</v>
      </c>
      <c r="H1495" t="s">
        <v>72</v>
      </c>
      <c r="I1495" t="s">
        <v>16</v>
      </c>
      <c r="J1495" t="s">
        <v>52</v>
      </c>
      <c r="K1495" t="s">
        <v>35</v>
      </c>
      <c r="L1495" s="6">
        <v>0</v>
      </c>
      <c r="M1495" s="6">
        <v>5000</v>
      </c>
      <c r="N1495" s="6">
        <v>5000</v>
      </c>
      <c r="O1495" s="6">
        <v>23641.55</v>
      </c>
      <c r="P1495" s="7">
        <v>0</v>
      </c>
      <c r="Q1495" s="6">
        <v>0</v>
      </c>
    </row>
    <row r="1496" spans="1:17">
      <c r="A1496">
        <v>1495</v>
      </c>
      <c r="B1496" s="5">
        <v>45790</v>
      </c>
      <c r="C1496" t="s">
        <v>791</v>
      </c>
      <c r="D1496" t="s">
        <v>792</v>
      </c>
      <c r="E1496" t="s">
        <v>793</v>
      </c>
      <c r="F1496">
        <v>4</v>
      </c>
      <c r="G1496" t="s">
        <v>199</v>
      </c>
      <c r="H1496" t="s">
        <v>200</v>
      </c>
      <c r="I1496" t="s">
        <v>16</v>
      </c>
      <c r="J1496" t="s">
        <v>52</v>
      </c>
      <c r="K1496" t="s">
        <v>35</v>
      </c>
      <c r="L1496" s="6">
        <v>0</v>
      </c>
      <c r="M1496" s="6">
        <v>3000</v>
      </c>
      <c r="N1496" s="6">
        <v>3000</v>
      </c>
      <c r="O1496" s="6">
        <v>26641.55</v>
      </c>
      <c r="P1496" s="7">
        <v>0</v>
      </c>
      <c r="Q1496" s="6">
        <v>0</v>
      </c>
    </row>
    <row r="1497" spans="1:17">
      <c r="A1497">
        <v>1496</v>
      </c>
      <c r="B1497" s="5">
        <v>45790</v>
      </c>
      <c r="C1497" t="s">
        <v>791</v>
      </c>
      <c r="D1497" t="s">
        <v>792</v>
      </c>
      <c r="E1497" t="s">
        <v>793</v>
      </c>
      <c r="F1497">
        <v>5</v>
      </c>
      <c r="G1497" t="s">
        <v>415</v>
      </c>
      <c r="H1497" t="s">
        <v>416</v>
      </c>
      <c r="I1497" t="s">
        <v>16</v>
      </c>
      <c r="J1497" t="s">
        <v>52</v>
      </c>
      <c r="K1497" t="s">
        <v>35</v>
      </c>
      <c r="L1497" s="6">
        <v>0</v>
      </c>
      <c r="M1497" s="6">
        <v>84</v>
      </c>
      <c r="N1497" s="6">
        <v>84</v>
      </c>
      <c r="O1497" s="6">
        <v>26725.55</v>
      </c>
      <c r="P1497" s="7">
        <v>0</v>
      </c>
      <c r="Q1497" s="6">
        <v>0</v>
      </c>
    </row>
    <row r="1498" spans="1:17">
      <c r="A1498">
        <v>1497</v>
      </c>
      <c r="B1498" s="5">
        <v>45790</v>
      </c>
      <c r="C1498" t="s">
        <v>791</v>
      </c>
      <c r="D1498" t="s">
        <v>792</v>
      </c>
      <c r="E1498" t="s">
        <v>793</v>
      </c>
      <c r="F1498">
        <v>5</v>
      </c>
      <c r="G1498" t="s">
        <v>506</v>
      </c>
      <c r="H1498" t="s">
        <v>507</v>
      </c>
      <c r="I1498" t="s">
        <v>16</v>
      </c>
      <c r="J1498" t="s">
        <v>52</v>
      </c>
      <c r="K1498" t="s">
        <v>35</v>
      </c>
      <c r="L1498" s="6">
        <v>0</v>
      </c>
      <c r="M1498" s="6">
        <v>100</v>
      </c>
      <c r="N1498" s="6">
        <v>100</v>
      </c>
      <c r="O1498" s="6">
        <v>26825.55</v>
      </c>
      <c r="P1498" s="7">
        <v>0</v>
      </c>
      <c r="Q1498" s="6">
        <v>0</v>
      </c>
    </row>
    <row r="1499" spans="1:17">
      <c r="A1499">
        <v>1498</v>
      </c>
      <c r="B1499" s="5">
        <v>45790</v>
      </c>
      <c r="C1499" t="s">
        <v>791</v>
      </c>
      <c r="D1499" t="s">
        <v>792</v>
      </c>
      <c r="E1499" t="s">
        <v>793</v>
      </c>
      <c r="F1499">
        <v>5</v>
      </c>
      <c r="G1499" t="s">
        <v>201</v>
      </c>
      <c r="H1499" t="s">
        <v>100</v>
      </c>
      <c r="I1499" t="s">
        <v>16</v>
      </c>
      <c r="J1499" t="s">
        <v>52</v>
      </c>
      <c r="K1499" t="s">
        <v>35</v>
      </c>
      <c r="L1499" s="6">
        <v>0</v>
      </c>
      <c r="M1499" s="6">
        <v>1500</v>
      </c>
      <c r="N1499" s="6">
        <v>1500</v>
      </c>
      <c r="O1499" s="6">
        <v>28325.55</v>
      </c>
      <c r="P1499" s="7">
        <v>0</v>
      </c>
      <c r="Q1499" s="6">
        <v>0</v>
      </c>
    </row>
    <row r="1500" spans="1:17">
      <c r="A1500">
        <v>1499</v>
      </c>
      <c r="B1500" s="5">
        <v>45790</v>
      </c>
      <c r="C1500" t="s">
        <v>791</v>
      </c>
      <c r="D1500" t="s">
        <v>792</v>
      </c>
      <c r="E1500" t="s">
        <v>793</v>
      </c>
      <c r="F1500">
        <v>5</v>
      </c>
      <c r="G1500" t="s">
        <v>249</v>
      </c>
      <c r="H1500" t="s">
        <v>250</v>
      </c>
      <c r="I1500" t="s">
        <v>16</v>
      </c>
      <c r="J1500" t="s">
        <v>52</v>
      </c>
      <c r="K1500" t="s">
        <v>35</v>
      </c>
      <c r="L1500" s="6">
        <v>0</v>
      </c>
      <c r="M1500" s="6">
        <v>5000</v>
      </c>
      <c r="N1500" s="6">
        <v>5000</v>
      </c>
      <c r="O1500" s="6">
        <v>33325.550000000003</v>
      </c>
      <c r="P1500" s="7">
        <v>0</v>
      </c>
      <c r="Q1500" s="6">
        <v>0</v>
      </c>
    </row>
    <row r="1501" spans="1:17">
      <c r="A1501">
        <v>1500</v>
      </c>
      <c r="B1501" s="5">
        <v>45790</v>
      </c>
      <c r="C1501" t="s">
        <v>791</v>
      </c>
      <c r="D1501" t="s">
        <v>792</v>
      </c>
      <c r="E1501" t="s">
        <v>793</v>
      </c>
      <c r="F1501">
        <v>5</v>
      </c>
      <c r="G1501" t="s">
        <v>199</v>
      </c>
      <c r="H1501" t="s">
        <v>200</v>
      </c>
      <c r="I1501" t="s">
        <v>16</v>
      </c>
      <c r="J1501" t="s">
        <v>52</v>
      </c>
      <c r="K1501" t="s">
        <v>35</v>
      </c>
      <c r="L1501" s="6">
        <v>0</v>
      </c>
      <c r="M1501" s="6">
        <v>2000</v>
      </c>
      <c r="N1501" s="6">
        <v>2000</v>
      </c>
      <c r="O1501" s="6">
        <v>35325.550000000003</v>
      </c>
      <c r="P1501" s="7">
        <v>0</v>
      </c>
      <c r="Q1501" s="6">
        <v>0</v>
      </c>
    </row>
    <row r="1502" spans="1:17">
      <c r="A1502">
        <v>1501</v>
      </c>
      <c r="B1502" s="5">
        <v>45790</v>
      </c>
      <c r="C1502" t="s">
        <v>791</v>
      </c>
      <c r="D1502" t="s">
        <v>792</v>
      </c>
      <c r="E1502" t="s">
        <v>793</v>
      </c>
      <c r="F1502">
        <v>5</v>
      </c>
      <c r="G1502" t="s">
        <v>385</v>
      </c>
      <c r="H1502" t="s">
        <v>386</v>
      </c>
      <c r="I1502" t="s">
        <v>16</v>
      </c>
      <c r="J1502" t="s">
        <v>52</v>
      </c>
      <c r="K1502" t="s">
        <v>35</v>
      </c>
      <c r="L1502" s="6">
        <v>0</v>
      </c>
      <c r="M1502" s="6">
        <v>250</v>
      </c>
      <c r="N1502" s="6">
        <v>250</v>
      </c>
      <c r="O1502" s="6">
        <v>35575.550000000003</v>
      </c>
      <c r="P1502" s="7">
        <v>0</v>
      </c>
      <c r="Q1502" s="6">
        <v>0</v>
      </c>
    </row>
    <row r="1503" spans="1:17">
      <c r="A1503">
        <v>1502</v>
      </c>
      <c r="B1503" s="5">
        <v>45790</v>
      </c>
      <c r="C1503" t="s">
        <v>791</v>
      </c>
      <c r="D1503" t="s">
        <v>792</v>
      </c>
      <c r="E1503" t="s">
        <v>793</v>
      </c>
      <c r="F1503">
        <v>5</v>
      </c>
      <c r="G1503" t="s">
        <v>780</v>
      </c>
      <c r="H1503" t="s">
        <v>781</v>
      </c>
      <c r="I1503" t="s">
        <v>16</v>
      </c>
      <c r="J1503" t="s">
        <v>52</v>
      </c>
      <c r="K1503" t="s">
        <v>35</v>
      </c>
      <c r="L1503" s="6">
        <v>0</v>
      </c>
      <c r="M1503" s="6">
        <v>1000</v>
      </c>
      <c r="N1503" s="6">
        <v>1000</v>
      </c>
      <c r="O1503" s="6">
        <v>36575.550000000003</v>
      </c>
      <c r="P1503" s="7">
        <v>0</v>
      </c>
      <c r="Q1503" s="6">
        <v>0</v>
      </c>
    </row>
    <row r="1504" spans="1:17">
      <c r="A1504">
        <v>1503</v>
      </c>
      <c r="B1504" s="5">
        <v>45790</v>
      </c>
      <c r="C1504" t="s">
        <v>791</v>
      </c>
      <c r="D1504" t="s">
        <v>792</v>
      </c>
      <c r="E1504" t="s">
        <v>793</v>
      </c>
      <c r="F1504">
        <v>5</v>
      </c>
      <c r="G1504" t="s">
        <v>278</v>
      </c>
      <c r="H1504" t="s">
        <v>89</v>
      </c>
      <c r="I1504" t="s">
        <v>16</v>
      </c>
      <c r="J1504" t="s">
        <v>52</v>
      </c>
      <c r="K1504" t="s">
        <v>35</v>
      </c>
      <c r="L1504" s="6">
        <v>0</v>
      </c>
      <c r="M1504" s="6">
        <v>330</v>
      </c>
      <c r="N1504" s="6">
        <v>330</v>
      </c>
      <c r="O1504" s="6">
        <v>36905.550000000003</v>
      </c>
      <c r="P1504" s="7">
        <v>0</v>
      </c>
      <c r="Q1504" s="6">
        <v>0</v>
      </c>
    </row>
    <row r="1505" spans="1:17">
      <c r="A1505">
        <v>1504</v>
      </c>
      <c r="B1505" s="5">
        <v>45790</v>
      </c>
      <c r="C1505" t="s">
        <v>791</v>
      </c>
      <c r="D1505" t="s">
        <v>792</v>
      </c>
      <c r="E1505" t="s">
        <v>793</v>
      </c>
      <c r="F1505">
        <v>5</v>
      </c>
      <c r="G1505" t="s">
        <v>199</v>
      </c>
      <c r="H1505" t="s">
        <v>200</v>
      </c>
      <c r="I1505" t="s">
        <v>16</v>
      </c>
      <c r="J1505" t="s">
        <v>52</v>
      </c>
      <c r="K1505" t="s">
        <v>35</v>
      </c>
      <c r="L1505" s="6">
        <v>0</v>
      </c>
      <c r="M1505" s="6">
        <v>2000</v>
      </c>
      <c r="N1505" s="6">
        <v>2000</v>
      </c>
      <c r="O1505" s="6">
        <v>38905.550000000003</v>
      </c>
      <c r="P1505" s="7">
        <v>0</v>
      </c>
      <c r="Q1505" s="6">
        <v>0</v>
      </c>
    </row>
    <row r="1506" spans="1:17">
      <c r="A1506">
        <v>1505</v>
      </c>
      <c r="B1506" s="5">
        <v>45790</v>
      </c>
      <c r="C1506" t="s">
        <v>791</v>
      </c>
      <c r="D1506" t="s">
        <v>792</v>
      </c>
      <c r="E1506" t="s">
        <v>793</v>
      </c>
      <c r="F1506">
        <v>5</v>
      </c>
      <c r="G1506" t="s">
        <v>199</v>
      </c>
      <c r="H1506" t="s">
        <v>200</v>
      </c>
      <c r="I1506" t="s">
        <v>16</v>
      </c>
      <c r="J1506" t="s">
        <v>52</v>
      </c>
      <c r="K1506" t="s">
        <v>35</v>
      </c>
      <c r="L1506" s="6">
        <v>0</v>
      </c>
      <c r="M1506" s="6">
        <v>1000</v>
      </c>
      <c r="N1506" s="6">
        <v>1000</v>
      </c>
      <c r="O1506" s="6">
        <v>39905.550000000003</v>
      </c>
      <c r="P1506" s="7">
        <v>0</v>
      </c>
      <c r="Q1506" s="6">
        <v>0</v>
      </c>
    </row>
    <row r="1507" spans="1:17">
      <c r="A1507">
        <v>1506</v>
      </c>
      <c r="B1507" s="5">
        <v>45790</v>
      </c>
      <c r="C1507" t="s">
        <v>791</v>
      </c>
      <c r="D1507" t="s">
        <v>792</v>
      </c>
      <c r="E1507" t="s">
        <v>793</v>
      </c>
      <c r="F1507">
        <v>5</v>
      </c>
      <c r="G1507" t="s">
        <v>689</v>
      </c>
      <c r="H1507" t="s">
        <v>690</v>
      </c>
      <c r="I1507" t="s">
        <v>16</v>
      </c>
      <c r="J1507" t="s">
        <v>52</v>
      </c>
      <c r="K1507" t="s">
        <v>35</v>
      </c>
      <c r="L1507" s="6">
        <v>0</v>
      </c>
      <c r="M1507" s="6">
        <v>1000</v>
      </c>
      <c r="N1507" s="6">
        <v>1000</v>
      </c>
      <c r="O1507" s="6">
        <v>40905.550000000003</v>
      </c>
      <c r="P1507" s="7">
        <v>0</v>
      </c>
      <c r="Q1507" s="6">
        <v>0</v>
      </c>
    </row>
    <row r="1508" spans="1:17">
      <c r="A1508">
        <v>1507</v>
      </c>
      <c r="B1508" s="5">
        <v>45790</v>
      </c>
      <c r="C1508" t="s">
        <v>791</v>
      </c>
      <c r="D1508" t="s">
        <v>792</v>
      </c>
      <c r="E1508" t="s">
        <v>793</v>
      </c>
      <c r="F1508">
        <v>5</v>
      </c>
      <c r="G1508" t="s">
        <v>199</v>
      </c>
      <c r="H1508" t="s">
        <v>200</v>
      </c>
      <c r="I1508" t="s">
        <v>16</v>
      </c>
      <c r="J1508" t="s">
        <v>52</v>
      </c>
      <c r="K1508" t="s">
        <v>35</v>
      </c>
      <c r="L1508" s="6">
        <v>0</v>
      </c>
      <c r="M1508" s="6">
        <v>1000</v>
      </c>
      <c r="N1508" s="6">
        <v>1000</v>
      </c>
      <c r="O1508" s="6">
        <v>41905.550000000003</v>
      </c>
      <c r="P1508" s="7">
        <v>0</v>
      </c>
      <c r="Q1508" s="6">
        <v>0</v>
      </c>
    </row>
    <row r="1509" spans="1:17">
      <c r="A1509">
        <v>1508</v>
      </c>
      <c r="B1509" s="5">
        <v>45790</v>
      </c>
      <c r="C1509" t="s">
        <v>791</v>
      </c>
      <c r="D1509" t="s">
        <v>792</v>
      </c>
      <c r="E1509" t="s">
        <v>793</v>
      </c>
      <c r="F1509">
        <v>5</v>
      </c>
      <c r="G1509" t="s">
        <v>895</v>
      </c>
      <c r="H1509" t="s">
        <v>66</v>
      </c>
      <c r="I1509" t="s">
        <v>22</v>
      </c>
      <c r="J1509" t="s">
        <v>67</v>
      </c>
      <c r="K1509" t="s">
        <v>34</v>
      </c>
      <c r="L1509" s="6">
        <v>15800</v>
      </c>
      <c r="M1509" s="6">
        <v>0</v>
      </c>
      <c r="N1509" s="6">
        <v>-15800</v>
      </c>
      <c r="O1509" s="6">
        <v>26105.55</v>
      </c>
      <c r="P1509" s="7">
        <v>0</v>
      </c>
      <c r="Q1509" s="6">
        <v>0</v>
      </c>
    </row>
    <row r="1510" spans="1:17">
      <c r="A1510">
        <v>1509</v>
      </c>
      <c r="B1510" s="5">
        <v>45790</v>
      </c>
      <c r="C1510" t="s">
        <v>791</v>
      </c>
      <c r="D1510" t="s">
        <v>792</v>
      </c>
      <c r="E1510" t="s">
        <v>793</v>
      </c>
      <c r="F1510">
        <v>5</v>
      </c>
      <c r="G1510" t="s">
        <v>896</v>
      </c>
      <c r="H1510" t="s">
        <v>66</v>
      </c>
      <c r="I1510" t="s">
        <v>22</v>
      </c>
      <c r="J1510" t="s">
        <v>67</v>
      </c>
      <c r="K1510" t="s">
        <v>34</v>
      </c>
      <c r="L1510" s="6">
        <v>275</v>
      </c>
      <c r="M1510" s="6">
        <v>0</v>
      </c>
      <c r="N1510" s="6">
        <v>-275</v>
      </c>
      <c r="O1510" s="6">
        <v>25830.55</v>
      </c>
      <c r="P1510" s="7">
        <v>0</v>
      </c>
      <c r="Q1510" s="6">
        <v>0</v>
      </c>
    </row>
    <row r="1511" spans="1:17">
      <c r="A1511">
        <v>1510</v>
      </c>
      <c r="B1511" s="5">
        <v>45790</v>
      </c>
      <c r="C1511" t="s">
        <v>791</v>
      </c>
      <c r="D1511" t="s">
        <v>792</v>
      </c>
      <c r="E1511" t="s">
        <v>793</v>
      </c>
      <c r="F1511">
        <v>5</v>
      </c>
      <c r="G1511" t="s">
        <v>659</v>
      </c>
      <c r="H1511" t="s">
        <v>660</v>
      </c>
      <c r="I1511" t="s">
        <v>16</v>
      </c>
      <c r="J1511" t="s">
        <v>52</v>
      </c>
      <c r="K1511" t="s">
        <v>35</v>
      </c>
      <c r="L1511" s="6">
        <v>0</v>
      </c>
      <c r="M1511" s="6">
        <v>150</v>
      </c>
      <c r="N1511" s="6">
        <v>150</v>
      </c>
      <c r="O1511" s="6">
        <v>25980.55</v>
      </c>
      <c r="P1511" s="7">
        <v>0</v>
      </c>
      <c r="Q1511" s="6">
        <v>0</v>
      </c>
    </row>
    <row r="1512" spans="1:17">
      <c r="A1512">
        <v>1511</v>
      </c>
      <c r="B1512" s="5">
        <v>45790</v>
      </c>
      <c r="C1512" t="s">
        <v>791</v>
      </c>
      <c r="D1512" t="s">
        <v>792</v>
      </c>
      <c r="E1512" t="s">
        <v>793</v>
      </c>
      <c r="F1512">
        <v>10</v>
      </c>
      <c r="G1512" t="s">
        <v>199</v>
      </c>
      <c r="H1512" t="s">
        <v>200</v>
      </c>
      <c r="I1512" t="s">
        <v>16</v>
      </c>
      <c r="J1512" t="s">
        <v>52</v>
      </c>
      <c r="K1512" t="s">
        <v>35</v>
      </c>
      <c r="L1512" s="6">
        <v>0</v>
      </c>
      <c r="M1512" s="6">
        <v>3000</v>
      </c>
      <c r="N1512" s="6">
        <v>3000</v>
      </c>
      <c r="O1512" s="6">
        <v>26641.55</v>
      </c>
      <c r="P1512" s="7">
        <v>0</v>
      </c>
      <c r="Q1512" s="6">
        <v>0</v>
      </c>
    </row>
    <row r="1513" spans="1:17">
      <c r="A1513">
        <v>1512</v>
      </c>
      <c r="B1513" s="5">
        <v>45790</v>
      </c>
      <c r="C1513" t="s">
        <v>791</v>
      </c>
      <c r="D1513" t="s">
        <v>792</v>
      </c>
      <c r="E1513" t="s">
        <v>793</v>
      </c>
      <c r="F1513">
        <v>11</v>
      </c>
      <c r="G1513" t="s">
        <v>415</v>
      </c>
      <c r="H1513" t="s">
        <v>416</v>
      </c>
      <c r="I1513" t="s">
        <v>16</v>
      </c>
      <c r="J1513" t="s">
        <v>52</v>
      </c>
      <c r="K1513" t="s">
        <v>35</v>
      </c>
      <c r="L1513" s="6">
        <v>0</v>
      </c>
      <c r="M1513" s="6">
        <v>84</v>
      </c>
      <c r="N1513" s="6">
        <v>84</v>
      </c>
      <c r="O1513" s="6">
        <v>26725.55</v>
      </c>
      <c r="P1513" s="7">
        <v>0</v>
      </c>
      <c r="Q1513" s="6">
        <v>0</v>
      </c>
    </row>
    <row r="1514" spans="1:17">
      <c r="A1514">
        <v>1513</v>
      </c>
      <c r="B1514" s="5">
        <v>45790</v>
      </c>
      <c r="C1514" t="s">
        <v>791</v>
      </c>
      <c r="D1514" t="s">
        <v>792</v>
      </c>
      <c r="E1514" t="s">
        <v>793</v>
      </c>
      <c r="F1514">
        <v>11</v>
      </c>
      <c r="G1514" t="s">
        <v>506</v>
      </c>
      <c r="H1514" t="s">
        <v>507</v>
      </c>
      <c r="I1514" t="s">
        <v>16</v>
      </c>
      <c r="J1514" t="s">
        <v>52</v>
      </c>
      <c r="K1514" t="s">
        <v>35</v>
      </c>
      <c r="L1514" s="6">
        <v>0</v>
      </c>
      <c r="M1514" s="6">
        <v>100</v>
      </c>
      <c r="N1514" s="6">
        <v>100</v>
      </c>
      <c r="O1514" s="6">
        <v>26825.55</v>
      </c>
      <c r="P1514" s="7">
        <v>0</v>
      </c>
      <c r="Q1514" s="6">
        <v>0</v>
      </c>
    </row>
    <row r="1515" spans="1:17">
      <c r="A1515">
        <v>1514</v>
      </c>
      <c r="B1515" s="5">
        <v>45790</v>
      </c>
      <c r="C1515" t="s">
        <v>791</v>
      </c>
      <c r="D1515" t="s">
        <v>792</v>
      </c>
      <c r="E1515" t="s">
        <v>793</v>
      </c>
      <c r="F1515">
        <v>11</v>
      </c>
      <c r="G1515" t="s">
        <v>201</v>
      </c>
      <c r="H1515" t="s">
        <v>100</v>
      </c>
      <c r="I1515" t="s">
        <v>16</v>
      </c>
      <c r="J1515" t="s">
        <v>52</v>
      </c>
      <c r="K1515" t="s">
        <v>35</v>
      </c>
      <c r="L1515" s="6">
        <v>0</v>
      </c>
      <c r="M1515" s="6">
        <v>1500</v>
      </c>
      <c r="N1515" s="6">
        <v>1500</v>
      </c>
      <c r="O1515" s="6">
        <v>28325.55</v>
      </c>
      <c r="P1515" s="7">
        <v>0</v>
      </c>
      <c r="Q1515" s="6">
        <v>0</v>
      </c>
    </row>
    <row r="1516" spans="1:17">
      <c r="A1516">
        <v>1515</v>
      </c>
      <c r="B1516" s="5">
        <v>45790</v>
      </c>
      <c r="C1516" t="s">
        <v>791</v>
      </c>
      <c r="D1516" t="s">
        <v>792</v>
      </c>
      <c r="E1516" t="s">
        <v>793</v>
      </c>
      <c r="F1516">
        <v>11</v>
      </c>
      <c r="G1516" t="s">
        <v>249</v>
      </c>
      <c r="H1516" t="s">
        <v>250</v>
      </c>
      <c r="I1516" t="s">
        <v>16</v>
      </c>
      <c r="J1516" t="s">
        <v>52</v>
      </c>
      <c r="K1516" t="s">
        <v>35</v>
      </c>
      <c r="L1516" s="6">
        <v>0</v>
      </c>
      <c r="M1516" s="6">
        <v>5000</v>
      </c>
      <c r="N1516" s="6">
        <v>5000</v>
      </c>
      <c r="O1516" s="6">
        <v>33325.550000000003</v>
      </c>
      <c r="P1516" s="7">
        <v>0</v>
      </c>
      <c r="Q1516" s="6">
        <v>0</v>
      </c>
    </row>
    <row r="1517" spans="1:17">
      <c r="A1517">
        <v>1516</v>
      </c>
      <c r="B1517" s="5">
        <v>45790</v>
      </c>
      <c r="C1517" t="s">
        <v>791</v>
      </c>
      <c r="D1517" t="s">
        <v>792</v>
      </c>
      <c r="E1517" t="s">
        <v>793</v>
      </c>
      <c r="F1517">
        <v>11</v>
      </c>
      <c r="G1517" t="s">
        <v>199</v>
      </c>
      <c r="H1517" t="s">
        <v>200</v>
      </c>
      <c r="I1517" t="s">
        <v>16</v>
      </c>
      <c r="J1517" t="s">
        <v>52</v>
      </c>
      <c r="K1517" t="s">
        <v>35</v>
      </c>
      <c r="L1517" s="6">
        <v>0</v>
      </c>
      <c r="M1517" s="6">
        <v>2000</v>
      </c>
      <c r="N1517" s="6">
        <v>2000</v>
      </c>
      <c r="O1517" s="6">
        <v>35325.550000000003</v>
      </c>
      <c r="P1517" s="7">
        <v>0</v>
      </c>
      <c r="Q1517" s="6">
        <v>0</v>
      </c>
    </row>
    <row r="1518" spans="1:17">
      <c r="A1518">
        <v>1517</v>
      </c>
      <c r="B1518" s="5">
        <v>45790</v>
      </c>
      <c r="C1518" t="s">
        <v>791</v>
      </c>
      <c r="D1518" t="s">
        <v>792</v>
      </c>
      <c r="E1518" t="s">
        <v>793</v>
      </c>
      <c r="F1518">
        <v>11</v>
      </c>
      <c r="G1518" t="s">
        <v>385</v>
      </c>
      <c r="H1518" t="s">
        <v>386</v>
      </c>
      <c r="I1518" t="s">
        <v>16</v>
      </c>
      <c r="J1518" t="s">
        <v>52</v>
      </c>
      <c r="K1518" t="s">
        <v>35</v>
      </c>
      <c r="L1518" s="6">
        <v>0</v>
      </c>
      <c r="M1518" s="6">
        <v>250</v>
      </c>
      <c r="N1518" s="6">
        <v>250</v>
      </c>
      <c r="O1518" s="6">
        <v>35575.550000000003</v>
      </c>
      <c r="P1518" s="7">
        <v>0</v>
      </c>
      <c r="Q1518" s="6">
        <v>0</v>
      </c>
    </row>
    <row r="1519" spans="1:17">
      <c r="A1519">
        <v>1518</v>
      </c>
      <c r="B1519" s="5">
        <v>45790</v>
      </c>
      <c r="C1519" t="s">
        <v>791</v>
      </c>
      <c r="D1519" t="s">
        <v>792</v>
      </c>
      <c r="E1519" t="s">
        <v>793</v>
      </c>
      <c r="F1519">
        <v>11</v>
      </c>
      <c r="G1519" t="s">
        <v>780</v>
      </c>
      <c r="H1519" t="s">
        <v>781</v>
      </c>
      <c r="I1519" t="s">
        <v>16</v>
      </c>
      <c r="J1519" t="s">
        <v>52</v>
      </c>
      <c r="K1519" t="s">
        <v>35</v>
      </c>
      <c r="L1519" s="6">
        <v>0</v>
      </c>
      <c r="M1519" s="6">
        <v>1000</v>
      </c>
      <c r="N1519" s="6">
        <v>1000</v>
      </c>
      <c r="O1519" s="6">
        <v>36575.550000000003</v>
      </c>
      <c r="P1519" s="7">
        <v>0</v>
      </c>
      <c r="Q1519" s="6">
        <v>0</v>
      </c>
    </row>
    <row r="1520" spans="1:17">
      <c r="A1520">
        <v>1519</v>
      </c>
      <c r="B1520" s="5">
        <v>45790</v>
      </c>
      <c r="C1520" t="s">
        <v>791</v>
      </c>
      <c r="D1520" t="s">
        <v>792</v>
      </c>
      <c r="E1520" t="s">
        <v>793</v>
      </c>
      <c r="F1520">
        <v>11</v>
      </c>
      <c r="G1520" t="s">
        <v>278</v>
      </c>
      <c r="H1520" t="s">
        <v>89</v>
      </c>
      <c r="I1520" t="s">
        <v>16</v>
      </c>
      <c r="J1520" t="s">
        <v>52</v>
      </c>
      <c r="K1520" t="s">
        <v>35</v>
      </c>
      <c r="L1520" s="6">
        <v>0</v>
      </c>
      <c r="M1520" s="6">
        <v>330</v>
      </c>
      <c r="N1520" s="6">
        <v>330</v>
      </c>
      <c r="O1520" s="6">
        <v>36905.550000000003</v>
      </c>
      <c r="P1520" s="7">
        <v>0</v>
      </c>
      <c r="Q1520" s="6">
        <v>0</v>
      </c>
    </row>
    <row r="1521" spans="1:17">
      <c r="A1521">
        <v>1520</v>
      </c>
      <c r="B1521" s="5">
        <v>45790</v>
      </c>
      <c r="C1521" t="s">
        <v>791</v>
      </c>
      <c r="D1521" t="s">
        <v>792</v>
      </c>
      <c r="E1521" t="s">
        <v>793</v>
      </c>
      <c r="F1521">
        <v>11</v>
      </c>
      <c r="G1521" t="s">
        <v>199</v>
      </c>
      <c r="H1521" t="s">
        <v>200</v>
      </c>
      <c r="I1521" t="s">
        <v>16</v>
      </c>
      <c r="J1521" t="s">
        <v>52</v>
      </c>
      <c r="K1521" t="s">
        <v>35</v>
      </c>
      <c r="L1521" s="6">
        <v>0</v>
      </c>
      <c r="M1521" s="6">
        <v>2000</v>
      </c>
      <c r="N1521" s="6">
        <v>2000</v>
      </c>
      <c r="O1521" s="6">
        <v>38905.550000000003</v>
      </c>
      <c r="P1521" s="7">
        <v>0</v>
      </c>
      <c r="Q1521" s="6">
        <v>0</v>
      </c>
    </row>
    <row r="1522" spans="1:17">
      <c r="A1522">
        <v>1521</v>
      </c>
      <c r="B1522" s="5">
        <v>45790</v>
      </c>
      <c r="C1522" t="s">
        <v>791</v>
      </c>
      <c r="D1522" t="s">
        <v>792</v>
      </c>
      <c r="E1522" t="s">
        <v>793</v>
      </c>
      <c r="F1522">
        <v>11</v>
      </c>
      <c r="G1522" t="s">
        <v>199</v>
      </c>
      <c r="H1522" t="s">
        <v>200</v>
      </c>
      <c r="I1522" t="s">
        <v>16</v>
      </c>
      <c r="J1522" t="s">
        <v>52</v>
      </c>
      <c r="K1522" t="s">
        <v>35</v>
      </c>
      <c r="L1522" s="6">
        <v>0</v>
      </c>
      <c r="M1522" s="6">
        <v>1000</v>
      </c>
      <c r="N1522" s="6">
        <v>1000</v>
      </c>
      <c r="O1522" s="6">
        <v>39905.550000000003</v>
      </c>
      <c r="P1522" s="7">
        <v>0</v>
      </c>
      <c r="Q1522" s="6">
        <v>0</v>
      </c>
    </row>
    <row r="1523" spans="1:17">
      <c r="A1523">
        <v>1522</v>
      </c>
      <c r="B1523" s="5">
        <v>45790</v>
      </c>
      <c r="C1523" t="s">
        <v>791</v>
      </c>
      <c r="D1523" t="s">
        <v>792</v>
      </c>
      <c r="E1523" t="s">
        <v>793</v>
      </c>
      <c r="F1523">
        <v>11</v>
      </c>
      <c r="G1523" t="s">
        <v>689</v>
      </c>
      <c r="H1523" t="s">
        <v>690</v>
      </c>
      <c r="I1523" t="s">
        <v>16</v>
      </c>
      <c r="J1523" t="s">
        <v>52</v>
      </c>
      <c r="K1523" t="s">
        <v>35</v>
      </c>
      <c r="L1523" s="6">
        <v>0</v>
      </c>
      <c r="M1523" s="6">
        <v>1000</v>
      </c>
      <c r="N1523" s="6">
        <v>1000</v>
      </c>
      <c r="O1523" s="6">
        <v>40905.550000000003</v>
      </c>
      <c r="P1523" s="7">
        <v>0</v>
      </c>
      <c r="Q1523" s="6">
        <v>0</v>
      </c>
    </row>
    <row r="1524" spans="1:17">
      <c r="A1524">
        <v>1523</v>
      </c>
      <c r="B1524" s="5">
        <v>45790</v>
      </c>
      <c r="C1524" t="s">
        <v>791</v>
      </c>
      <c r="D1524" t="s">
        <v>792</v>
      </c>
      <c r="E1524" t="s">
        <v>793</v>
      </c>
      <c r="F1524">
        <v>11</v>
      </c>
      <c r="G1524" t="s">
        <v>199</v>
      </c>
      <c r="H1524" t="s">
        <v>200</v>
      </c>
      <c r="I1524" t="s">
        <v>16</v>
      </c>
      <c r="J1524" t="s">
        <v>52</v>
      </c>
      <c r="K1524" t="s">
        <v>35</v>
      </c>
      <c r="L1524" s="6">
        <v>0</v>
      </c>
      <c r="M1524" s="6">
        <v>1000</v>
      </c>
      <c r="N1524" s="6">
        <v>1000</v>
      </c>
      <c r="O1524" s="6">
        <v>41905.550000000003</v>
      </c>
      <c r="P1524" s="7">
        <v>0</v>
      </c>
      <c r="Q1524" s="6">
        <v>0</v>
      </c>
    </row>
    <row r="1525" spans="1:17">
      <c r="A1525">
        <v>1524</v>
      </c>
      <c r="B1525" s="5">
        <v>45790</v>
      </c>
      <c r="C1525" t="s">
        <v>791</v>
      </c>
      <c r="D1525" t="s">
        <v>792</v>
      </c>
      <c r="E1525" t="s">
        <v>793</v>
      </c>
      <c r="F1525">
        <v>11</v>
      </c>
      <c r="G1525" t="s">
        <v>895</v>
      </c>
      <c r="H1525" t="s">
        <v>66</v>
      </c>
      <c r="I1525" t="s">
        <v>22</v>
      </c>
      <c r="J1525" t="s">
        <v>67</v>
      </c>
      <c r="K1525" t="s">
        <v>34</v>
      </c>
      <c r="L1525" s="6">
        <v>15800</v>
      </c>
      <c r="M1525" s="6">
        <v>0</v>
      </c>
      <c r="N1525" s="6">
        <v>-15800</v>
      </c>
      <c r="O1525" s="6">
        <v>26105.55</v>
      </c>
      <c r="P1525" s="7">
        <v>0</v>
      </c>
      <c r="Q1525" s="6">
        <v>0</v>
      </c>
    </row>
    <row r="1526" spans="1:17">
      <c r="A1526">
        <v>1525</v>
      </c>
      <c r="B1526" s="5">
        <v>45790</v>
      </c>
      <c r="C1526" t="s">
        <v>791</v>
      </c>
      <c r="D1526" t="s">
        <v>792</v>
      </c>
      <c r="E1526" t="s">
        <v>793</v>
      </c>
      <c r="F1526">
        <v>11</v>
      </c>
      <c r="G1526" t="s">
        <v>896</v>
      </c>
      <c r="H1526" t="s">
        <v>66</v>
      </c>
      <c r="I1526" t="s">
        <v>22</v>
      </c>
      <c r="J1526" t="s">
        <v>67</v>
      </c>
      <c r="K1526" t="s">
        <v>34</v>
      </c>
      <c r="L1526" s="6">
        <v>275</v>
      </c>
      <c r="M1526" s="6">
        <v>0</v>
      </c>
      <c r="N1526" s="6">
        <v>-275</v>
      </c>
      <c r="O1526" s="6">
        <v>25830.55</v>
      </c>
      <c r="P1526" s="7">
        <v>0</v>
      </c>
      <c r="Q1526" s="6">
        <v>0</v>
      </c>
    </row>
    <row r="1527" spans="1:17">
      <c r="A1527">
        <v>1526</v>
      </c>
      <c r="B1527" s="5">
        <v>45790</v>
      </c>
      <c r="C1527" t="s">
        <v>791</v>
      </c>
      <c r="D1527" t="s">
        <v>792</v>
      </c>
      <c r="E1527" t="s">
        <v>793</v>
      </c>
      <c r="F1527">
        <v>11</v>
      </c>
      <c r="G1527" t="s">
        <v>659</v>
      </c>
      <c r="H1527" t="s">
        <v>660</v>
      </c>
      <c r="I1527" t="s">
        <v>16</v>
      </c>
      <c r="J1527" t="s">
        <v>52</v>
      </c>
      <c r="K1527" t="s">
        <v>35</v>
      </c>
      <c r="L1527" s="6">
        <v>0</v>
      </c>
      <c r="M1527" s="6">
        <v>150</v>
      </c>
      <c r="N1527" s="6">
        <v>150</v>
      </c>
      <c r="O1527" s="6">
        <v>25980.55</v>
      </c>
      <c r="P1527" s="7">
        <v>0</v>
      </c>
      <c r="Q1527" s="6">
        <v>0</v>
      </c>
    </row>
    <row r="1528" spans="1:17">
      <c r="A1528">
        <v>1527</v>
      </c>
      <c r="B1528" s="5">
        <v>45791</v>
      </c>
      <c r="C1528" t="s">
        <v>791</v>
      </c>
      <c r="D1528" t="s">
        <v>792</v>
      </c>
      <c r="E1528" t="s">
        <v>793</v>
      </c>
      <c r="F1528">
        <v>5</v>
      </c>
      <c r="G1528" t="s">
        <v>897</v>
      </c>
      <c r="H1528" t="s">
        <v>66</v>
      </c>
      <c r="I1528" t="s">
        <v>22</v>
      </c>
      <c r="J1528" t="s">
        <v>67</v>
      </c>
      <c r="K1528" t="s">
        <v>34</v>
      </c>
      <c r="L1528" s="6">
        <v>4750</v>
      </c>
      <c r="M1528" s="6">
        <v>0</v>
      </c>
      <c r="N1528" s="6">
        <v>-4750</v>
      </c>
      <c r="O1528" s="6">
        <v>21230.55</v>
      </c>
      <c r="P1528" s="7">
        <v>0</v>
      </c>
      <c r="Q1528" s="6">
        <v>0</v>
      </c>
    </row>
    <row r="1529" spans="1:17">
      <c r="A1529">
        <v>1528</v>
      </c>
      <c r="B1529" s="5">
        <v>45791</v>
      </c>
      <c r="C1529" t="s">
        <v>791</v>
      </c>
      <c r="D1529" t="s">
        <v>792</v>
      </c>
      <c r="E1529" t="s">
        <v>793</v>
      </c>
      <c r="F1529">
        <v>5</v>
      </c>
      <c r="G1529" t="s">
        <v>898</v>
      </c>
      <c r="H1529" t="s">
        <v>66</v>
      </c>
      <c r="I1529" t="s">
        <v>22</v>
      </c>
      <c r="J1529" t="s">
        <v>67</v>
      </c>
      <c r="K1529" t="s">
        <v>34</v>
      </c>
      <c r="L1529" s="6">
        <v>242</v>
      </c>
      <c r="M1529" s="6">
        <v>0</v>
      </c>
      <c r="N1529" s="6">
        <v>-242</v>
      </c>
      <c r="O1529" s="6">
        <v>20988.55</v>
      </c>
      <c r="P1529" s="7">
        <v>0</v>
      </c>
      <c r="Q1529" s="6">
        <v>0</v>
      </c>
    </row>
    <row r="1530" spans="1:17">
      <c r="A1530">
        <v>1529</v>
      </c>
      <c r="B1530" s="5">
        <v>45791</v>
      </c>
      <c r="C1530" t="s">
        <v>791</v>
      </c>
      <c r="D1530" t="s">
        <v>792</v>
      </c>
      <c r="E1530" t="s">
        <v>793</v>
      </c>
      <c r="F1530">
        <v>5</v>
      </c>
      <c r="G1530" t="s">
        <v>899</v>
      </c>
      <c r="H1530" t="s">
        <v>66</v>
      </c>
      <c r="I1530" t="s">
        <v>22</v>
      </c>
      <c r="J1530" t="s">
        <v>67</v>
      </c>
      <c r="K1530" t="s">
        <v>34</v>
      </c>
      <c r="L1530" s="6">
        <v>247</v>
      </c>
      <c r="M1530" s="6">
        <v>0</v>
      </c>
      <c r="N1530" s="6">
        <v>-247</v>
      </c>
      <c r="O1530" s="6">
        <v>20741.55</v>
      </c>
      <c r="P1530" s="7">
        <v>0</v>
      </c>
      <c r="Q1530" s="6">
        <v>0</v>
      </c>
    </row>
    <row r="1531" spans="1:17">
      <c r="A1531">
        <v>1530</v>
      </c>
      <c r="B1531" s="5">
        <v>45791</v>
      </c>
      <c r="C1531" t="s">
        <v>791</v>
      </c>
      <c r="D1531" t="s">
        <v>792</v>
      </c>
      <c r="E1531" t="s">
        <v>793</v>
      </c>
      <c r="F1531">
        <v>5</v>
      </c>
      <c r="G1531" t="s">
        <v>900</v>
      </c>
      <c r="I1531" t="s">
        <v>16</v>
      </c>
      <c r="J1531" t="s">
        <v>52</v>
      </c>
      <c r="K1531" t="s">
        <v>35</v>
      </c>
      <c r="L1531" s="6">
        <v>0</v>
      </c>
      <c r="M1531" s="6">
        <v>19</v>
      </c>
      <c r="N1531" s="6">
        <v>19</v>
      </c>
      <c r="O1531" s="6">
        <v>20760.55</v>
      </c>
      <c r="P1531" s="7">
        <v>0</v>
      </c>
      <c r="Q1531" s="6">
        <v>0</v>
      </c>
    </row>
    <row r="1532" spans="1:17">
      <c r="A1532">
        <v>1531</v>
      </c>
      <c r="B1532" s="5">
        <v>45791</v>
      </c>
      <c r="C1532" t="s">
        <v>791</v>
      </c>
      <c r="D1532" t="s">
        <v>792</v>
      </c>
      <c r="E1532" t="s">
        <v>793</v>
      </c>
      <c r="F1532">
        <v>5</v>
      </c>
      <c r="G1532" t="s">
        <v>199</v>
      </c>
      <c r="H1532" t="s">
        <v>200</v>
      </c>
      <c r="I1532" t="s">
        <v>16</v>
      </c>
      <c r="J1532" t="s">
        <v>52</v>
      </c>
      <c r="K1532" t="s">
        <v>35</v>
      </c>
      <c r="L1532" s="6">
        <v>0</v>
      </c>
      <c r="M1532" s="6">
        <v>1000</v>
      </c>
      <c r="N1532" s="6">
        <v>1000</v>
      </c>
      <c r="O1532" s="6">
        <v>21760.55</v>
      </c>
      <c r="P1532" s="7">
        <v>0</v>
      </c>
      <c r="Q1532" s="6">
        <v>0</v>
      </c>
    </row>
    <row r="1533" spans="1:17">
      <c r="A1533">
        <v>1532</v>
      </c>
      <c r="B1533" s="5">
        <v>45791</v>
      </c>
      <c r="C1533" t="s">
        <v>791</v>
      </c>
      <c r="D1533" t="s">
        <v>792</v>
      </c>
      <c r="E1533" t="s">
        <v>793</v>
      </c>
      <c r="F1533">
        <v>5</v>
      </c>
      <c r="G1533" t="s">
        <v>691</v>
      </c>
      <c r="H1533" t="s">
        <v>692</v>
      </c>
      <c r="I1533" t="s">
        <v>16</v>
      </c>
      <c r="J1533" t="s">
        <v>52</v>
      </c>
      <c r="K1533" t="s">
        <v>35</v>
      </c>
      <c r="L1533" s="6">
        <v>0</v>
      </c>
      <c r="M1533" s="6">
        <v>20</v>
      </c>
      <c r="N1533" s="6">
        <v>20</v>
      </c>
      <c r="O1533" s="6">
        <v>21780.55</v>
      </c>
      <c r="P1533" s="7">
        <v>0</v>
      </c>
      <c r="Q1533" s="6">
        <v>0</v>
      </c>
    </row>
    <row r="1534" spans="1:17">
      <c r="A1534">
        <v>1533</v>
      </c>
      <c r="B1534" s="5">
        <v>45791</v>
      </c>
      <c r="C1534" t="s">
        <v>791</v>
      </c>
      <c r="D1534" t="s">
        <v>792</v>
      </c>
      <c r="E1534" t="s">
        <v>793</v>
      </c>
      <c r="F1534">
        <v>5</v>
      </c>
      <c r="G1534" t="s">
        <v>201</v>
      </c>
      <c r="H1534" t="s">
        <v>100</v>
      </c>
      <c r="I1534" t="s">
        <v>16</v>
      </c>
      <c r="J1534" t="s">
        <v>52</v>
      </c>
      <c r="K1534" t="s">
        <v>35</v>
      </c>
      <c r="L1534" s="6">
        <v>0</v>
      </c>
      <c r="M1534" s="6">
        <v>1350</v>
      </c>
      <c r="N1534" s="6">
        <v>1350</v>
      </c>
      <c r="O1534" s="6">
        <v>23130.55</v>
      </c>
      <c r="P1534" s="7">
        <v>0</v>
      </c>
      <c r="Q1534" s="6">
        <v>0</v>
      </c>
    </row>
    <row r="1535" spans="1:17">
      <c r="A1535">
        <v>1534</v>
      </c>
      <c r="B1535" s="5">
        <v>45791</v>
      </c>
      <c r="C1535" t="s">
        <v>791</v>
      </c>
      <c r="D1535" t="s">
        <v>792</v>
      </c>
      <c r="E1535" t="s">
        <v>793</v>
      </c>
      <c r="F1535">
        <v>5</v>
      </c>
      <c r="G1535" t="s">
        <v>659</v>
      </c>
      <c r="H1535" t="s">
        <v>660</v>
      </c>
      <c r="I1535" t="s">
        <v>16</v>
      </c>
      <c r="J1535" t="s">
        <v>52</v>
      </c>
      <c r="K1535" t="s">
        <v>35</v>
      </c>
      <c r="L1535" s="6">
        <v>0</v>
      </c>
      <c r="M1535" s="6">
        <v>50</v>
      </c>
      <c r="N1535" s="6">
        <v>50</v>
      </c>
      <c r="O1535" s="6">
        <v>23180.55</v>
      </c>
      <c r="P1535" s="7">
        <v>0</v>
      </c>
      <c r="Q1535" s="6">
        <v>0</v>
      </c>
    </row>
    <row r="1536" spans="1:17">
      <c r="A1536">
        <v>1535</v>
      </c>
      <c r="B1536" s="5">
        <v>45791</v>
      </c>
      <c r="C1536" t="s">
        <v>791</v>
      </c>
      <c r="D1536" t="s">
        <v>792</v>
      </c>
      <c r="E1536" t="s">
        <v>793</v>
      </c>
      <c r="F1536">
        <v>5</v>
      </c>
      <c r="G1536" t="s">
        <v>901</v>
      </c>
      <c r="H1536" t="s">
        <v>902</v>
      </c>
      <c r="I1536" t="s">
        <v>16</v>
      </c>
      <c r="J1536" t="s">
        <v>52</v>
      </c>
      <c r="K1536" t="s">
        <v>35</v>
      </c>
      <c r="L1536" s="6">
        <v>0</v>
      </c>
      <c r="M1536" s="6">
        <v>850</v>
      </c>
      <c r="N1536" s="6">
        <v>850</v>
      </c>
      <c r="O1536" s="6">
        <v>24030.55</v>
      </c>
      <c r="P1536" s="7">
        <v>0</v>
      </c>
      <c r="Q1536" s="6">
        <v>0</v>
      </c>
    </row>
    <row r="1537" spans="1:17">
      <c r="A1537">
        <v>1536</v>
      </c>
      <c r="B1537" s="5">
        <v>45791</v>
      </c>
      <c r="C1537" t="s">
        <v>791</v>
      </c>
      <c r="D1537" t="s">
        <v>792</v>
      </c>
      <c r="E1537" t="s">
        <v>793</v>
      </c>
      <c r="F1537">
        <v>5</v>
      </c>
      <c r="G1537" t="s">
        <v>201</v>
      </c>
      <c r="H1537" t="s">
        <v>100</v>
      </c>
      <c r="I1537" t="s">
        <v>16</v>
      </c>
      <c r="J1537" t="s">
        <v>52</v>
      </c>
      <c r="K1537" t="s">
        <v>35</v>
      </c>
      <c r="L1537" s="6">
        <v>0</v>
      </c>
      <c r="M1537" s="6">
        <v>650</v>
      </c>
      <c r="N1537" s="6">
        <v>650</v>
      </c>
      <c r="O1537" s="6">
        <v>24680.55</v>
      </c>
      <c r="P1537" s="7">
        <v>0</v>
      </c>
      <c r="Q1537" s="6">
        <v>0</v>
      </c>
    </row>
    <row r="1538" spans="1:17">
      <c r="A1538">
        <v>1537</v>
      </c>
      <c r="B1538" s="5">
        <v>45791</v>
      </c>
      <c r="C1538" t="s">
        <v>791</v>
      </c>
      <c r="D1538" t="s">
        <v>792</v>
      </c>
      <c r="E1538" t="s">
        <v>793</v>
      </c>
      <c r="F1538">
        <v>5</v>
      </c>
      <c r="G1538" t="s">
        <v>903</v>
      </c>
      <c r="H1538" t="s">
        <v>904</v>
      </c>
      <c r="I1538" t="s">
        <v>16</v>
      </c>
      <c r="J1538" t="s">
        <v>52</v>
      </c>
      <c r="K1538" t="s">
        <v>35</v>
      </c>
      <c r="L1538" s="6">
        <v>0</v>
      </c>
      <c r="M1538" s="6">
        <v>200</v>
      </c>
      <c r="N1538" s="6">
        <v>200</v>
      </c>
      <c r="O1538" s="6">
        <v>24880.55</v>
      </c>
      <c r="P1538" s="7">
        <v>0</v>
      </c>
      <c r="Q1538" s="6">
        <v>0</v>
      </c>
    </row>
    <row r="1539" spans="1:17">
      <c r="A1539">
        <v>1538</v>
      </c>
      <c r="B1539" s="5">
        <v>45791</v>
      </c>
      <c r="C1539" t="s">
        <v>791</v>
      </c>
      <c r="D1539" t="s">
        <v>792</v>
      </c>
      <c r="E1539" t="s">
        <v>793</v>
      </c>
      <c r="F1539">
        <v>5</v>
      </c>
      <c r="G1539" t="s">
        <v>903</v>
      </c>
      <c r="H1539" t="s">
        <v>904</v>
      </c>
      <c r="I1539" t="s">
        <v>16</v>
      </c>
      <c r="J1539" t="s">
        <v>52</v>
      </c>
      <c r="K1539" t="s">
        <v>35</v>
      </c>
      <c r="L1539" s="6">
        <v>0</v>
      </c>
      <c r="M1539" s="6">
        <v>100</v>
      </c>
      <c r="N1539" s="6">
        <v>100</v>
      </c>
      <c r="O1539" s="6">
        <v>24980.55</v>
      </c>
      <c r="P1539" s="7">
        <v>0</v>
      </c>
      <c r="Q1539" s="6">
        <v>0</v>
      </c>
    </row>
    <row r="1540" spans="1:17">
      <c r="A1540">
        <v>1539</v>
      </c>
      <c r="B1540" s="5">
        <v>45791</v>
      </c>
      <c r="C1540" t="s">
        <v>791</v>
      </c>
      <c r="D1540" t="s">
        <v>792</v>
      </c>
      <c r="E1540" t="s">
        <v>793</v>
      </c>
      <c r="F1540">
        <v>5</v>
      </c>
      <c r="G1540" t="s">
        <v>264</v>
      </c>
      <c r="H1540" t="s">
        <v>265</v>
      </c>
      <c r="I1540" t="s">
        <v>16</v>
      </c>
      <c r="J1540" t="s">
        <v>52</v>
      </c>
      <c r="K1540" t="s">
        <v>35</v>
      </c>
      <c r="L1540" s="6">
        <v>0</v>
      </c>
      <c r="M1540" s="6">
        <v>100</v>
      </c>
      <c r="N1540" s="6">
        <v>100</v>
      </c>
      <c r="O1540" s="6">
        <v>25080.55</v>
      </c>
      <c r="P1540" s="7">
        <v>0</v>
      </c>
      <c r="Q1540" s="6">
        <v>0</v>
      </c>
    </row>
    <row r="1541" spans="1:17">
      <c r="A1541">
        <v>1540</v>
      </c>
      <c r="B1541" s="5">
        <v>45791</v>
      </c>
      <c r="C1541" t="s">
        <v>791</v>
      </c>
      <c r="D1541" t="s">
        <v>792</v>
      </c>
      <c r="E1541" t="s">
        <v>793</v>
      </c>
      <c r="F1541">
        <v>5</v>
      </c>
      <c r="G1541" t="s">
        <v>199</v>
      </c>
      <c r="H1541" t="s">
        <v>200</v>
      </c>
      <c r="I1541" t="s">
        <v>16</v>
      </c>
      <c r="J1541" t="s">
        <v>52</v>
      </c>
      <c r="K1541" t="s">
        <v>35</v>
      </c>
      <c r="L1541" s="6">
        <v>0</v>
      </c>
      <c r="M1541" s="6">
        <v>1000</v>
      </c>
      <c r="N1541" s="6">
        <v>1000</v>
      </c>
      <c r="O1541" s="6">
        <v>26080.55</v>
      </c>
      <c r="P1541" s="7">
        <v>0</v>
      </c>
      <c r="Q1541" s="6">
        <v>0</v>
      </c>
    </row>
    <row r="1542" spans="1:17">
      <c r="A1542">
        <v>1541</v>
      </c>
      <c r="B1542" s="5">
        <v>45791</v>
      </c>
      <c r="C1542" t="s">
        <v>791</v>
      </c>
      <c r="D1542" t="s">
        <v>792</v>
      </c>
      <c r="E1542" t="s">
        <v>793</v>
      </c>
      <c r="F1542">
        <v>5</v>
      </c>
      <c r="G1542" t="s">
        <v>905</v>
      </c>
      <c r="H1542" t="s">
        <v>66</v>
      </c>
      <c r="I1542" t="s">
        <v>22</v>
      </c>
      <c r="J1542" t="s">
        <v>67</v>
      </c>
      <c r="K1542" t="s">
        <v>34</v>
      </c>
      <c r="L1542" s="6">
        <v>107</v>
      </c>
      <c r="M1542" s="6">
        <v>0</v>
      </c>
      <c r="N1542" s="6">
        <v>-107</v>
      </c>
      <c r="O1542" s="6">
        <v>25973.55</v>
      </c>
      <c r="P1542" s="7">
        <v>0</v>
      </c>
      <c r="Q1542" s="6">
        <v>0</v>
      </c>
    </row>
    <row r="1543" spans="1:17">
      <c r="A1543">
        <v>1542</v>
      </c>
      <c r="B1543" s="5">
        <v>45791</v>
      </c>
      <c r="C1543" t="s">
        <v>791</v>
      </c>
      <c r="D1543" t="s">
        <v>792</v>
      </c>
      <c r="E1543" t="s">
        <v>793</v>
      </c>
      <c r="F1543">
        <v>5</v>
      </c>
      <c r="G1543" t="s">
        <v>906</v>
      </c>
      <c r="H1543" t="s">
        <v>66</v>
      </c>
      <c r="I1543" t="s">
        <v>22</v>
      </c>
      <c r="J1543" t="s">
        <v>67</v>
      </c>
      <c r="K1543" t="s">
        <v>34</v>
      </c>
      <c r="L1543" s="6">
        <v>1000</v>
      </c>
      <c r="M1543" s="6">
        <v>0</v>
      </c>
      <c r="N1543" s="6">
        <v>-1000</v>
      </c>
      <c r="O1543" s="6">
        <v>24973.55</v>
      </c>
      <c r="P1543" s="7">
        <v>0</v>
      </c>
      <c r="Q1543" s="6">
        <v>0</v>
      </c>
    </row>
    <row r="1544" spans="1:17">
      <c r="A1544">
        <v>1543</v>
      </c>
      <c r="B1544" s="5">
        <v>45791</v>
      </c>
      <c r="C1544" t="s">
        <v>791</v>
      </c>
      <c r="D1544" t="s">
        <v>792</v>
      </c>
      <c r="E1544" t="s">
        <v>793</v>
      </c>
      <c r="F1544">
        <v>5</v>
      </c>
      <c r="G1544" t="s">
        <v>907</v>
      </c>
      <c r="H1544" t="s">
        <v>66</v>
      </c>
      <c r="I1544" t="s">
        <v>22</v>
      </c>
      <c r="J1544" t="s">
        <v>67</v>
      </c>
      <c r="K1544" t="s">
        <v>34</v>
      </c>
      <c r="L1544" s="6">
        <v>1500</v>
      </c>
      <c r="M1544" s="6">
        <v>0</v>
      </c>
      <c r="N1544" s="6">
        <v>-1500</v>
      </c>
      <c r="O1544" s="6">
        <v>23473.55</v>
      </c>
      <c r="P1544" s="7">
        <v>0</v>
      </c>
      <c r="Q1544" s="6">
        <v>0</v>
      </c>
    </row>
    <row r="1545" spans="1:17">
      <c r="A1545">
        <v>1544</v>
      </c>
      <c r="B1545" s="5">
        <v>45791</v>
      </c>
      <c r="C1545" t="s">
        <v>791</v>
      </c>
      <c r="D1545" t="s">
        <v>792</v>
      </c>
      <c r="E1545" t="s">
        <v>793</v>
      </c>
      <c r="F1545">
        <v>5</v>
      </c>
      <c r="G1545" t="s">
        <v>908</v>
      </c>
      <c r="H1545" t="s">
        <v>66</v>
      </c>
      <c r="I1545" t="s">
        <v>22</v>
      </c>
      <c r="J1545" t="s">
        <v>67</v>
      </c>
      <c r="K1545" t="s">
        <v>34</v>
      </c>
      <c r="L1545" s="6">
        <v>3503.21</v>
      </c>
      <c r="M1545" s="6">
        <v>0</v>
      </c>
      <c r="N1545" s="6">
        <v>-3503.21</v>
      </c>
      <c r="O1545" s="6">
        <v>19970.34</v>
      </c>
      <c r="P1545" s="7">
        <v>0</v>
      </c>
      <c r="Q1545" s="6">
        <v>0</v>
      </c>
    </row>
    <row r="1546" spans="1:17">
      <c r="A1546">
        <v>1545</v>
      </c>
      <c r="B1546" s="5">
        <v>45791</v>
      </c>
      <c r="C1546" t="s">
        <v>791</v>
      </c>
      <c r="D1546" t="s">
        <v>792</v>
      </c>
      <c r="E1546" t="s">
        <v>793</v>
      </c>
      <c r="F1546">
        <v>11</v>
      </c>
      <c r="G1546" t="s">
        <v>897</v>
      </c>
      <c r="H1546" t="s">
        <v>66</v>
      </c>
      <c r="I1546" t="s">
        <v>22</v>
      </c>
      <c r="J1546" t="s">
        <v>67</v>
      </c>
      <c r="K1546" t="s">
        <v>34</v>
      </c>
      <c r="L1546" s="6">
        <v>4750</v>
      </c>
      <c r="M1546" s="6">
        <v>0</v>
      </c>
      <c r="N1546" s="6">
        <v>-4750</v>
      </c>
      <c r="O1546" s="6">
        <v>21230.55</v>
      </c>
      <c r="P1546" s="7">
        <v>0</v>
      </c>
      <c r="Q1546" s="6">
        <v>0</v>
      </c>
    </row>
    <row r="1547" spans="1:17">
      <c r="A1547">
        <v>1546</v>
      </c>
      <c r="B1547" s="5">
        <v>45791</v>
      </c>
      <c r="C1547" t="s">
        <v>791</v>
      </c>
      <c r="D1547" t="s">
        <v>792</v>
      </c>
      <c r="E1547" t="s">
        <v>793</v>
      </c>
      <c r="F1547">
        <v>11</v>
      </c>
      <c r="G1547" t="s">
        <v>898</v>
      </c>
      <c r="H1547" t="s">
        <v>66</v>
      </c>
      <c r="I1547" t="s">
        <v>22</v>
      </c>
      <c r="J1547" t="s">
        <v>67</v>
      </c>
      <c r="K1547" t="s">
        <v>34</v>
      </c>
      <c r="L1547" s="6">
        <v>242</v>
      </c>
      <c r="M1547" s="6">
        <v>0</v>
      </c>
      <c r="N1547" s="6">
        <v>-242</v>
      </c>
      <c r="O1547" s="6">
        <v>20988.55</v>
      </c>
      <c r="P1547" s="7">
        <v>0</v>
      </c>
      <c r="Q1547" s="6">
        <v>0</v>
      </c>
    </row>
    <row r="1548" spans="1:17">
      <c r="A1548">
        <v>1547</v>
      </c>
      <c r="B1548" s="5">
        <v>45791</v>
      </c>
      <c r="C1548" t="s">
        <v>791</v>
      </c>
      <c r="D1548" t="s">
        <v>792</v>
      </c>
      <c r="E1548" t="s">
        <v>793</v>
      </c>
      <c r="F1548">
        <v>11</v>
      </c>
      <c r="G1548" t="s">
        <v>899</v>
      </c>
      <c r="H1548" t="s">
        <v>66</v>
      </c>
      <c r="I1548" t="s">
        <v>22</v>
      </c>
      <c r="J1548" t="s">
        <v>67</v>
      </c>
      <c r="K1548" t="s">
        <v>34</v>
      </c>
      <c r="L1548" s="6">
        <v>247</v>
      </c>
      <c r="M1548" s="6">
        <v>0</v>
      </c>
      <c r="N1548" s="6">
        <v>-247</v>
      </c>
      <c r="O1548" s="6">
        <v>20741.55</v>
      </c>
      <c r="P1548" s="7">
        <v>0</v>
      </c>
      <c r="Q1548" s="6">
        <v>0</v>
      </c>
    </row>
    <row r="1549" spans="1:17">
      <c r="A1549">
        <v>1548</v>
      </c>
      <c r="B1549" s="5">
        <v>45791</v>
      </c>
      <c r="C1549" t="s">
        <v>791</v>
      </c>
      <c r="D1549" t="s">
        <v>792</v>
      </c>
      <c r="E1549" t="s">
        <v>793</v>
      </c>
      <c r="F1549">
        <v>11</v>
      </c>
      <c r="G1549" t="s">
        <v>900</v>
      </c>
      <c r="I1549" t="s">
        <v>16</v>
      </c>
      <c r="J1549" t="s">
        <v>52</v>
      </c>
      <c r="K1549" t="s">
        <v>35</v>
      </c>
      <c r="L1549" s="6">
        <v>0</v>
      </c>
      <c r="M1549" s="6">
        <v>19</v>
      </c>
      <c r="N1549" s="6">
        <v>19</v>
      </c>
      <c r="O1549" s="6">
        <v>20760.55</v>
      </c>
      <c r="P1549" s="7">
        <v>0</v>
      </c>
      <c r="Q1549" s="6">
        <v>0</v>
      </c>
    </row>
    <row r="1550" spans="1:17">
      <c r="A1550">
        <v>1549</v>
      </c>
      <c r="B1550" s="5">
        <v>45791</v>
      </c>
      <c r="C1550" t="s">
        <v>791</v>
      </c>
      <c r="D1550" t="s">
        <v>792</v>
      </c>
      <c r="E1550" t="s">
        <v>793</v>
      </c>
      <c r="F1550">
        <v>11</v>
      </c>
      <c r="G1550" t="s">
        <v>199</v>
      </c>
      <c r="H1550" t="s">
        <v>200</v>
      </c>
      <c r="I1550" t="s">
        <v>16</v>
      </c>
      <c r="J1550" t="s">
        <v>52</v>
      </c>
      <c r="K1550" t="s">
        <v>35</v>
      </c>
      <c r="L1550" s="6">
        <v>0</v>
      </c>
      <c r="M1550" s="6">
        <v>1000</v>
      </c>
      <c r="N1550" s="6">
        <v>1000</v>
      </c>
      <c r="O1550" s="6">
        <v>21760.55</v>
      </c>
      <c r="P1550" s="7">
        <v>0</v>
      </c>
      <c r="Q1550" s="6">
        <v>0</v>
      </c>
    </row>
    <row r="1551" spans="1:17">
      <c r="A1551">
        <v>1550</v>
      </c>
      <c r="B1551" s="5">
        <v>45791</v>
      </c>
      <c r="C1551" t="s">
        <v>791</v>
      </c>
      <c r="D1551" t="s">
        <v>792</v>
      </c>
      <c r="E1551" t="s">
        <v>793</v>
      </c>
      <c r="F1551">
        <v>11</v>
      </c>
      <c r="G1551" t="s">
        <v>691</v>
      </c>
      <c r="H1551" t="s">
        <v>692</v>
      </c>
      <c r="I1551" t="s">
        <v>16</v>
      </c>
      <c r="J1551" t="s">
        <v>52</v>
      </c>
      <c r="K1551" t="s">
        <v>35</v>
      </c>
      <c r="L1551" s="6">
        <v>0</v>
      </c>
      <c r="M1551" s="6">
        <v>20</v>
      </c>
      <c r="N1551" s="6">
        <v>20</v>
      </c>
      <c r="O1551" s="6">
        <v>21780.55</v>
      </c>
      <c r="P1551" s="7">
        <v>0</v>
      </c>
      <c r="Q1551" s="6">
        <v>0</v>
      </c>
    </row>
    <row r="1552" spans="1:17">
      <c r="A1552">
        <v>1551</v>
      </c>
      <c r="B1552" s="5">
        <v>45791</v>
      </c>
      <c r="C1552" t="s">
        <v>791</v>
      </c>
      <c r="D1552" t="s">
        <v>792</v>
      </c>
      <c r="E1552" t="s">
        <v>793</v>
      </c>
      <c r="F1552">
        <v>11</v>
      </c>
      <c r="G1552" t="s">
        <v>201</v>
      </c>
      <c r="H1552" t="s">
        <v>100</v>
      </c>
      <c r="I1552" t="s">
        <v>16</v>
      </c>
      <c r="J1552" t="s">
        <v>52</v>
      </c>
      <c r="K1552" t="s">
        <v>35</v>
      </c>
      <c r="L1552" s="6">
        <v>0</v>
      </c>
      <c r="M1552" s="6">
        <v>1350</v>
      </c>
      <c r="N1552" s="6">
        <v>1350</v>
      </c>
      <c r="O1552" s="6">
        <v>23130.55</v>
      </c>
      <c r="P1552" s="7">
        <v>0</v>
      </c>
      <c r="Q1552" s="6">
        <v>0</v>
      </c>
    </row>
    <row r="1553" spans="1:17">
      <c r="A1553">
        <v>1552</v>
      </c>
      <c r="B1553" s="5">
        <v>45791</v>
      </c>
      <c r="C1553" t="s">
        <v>791</v>
      </c>
      <c r="D1553" t="s">
        <v>792</v>
      </c>
      <c r="E1553" t="s">
        <v>793</v>
      </c>
      <c r="F1553">
        <v>11</v>
      </c>
      <c r="G1553" t="s">
        <v>659</v>
      </c>
      <c r="H1553" t="s">
        <v>660</v>
      </c>
      <c r="I1553" t="s">
        <v>16</v>
      </c>
      <c r="J1553" t="s">
        <v>52</v>
      </c>
      <c r="K1553" t="s">
        <v>35</v>
      </c>
      <c r="L1553" s="6">
        <v>0</v>
      </c>
      <c r="M1553" s="6">
        <v>50</v>
      </c>
      <c r="N1553" s="6">
        <v>50</v>
      </c>
      <c r="O1553" s="6">
        <v>23180.55</v>
      </c>
      <c r="P1553" s="7">
        <v>0</v>
      </c>
      <c r="Q1553" s="6">
        <v>0</v>
      </c>
    </row>
    <row r="1554" spans="1:17">
      <c r="A1554">
        <v>1553</v>
      </c>
      <c r="B1554" s="5">
        <v>45791</v>
      </c>
      <c r="C1554" t="s">
        <v>791</v>
      </c>
      <c r="D1554" t="s">
        <v>792</v>
      </c>
      <c r="E1554" t="s">
        <v>793</v>
      </c>
      <c r="F1554">
        <v>11</v>
      </c>
      <c r="G1554" t="s">
        <v>901</v>
      </c>
      <c r="H1554" t="s">
        <v>902</v>
      </c>
      <c r="I1554" t="s">
        <v>16</v>
      </c>
      <c r="J1554" t="s">
        <v>52</v>
      </c>
      <c r="K1554" t="s">
        <v>35</v>
      </c>
      <c r="L1554" s="6">
        <v>0</v>
      </c>
      <c r="M1554" s="6">
        <v>850</v>
      </c>
      <c r="N1554" s="6">
        <v>850</v>
      </c>
      <c r="O1554" s="6">
        <v>24030.55</v>
      </c>
      <c r="P1554" s="7">
        <v>0</v>
      </c>
      <c r="Q1554" s="6">
        <v>0</v>
      </c>
    </row>
    <row r="1555" spans="1:17">
      <c r="A1555">
        <v>1554</v>
      </c>
      <c r="B1555" s="5">
        <v>45791</v>
      </c>
      <c r="C1555" t="s">
        <v>791</v>
      </c>
      <c r="D1555" t="s">
        <v>792</v>
      </c>
      <c r="E1555" t="s">
        <v>793</v>
      </c>
      <c r="F1555">
        <v>11</v>
      </c>
      <c r="G1555" t="s">
        <v>201</v>
      </c>
      <c r="H1555" t="s">
        <v>100</v>
      </c>
      <c r="I1555" t="s">
        <v>16</v>
      </c>
      <c r="J1555" t="s">
        <v>52</v>
      </c>
      <c r="K1555" t="s">
        <v>35</v>
      </c>
      <c r="L1555" s="6">
        <v>0</v>
      </c>
      <c r="M1555" s="6">
        <v>650</v>
      </c>
      <c r="N1555" s="6">
        <v>650</v>
      </c>
      <c r="O1555" s="6">
        <v>24680.55</v>
      </c>
      <c r="P1555" s="7">
        <v>0</v>
      </c>
      <c r="Q1555" s="6">
        <v>0</v>
      </c>
    </row>
    <row r="1556" spans="1:17">
      <c r="A1556">
        <v>1555</v>
      </c>
      <c r="B1556" s="5">
        <v>45791</v>
      </c>
      <c r="C1556" t="s">
        <v>791</v>
      </c>
      <c r="D1556" t="s">
        <v>792</v>
      </c>
      <c r="E1556" t="s">
        <v>793</v>
      </c>
      <c r="F1556">
        <v>11</v>
      </c>
      <c r="G1556" t="s">
        <v>903</v>
      </c>
      <c r="H1556" t="s">
        <v>904</v>
      </c>
      <c r="I1556" t="s">
        <v>16</v>
      </c>
      <c r="J1556" t="s">
        <v>52</v>
      </c>
      <c r="K1556" t="s">
        <v>35</v>
      </c>
      <c r="L1556" s="6">
        <v>0</v>
      </c>
      <c r="M1556" s="6">
        <v>200</v>
      </c>
      <c r="N1556" s="6">
        <v>200</v>
      </c>
      <c r="O1556" s="6">
        <v>24880.55</v>
      </c>
      <c r="P1556" s="7">
        <v>0</v>
      </c>
      <c r="Q1556" s="6">
        <v>0</v>
      </c>
    </row>
    <row r="1557" spans="1:17">
      <c r="A1557">
        <v>1556</v>
      </c>
      <c r="B1557" s="5">
        <v>45791</v>
      </c>
      <c r="C1557" t="s">
        <v>791</v>
      </c>
      <c r="D1557" t="s">
        <v>792</v>
      </c>
      <c r="E1557" t="s">
        <v>793</v>
      </c>
      <c r="F1557">
        <v>11</v>
      </c>
      <c r="G1557" t="s">
        <v>903</v>
      </c>
      <c r="H1557" t="s">
        <v>904</v>
      </c>
      <c r="I1557" t="s">
        <v>16</v>
      </c>
      <c r="J1557" t="s">
        <v>52</v>
      </c>
      <c r="K1557" t="s">
        <v>35</v>
      </c>
      <c r="L1557" s="6">
        <v>0</v>
      </c>
      <c r="M1557" s="6">
        <v>100</v>
      </c>
      <c r="N1557" s="6">
        <v>100</v>
      </c>
      <c r="O1557" s="6">
        <v>24980.55</v>
      </c>
      <c r="P1557" s="7">
        <v>0</v>
      </c>
      <c r="Q1557" s="6">
        <v>0</v>
      </c>
    </row>
    <row r="1558" spans="1:17">
      <c r="A1558">
        <v>1557</v>
      </c>
      <c r="B1558" s="5">
        <v>45791</v>
      </c>
      <c r="C1558" t="s">
        <v>791</v>
      </c>
      <c r="D1558" t="s">
        <v>792</v>
      </c>
      <c r="E1558" t="s">
        <v>793</v>
      </c>
      <c r="F1558">
        <v>11</v>
      </c>
      <c r="G1558" t="s">
        <v>264</v>
      </c>
      <c r="H1558" t="s">
        <v>265</v>
      </c>
      <c r="I1558" t="s">
        <v>16</v>
      </c>
      <c r="J1558" t="s">
        <v>52</v>
      </c>
      <c r="K1558" t="s">
        <v>35</v>
      </c>
      <c r="L1558" s="6">
        <v>0</v>
      </c>
      <c r="M1558" s="6">
        <v>100</v>
      </c>
      <c r="N1558" s="6">
        <v>100</v>
      </c>
      <c r="O1558" s="6">
        <v>25080.55</v>
      </c>
      <c r="P1558" s="7">
        <v>0</v>
      </c>
      <c r="Q1558" s="6">
        <v>0</v>
      </c>
    </row>
    <row r="1559" spans="1:17">
      <c r="A1559">
        <v>1558</v>
      </c>
      <c r="B1559" s="5">
        <v>45791</v>
      </c>
      <c r="C1559" t="s">
        <v>791</v>
      </c>
      <c r="D1559" t="s">
        <v>792</v>
      </c>
      <c r="E1559" t="s">
        <v>793</v>
      </c>
      <c r="F1559">
        <v>11</v>
      </c>
      <c r="G1559" t="s">
        <v>199</v>
      </c>
      <c r="H1559" t="s">
        <v>200</v>
      </c>
      <c r="I1559" t="s">
        <v>16</v>
      </c>
      <c r="J1559" t="s">
        <v>52</v>
      </c>
      <c r="K1559" t="s">
        <v>35</v>
      </c>
      <c r="L1559" s="6">
        <v>0</v>
      </c>
      <c r="M1559" s="6">
        <v>1000</v>
      </c>
      <c r="N1559" s="6">
        <v>1000</v>
      </c>
      <c r="O1559" s="6">
        <v>26080.55</v>
      </c>
      <c r="P1559" s="7">
        <v>0</v>
      </c>
      <c r="Q1559" s="6">
        <v>0</v>
      </c>
    </row>
    <row r="1560" spans="1:17">
      <c r="A1560">
        <v>1559</v>
      </c>
      <c r="B1560" s="5">
        <v>45791</v>
      </c>
      <c r="C1560" t="s">
        <v>791</v>
      </c>
      <c r="D1560" t="s">
        <v>792</v>
      </c>
      <c r="E1560" t="s">
        <v>793</v>
      </c>
      <c r="F1560">
        <v>11</v>
      </c>
      <c r="G1560" t="s">
        <v>905</v>
      </c>
      <c r="H1560" t="s">
        <v>66</v>
      </c>
      <c r="I1560" t="s">
        <v>22</v>
      </c>
      <c r="J1560" t="s">
        <v>67</v>
      </c>
      <c r="K1560" t="s">
        <v>34</v>
      </c>
      <c r="L1560" s="6">
        <v>107</v>
      </c>
      <c r="M1560" s="6">
        <v>0</v>
      </c>
      <c r="N1560" s="6">
        <v>-107</v>
      </c>
      <c r="O1560" s="6">
        <v>25973.55</v>
      </c>
      <c r="P1560" s="7">
        <v>0</v>
      </c>
      <c r="Q1560" s="6">
        <v>0</v>
      </c>
    </row>
    <row r="1561" spans="1:17">
      <c r="A1561">
        <v>1560</v>
      </c>
      <c r="B1561" s="5">
        <v>45791</v>
      </c>
      <c r="C1561" t="s">
        <v>791</v>
      </c>
      <c r="D1561" t="s">
        <v>792</v>
      </c>
      <c r="E1561" t="s">
        <v>793</v>
      </c>
      <c r="F1561">
        <v>11</v>
      </c>
      <c r="G1561" t="s">
        <v>906</v>
      </c>
      <c r="H1561" t="s">
        <v>66</v>
      </c>
      <c r="I1561" t="s">
        <v>22</v>
      </c>
      <c r="J1561" t="s">
        <v>67</v>
      </c>
      <c r="K1561" t="s">
        <v>34</v>
      </c>
      <c r="L1561" s="6">
        <v>1000</v>
      </c>
      <c r="M1561" s="6">
        <v>0</v>
      </c>
      <c r="N1561" s="6">
        <v>-1000</v>
      </c>
      <c r="O1561" s="6">
        <v>24973.55</v>
      </c>
      <c r="P1561" s="7">
        <v>0</v>
      </c>
      <c r="Q1561" s="6">
        <v>0</v>
      </c>
    </row>
    <row r="1562" spans="1:17">
      <c r="A1562">
        <v>1561</v>
      </c>
      <c r="B1562" s="5">
        <v>45791</v>
      </c>
      <c r="C1562" t="s">
        <v>791</v>
      </c>
      <c r="D1562" t="s">
        <v>792</v>
      </c>
      <c r="E1562" t="s">
        <v>793</v>
      </c>
      <c r="F1562">
        <v>11</v>
      </c>
      <c r="G1562" t="s">
        <v>907</v>
      </c>
      <c r="H1562" t="s">
        <v>66</v>
      </c>
      <c r="I1562" t="s">
        <v>22</v>
      </c>
      <c r="J1562" t="s">
        <v>67</v>
      </c>
      <c r="K1562" t="s">
        <v>34</v>
      </c>
      <c r="L1562" s="6">
        <v>1500</v>
      </c>
      <c r="M1562" s="6">
        <v>0</v>
      </c>
      <c r="N1562" s="6">
        <v>-1500</v>
      </c>
      <c r="O1562" s="6">
        <v>23473.55</v>
      </c>
      <c r="P1562" s="7">
        <v>0</v>
      </c>
      <c r="Q1562" s="6">
        <v>0</v>
      </c>
    </row>
    <row r="1563" spans="1:17">
      <c r="A1563">
        <v>1562</v>
      </c>
      <c r="B1563" s="5">
        <v>45791</v>
      </c>
      <c r="C1563" t="s">
        <v>791</v>
      </c>
      <c r="D1563" t="s">
        <v>792</v>
      </c>
      <c r="E1563" t="s">
        <v>793</v>
      </c>
      <c r="F1563">
        <v>11</v>
      </c>
      <c r="G1563" t="s">
        <v>908</v>
      </c>
      <c r="H1563" t="s">
        <v>66</v>
      </c>
      <c r="I1563" t="s">
        <v>22</v>
      </c>
      <c r="J1563" t="s">
        <v>67</v>
      </c>
      <c r="K1563" t="s">
        <v>34</v>
      </c>
      <c r="L1563" s="6">
        <v>3503.21</v>
      </c>
      <c r="M1563" s="6">
        <v>0</v>
      </c>
      <c r="N1563" s="6">
        <v>-3503.21</v>
      </c>
      <c r="O1563" s="6">
        <v>19970.34</v>
      </c>
      <c r="P1563" s="7">
        <v>0</v>
      </c>
      <c r="Q1563" s="6">
        <v>0</v>
      </c>
    </row>
    <row r="1564" spans="1:17">
      <c r="A1564">
        <v>1563</v>
      </c>
      <c r="B1564" s="5">
        <v>45792</v>
      </c>
      <c r="C1564" t="s">
        <v>791</v>
      </c>
      <c r="D1564" t="s">
        <v>792</v>
      </c>
      <c r="E1564" t="s">
        <v>793</v>
      </c>
      <c r="F1564">
        <v>5</v>
      </c>
      <c r="G1564" t="s">
        <v>909</v>
      </c>
      <c r="H1564" t="s">
        <v>910</v>
      </c>
      <c r="I1564" t="s">
        <v>16</v>
      </c>
      <c r="J1564" t="s">
        <v>52</v>
      </c>
      <c r="K1564" t="s">
        <v>35</v>
      </c>
      <c r="L1564" s="6">
        <v>0</v>
      </c>
      <c r="M1564" s="6">
        <v>20000</v>
      </c>
      <c r="N1564" s="6">
        <v>20000</v>
      </c>
      <c r="O1564" s="6">
        <v>39970.339999999997</v>
      </c>
      <c r="P1564" s="7">
        <v>0</v>
      </c>
      <c r="Q1564" s="6">
        <v>0</v>
      </c>
    </row>
    <row r="1565" spans="1:17">
      <c r="A1565">
        <v>1564</v>
      </c>
      <c r="B1565" s="5">
        <v>45792</v>
      </c>
      <c r="C1565" t="s">
        <v>791</v>
      </c>
      <c r="D1565" t="s">
        <v>792</v>
      </c>
      <c r="E1565" t="s">
        <v>793</v>
      </c>
      <c r="F1565">
        <v>5</v>
      </c>
      <c r="G1565" t="s">
        <v>911</v>
      </c>
      <c r="H1565" t="s">
        <v>912</v>
      </c>
      <c r="I1565" t="s">
        <v>16</v>
      </c>
      <c r="J1565" t="s">
        <v>52</v>
      </c>
      <c r="K1565" t="s">
        <v>35</v>
      </c>
      <c r="L1565" s="6">
        <v>0</v>
      </c>
      <c r="M1565" s="6">
        <v>1000</v>
      </c>
      <c r="N1565" s="6">
        <v>1000</v>
      </c>
      <c r="O1565" s="6">
        <v>40970.339999999997</v>
      </c>
      <c r="P1565" s="7">
        <v>0</v>
      </c>
      <c r="Q1565" s="6">
        <v>0</v>
      </c>
    </row>
    <row r="1566" spans="1:17">
      <c r="A1566">
        <v>1565</v>
      </c>
      <c r="B1566" s="5">
        <v>45792</v>
      </c>
      <c r="C1566" t="s">
        <v>791</v>
      </c>
      <c r="D1566" t="s">
        <v>792</v>
      </c>
      <c r="E1566" t="s">
        <v>793</v>
      </c>
      <c r="F1566">
        <v>5</v>
      </c>
      <c r="G1566" t="s">
        <v>903</v>
      </c>
      <c r="H1566" t="s">
        <v>904</v>
      </c>
      <c r="I1566" t="s">
        <v>16</v>
      </c>
      <c r="J1566" t="s">
        <v>52</v>
      </c>
      <c r="K1566" t="s">
        <v>35</v>
      </c>
      <c r="L1566" s="6">
        <v>0</v>
      </c>
      <c r="M1566" s="6">
        <v>250</v>
      </c>
      <c r="N1566" s="6">
        <v>250</v>
      </c>
      <c r="O1566" s="6">
        <v>41220.339999999997</v>
      </c>
      <c r="P1566" s="7">
        <v>0</v>
      </c>
      <c r="Q1566" s="6">
        <v>0</v>
      </c>
    </row>
    <row r="1567" spans="1:17">
      <c r="A1567">
        <v>1566</v>
      </c>
      <c r="B1567" s="5">
        <v>45792</v>
      </c>
      <c r="C1567" t="s">
        <v>791</v>
      </c>
      <c r="D1567" t="s">
        <v>792</v>
      </c>
      <c r="E1567" t="s">
        <v>793</v>
      </c>
      <c r="F1567">
        <v>5</v>
      </c>
      <c r="G1567" t="s">
        <v>201</v>
      </c>
      <c r="H1567" t="s">
        <v>100</v>
      </c>
      <c r="I1567" t="s">
        <v>16</v>
      </c>
      <c r="J1567" t="s">
        <v>52</v>
      </c>
      <c r="K1567" t="s">
        <v>35</v>
      </c>
      <c r="L1567" s="6">
        <v>0</v>
      </c>
      <c r="M1567" s="6">
        <v>800</v>
      </c>
      <c r="N1567" s="6">
        <v>800</v>
      </c>
      <c r="O1567" s="6">
        <v>42020.34</v>
      </c>
      <c r="P1567" s="7">
        <v>0</v>
      </c>
      <c r="Q1567" s="6">
        <v>0</v>
      </c>
    </row>
    <row r="1568" spans="1:17">
      <c r="A1568">
        <v>1567</v>
      </c>
      <c r="B1568" s="5">
        <v>45792</v>
      </c>
      <c r="C1568" t="s">
        <v>791</v>
      </c>
      <c r="D1568" t="s">
        <v>792</v>
      </c>
      <c r="E1568" t="s">
        <v>793</v>
      </c>
      <c r="F1568">
        <v>5</v>
      </c>
      <c r="G1568" t="s">
        <v>506</v>
      </c>
      <c r="H1568" t="s">
        <v>507</v>
      </c>
      <c r="I1568" t="s">
        <v>16</v>
      </c>
      <c r="J1568" t="s">
        <v>52</v>
      </c>
      <c r="K1568" t="s">
        <v>35</v>
      </c>
      <c r="L1568" s="6">
        <v>0</v>
      </c>
      <c r="M1568" s="6">
        <v>255</v>
      </c>
      <c r="N1568" s="6">
        <v>255</v>
      </c>
      <c r="O1568" s="6">
        <v>42275.34</v>
      </c>
      <c r="P1568" s="7">
        <v>0</v>
      </c>
      <c r="Q1568" s="6">
        <v>0</v>
      </c>
    </row>
    <row r="1569" spans="1:17">
      <c r="A1569">
        <v>1568</v>
      </c>
      <c r="B1569" s="5">
        <v>45792</v>
      </c>
      <c r="C1569" t="s">
        <v>791</v>
      </c>
      <c r="D1569" t="s">
        <v>792</v>
      </c>
      <c r="E1569" t="s">
        <v>793</v>
      </c>
      <c r="F1569">
        <v>5</v>
      </c>
      <c r="G1569" t="s">
        <v>689</v>
      </c>
      <c r="H1569" t="s">
        <v>690</v>
      </c>
      <c r="I1569" t="s">
        <v>16</v>
      </c>
      <c r="J1569" t="s">
        <v>52</v>
      </c>
      <c r="K1569" t="s">
        <v>35</v>
      </c>
      <c r="L1569" s="6">
        <v>0</v>
      </c>
      <c r="M1569" s="6">
        <v>500</v>
      </c>
      <c r="N1569" s="6">
        <v>500</v>
      </c>
      <c r="O1569" s="6">
        <v>42775.34</v>
      </c>
      <c r="P1569" s="7">
        <v>0</v>
      </c>
      <c r="Q1569" s="6">
        <v>0</v>
      </c>
    </row>
    <row r="1570" spans="1:17">
      <c r="A1570">
        <v>1569</v>
      </c>
      <c r="B1570" s="5">
        <v>45792</v>
      </c>
      <c r="C1570" t="s">
        <v>791</v>
      </c>
      <c r="D1570" t="s">
        <v>792</v>
      </c>
      <c r="E1570" t="s">
        <v>793</v>
      </c>
      <c r="F1570">
        <v>5</v>
      </c>
      <c r="G1570" t="s">
        <v>212</v>
      </c>
      <c r="H1570" t="s">
        <v>213</v>
      </c>
      <c r="I1570" t="s">
        <v>16</v>
      </c>
      <c r="J1570" t="s">
        <v>52</v>
      </c>
      <c r="K1570" t="s">
        <v>35</v>
      </c>
      <c r="L1570" s="6">
        <v>0</v>
      </c>
      <c r="M1570" s="6">
        <v>332</v>
      </c>
      <c r="N1570" s="6">
        <v>332</v>
      </c>
      <c r="O1570" s="6">
        <v>43107.34</v>
      </c>
      <c r="P1570" s="7">
        <v>0</v>
      </c>
      <c r="Q1570" s="6">
        <v>0</v>
      </c>
    </row>
    <row r="1571" spans="1:17">
      <c r="A1571">
        <v>1570</v>
      </c>
      <c r="B1571" s="5">
        <v>45792</v>
      </c>
      <c r="C1571" t="s">
        <v>791</v>
      </c>
      <c r="D1571" t="s">
        <v>792</v>
      </c>
      <c r="E1571" t="s">
        <v>793</v>
      </c>
      <c r="F1571">
        <v>5</v>
      </c>
      <c r="G1571" t="s">
        <v>548</v>
      </c>
      <c r="H1571" t="s">
        <v>549</v>
      </c>
      <c r="I1571" t="s">
        <v>16</v>
      </c>
      <c r="J1571" t="s">
        <v>52</v>
      </c>
      <c r="K1571" t="s">
        <v>35</v>
      </c>
      <c r="L1571" s="6">
        <v>0</v>
      </c>
      <c r="M1571" s="6">
        <v>2000</v>
      </c>
      <c r="N1571" s="6">
        <v>2000</v>
      </c>
      <c r="O1571" s="6">
        <v>45107.34</v>
      </c>
      <c r="P1571" s="7">
        <v>0</v>
      </c>
      <c r="Q1571" s="6">
        <v>0</v>
      </c>
    </row>
    <row r="1572" spans="1:17">
      <c r="A1572">
        <v>1571</v>
      </c>
      <c r="B1572" s="5">
        <v>45792</v>
      </c>
      <c r="C1572" t="s">
        <v>791</v>
      </c>
      <c r="D1572" t="s">
        <v>792</v>
      </c>
      <c r="E1572" t="s">
        <v>793</v>
      </c>
      <c r="F1572">
        <v>5</v>
      </c>
      <c r="G1572" t="s">
        <v>249</v>
      </c>
      <c r="H1572" t="s">
        <v>250</v>
      </c>
      <c r="I1572" t="s">
        <v>16</v>
      </c>
      <c r="J1572" t="s">
        <v>52</v>
      </c>
      <c r="K1572" t="s">
        <v>35</v>
      </c>
      <c r="L1572" s="6">
        <v>0</v>
      </c>
      <c r="M1572" s="6">
        <v>2000</v>
      </c>
      <c r="N1572" s="6">
        <v>2000</v>
      </c>
      <c r="O1572" s="6">
        <v>47107.34</v>
      </c>
      <c r="P1572" s="7">
        <v>0</v>
      </c>
      <c r="Q1572" s="6">
        <v>0</v>
      </c>
    </row>
    <row r="1573" spans="1:17">
      <c r="A1573">
        <v>1572</v>
      </c>
      <c r="B1573" s="5">
        <v>45792</v>
      </c>
      <c r="C1573" t="s">
        <v>791</v>
      </c>
      <c r="D1573" t="s">
        <v>792</v>
      </c>
      <c r="E1573" t="s">
        <v>793</v>
      </c>
      <c r="F1573">
        <v>5</v>
      </c>
      <c r="G1573" t="s">
        <v>882</v>
      </c>
      <c r="H1573" t="s">
        <v>883</v>
      </c>
      <c r="I1573" t="s">
        <v>16</v>
      </c>
      <c r="J1573" t="s">
        <v>52</v>
      </c>
      <c r="K1573" t="s">
        <v>35</v>
      </c>
      <c r="L1573" s="6">
        <v>0</v>
      </c>
      <c r="M1573" s="6">
        <v>300</v>
      </c>
      <c r="N1573" s="6">
        <v>300</v>
      </c>
      <c r="O1573" s="6">
        <v>47407.34</v>
      </c>
      <c r="P1573" s="7">
        <v>0</v>
      </c>
      <c r="Q1573" s="6">
        <v>0</v>
      </c>
    </row>
    <row r="1574" spans="1:17">
      <c r="A1574">
        <v>1573</v>
      </c>
      <c r="B1574" s="5">
        <v>45792</v>
      </c>
      <c r="C1574" t="s">
        <v>791</v>
      </c>
      <c r="D1574" t="s">
        <v>792</v>
      </c>
      <c r="E1574" t="s">
        <v>793</v>
      </c>
      <c r="F1574">
        <v>5</v>
      </c>
      <c r="G1574" t="s">
        <v>911</v>
      </c>
      <c r="H1574" t="s">
        <v>912</v>
      </c>
      <c r="I1574" t="s">
        <v>16</v>
      </c>
      <c r="J1574" t="s">
        <v>52</v>
      </c>
      <c r="K1574" t="s">
        <v>35</v>
      </c>
      <c r="L1574" s="6">
        <v>0</v>
      </c>
      <c r="M1574" s="6">
        <v>1500</v>
      </c>
      <c r="N1574" s="6">
        <v>1500</v>
      </c>
      <c r="O1574" s="6">
        <v>48907.34</v>
      </c>
      <c r="P1574" s="7">
        <v>0</v>
      </c>
      <c r="Q1574" s="6">
        <v>0</v>
      </c>
    </row>
    <row r="1575" spans="1:17">
      <c r="A1575">
        <v>1574</v>
      </c>
      <c r="B1575" s="5">
        <v>45792</v>
      </c>
      <c r="C1575" t="s">
        <v>791</v>
      </c>
      <c r="D1575" t="s">
        <v>792</v>
      </c>
      <c r="E1575" t="s">
        <v>793</v>
      </c>
      <c r="F1575">
        <v>5</v>
      </c>
      <c r="G1575" t="s">
        <v>199</v>
      </c>
      <c r="H1575" t="s">
        <v>200</v>
      </c>
      <c r="I1575" t="s">
        <v>16</v>
      </c>
      <c r="J1575" t="s">
        <v>52</v>
      </c>
      <c r="K1575" t="s">
        <v>35</v>
      </c>
      <c r="L1575" s="6">
        <v>0</v>
      </c>
      <c r="M1575" s="6">
        <v>2000</v>
      </c>
      <c r="N1575" s="6">
        <v>2000</v>
      </c>
      <c r="O1575" s="6">
        <v>50907.34</v>
      </c>
      <c r="P1575" s="7">
        <v>0</v>
      </c>
      <c r="Q1575" s="6">
        <v>0</v>
      </c>
    </row>
    <row r="1576" spans="1:17">
      <c r="A1576">
        <v>1575</v>
      </c>
      <c r="B1576" s="5">
        <v>45792</v>
      </c>
      <c r="C1576" t="s">
        <v>791</v>
      </c>
      <c r="D1576" t="s">
        <v>792</v>
      </c>
      <c r="E1576" t="s">
        <v>793</v>
      </c>
      <c r="F1576">
        <v>5</v>
      </c>
      <c r="G1576" t="s">
        <v>689</v>
      </c>
      <c r="H1576" t="s">
        <v>690</v>
      </c>
      <c r="I1576" t="s">
        <v>16</v>
      </c>
      <c r="J1576" t="s">
        <v>52</v>
      </c>
      <c r="K1576" t="s">
        <v>35</v>
      </c>
      <c r="L1576" s="6">
        <v>0</v>
      </c>
      <c r="M1576" s="6">
        <v>250</v>
      </c>
      <c r="N1576" s="6">
        <v>250</v>
      </c>
      <c r="O1576" s="6">
        <v>51157.34</v>
      </c>
      <c r="P1576" s="7">
        <v>0</v>
      </c>
      <c r="Q1576" s="6">
        <v>0</v>
      </c>
    </row>
    <row r="1577" spans="1:17">
      <c r="A1577">
        <v>1576</v>
      </c>
      <c r="B1577" s="5">
        <v>45792</v>
      </c>
      <c r="C1577" t="s">
        <v>791</v>
      </c>
      <c r="D1577" t="s">
        <v>792</v>
      </c>
      <c r="E1577" t="s">
        <v>793</v>
      </c>
      <c r="F1577">
        <v>5</v>
      </c>
      <c r="G1577" t="s">
        <v>913</v>
      </c>
      <c r="H1577" t="s">
        <v>66</v>
      </c>
      <c r="I1577" t="s">
        <v>22</v>
      </c>
      <c r="J1577" t="s">
        <v>67</v>
      </c>
      <c r="K1577" t="s">
        <v>34</v>
      </c>
      <c r="L1577" s="6">
        <v>3500</v>
      </c>
      <c r="M1577" s="6">
        <v>0</v>
      </c>
      <c r="N1577" s="6">
        <v>-3500</v>
      </c>
      <c r="O1577" s="6">
        <v>47657.34</v>
      </c>
      <c r="P1577" s="7">
        <v>0</v>
      </c>
      <c r="Q1577" s="6">
        <v>0</v>
      </c>
    </row>
    <row r="1578" spans="1:17">
      <c r="A1578">
        <v>1577</v>
      </c>
      <c r="B1578" s="5">
        <v>45792</v>
      </c>
      <c r="C1578" t="s">
        <v>791</v>
      </c>
      <c r="D1578" t="s">
        <v>792</v>
      </c>
      <c r="E1578" t="s">
        <v>793</v>
      </c>
      <c r="F1578">
        <v>5</v>
      </c>
      <c r="G1578" t="s">
        <v>914</v>
      </c>
      <c r="H1578" t="s">
        <v>66</v>
      </c>
      <c r="I1578" t="s">
        <v>22</v>
      </c>
      <c r="J1578" t="s">
        <v>67</v>
      </c>
      <c r="K1578" t="s">
        <v>34</v>
      </c>
      <c r="L1578" s="6">
        <v>800</v>
      </c>
      <c r="M1578" s="6">
        <v>0</v>
      </c>
      <c r="N1578" s="6">
        <v>-800</v>
      </c>
      <c r="O1578" s="6">
        <v>46857.34</v>
      </c>
      <c r="P1578" s="7">
        <v>0</v>
      </c>
      <c r="Q1578" s="6">
        <v>0</v>
      </c>
    </row>
    <row r="1579" spans="1:17">
      <c r="A1579">
        <v>1578</v>
      </c>
      <c r="B1579" s="5">
        <v>45792</v>
      </c>
      <c r="C1579" t="s">
        <v>791</v>
      </c>
      <c r="D1579" t="s">
        <v>792</v>
      </c>
      <c r="E1579" t="s">
        <v>793</v>
      </c>
      <c r="F1579">
        <v>5</v>
      </c>
      <c r="G1579" t="s">
        <v>915</v>
      </c>
      <c r="H1579" t="s">
        <v>66</v>
      </c>
      <c r="I1579" t="s">
        <v>22</v>
      </c>
      <c r="J1579" t="s">
        <v>67</v>
      </c>
      <c r="K1579" t="s">
        <v>34</v>
      </c>
      <c r="L1579" s="6">
        <v>1000</v>
      </c>
      <c r="M1579" s="6">
        <v>0</v>
      </c>
      <c r="N1579" s="6">
        <v>-1000</v>
      </c>
      <c r="O1579" s="6">
        <v>45857.34</v>
      </c>
      <c r="P1579" s="7">
        <v>0</v>
      </c>
      <c r="Q1579" s="6">
        <v>0</v>
      </c>
    </row>
    <row r="1580" spans="1:17">
      <c r="A1580">
        <v>1579</v>
      </c>
      <c r="B1580" s="5">
        <v>45792</v>
      </c>
      <c r="C1580" t="s">
        <v>791</v>
      </c>
      <c r="D1580" t="s">
        <v>792</v>
      </c>
      <c r="E1580" t="s">
        <v>793</v>
      </c>
      <c r="F1580">
        <v>5</v>
      </c>
      <c r="G1580" t="s">
        <v>659</v>
      </c>
      <c r="H1580" t="s">
        <v>660</v>
      </c>
      <c r="I1580" t="s">
        <v>16</v>
      </c>
      <c r="J1580" t="s">
        <v>52</v>
      </c>
      <c r="K1580" t="s">
        <v>35</v>
      </c>
      <c r="L1580" s="6">
        <v>0</v>
      </c>
      <c r="M1580" s="6">
        <v>100</v>
      </c>
      <c r="N1580" s="6">
        <v>100</v>
      </c>
      <c r="O1580" s="6">
        <v>45957.34</v>
      </c>
      <c r="P1580" s="7">
        <v>0</v>
      </c>
      <c r="Q1580" s="6">
        <v>0</v>
      </c>
    </row>
    <row r="1581" spans="1:17">
      <c r="A1581">
        <v>1580</v>
      </c>
      <c r="B1581" s="5">
        <v>45792</v>
      </c>
      <c r="C1581" t="s">
        <v>791</v>
      </c>
      <c r="D1581" t="s">
        <v>792</v>
      </c>
      <c r="E1581" t="s">
        <v>793</v>
      </c>
      <c r="F1581">
        <v>6</v>
      </c>
      <c r="G1581" t="s">
        <v>691</v>
      </c>
      <c r="H1581" t="s">
        <v>692</v>
      </c>
      <c r="I1581" t="s">
        <v>16</v>
      </c>
      <c r="J1581" t="s">
        <v>52</v>
      </c>
      <c r="K1581" t="s">
        <v>35</v>
      </c>
      <c r="L1581" s="6">
        <v>0</v>
      </c>
      <c r="M1581" s="6">
        <v>80</v>
      </c>
      <c r="N1581" s="6">
        <v>80</v>
      </c>
      <c r="O1581" s="6">
        <v>46037.34</v>
      </c>
      <c r="P1581" s="7">
        <v>0</v>
      </c>
      <c r="Q1581" s="6">
        <v>0</v>
      </c>
    </row>
    <row r="1582" spans="1:17">
      <c r="A1582">
        <v>1581</v>
      </c>
      <c r="B1582" s="5">
        <v>45792</v>
      </c>
      <c r="C1582" t="s">
        <v>791</v>
      </c>
      <c r="D1582" t="s">
        <v>792</v>
      </c>
      <c r="E1582" t="s">
        <v>793</v>
      </c>
      <c r="F1582">
        <v>6</v>
      </c>
      <c r="G1582" t="s">
        <v>264</v>
      </c>
      <c r="H1582" t="s">
        <v>265</v>
      </c>
      <c r="I1582" t="s">
        <v>16</v>
      </c>
      <c r="J1582" t="s">
        <v>52</v>
      </c>
      <c r="K1582" t="s">
        <v>35</v>
      </c>
      <c r="L1582" s="6">
        <v>0</v>
      </c>
      <c r="M1582" s="6">
        <v>100</v>
      </c>
      <c r="N1582" s="6">
        <v>100</v>
      </c>
      <c r="O1582" s="6">
        <v>46137.34</v>
      </c>
      <c r="P1582" s="7">
        <v>0</v>
      </c>
      <c r="Q1582" s="6">
        <v>0</v>
      </c>
    </row>
    <row r="1583" spans="1:17">
      <c r="A1583">
        <v>1582</v>
      </c>
      <c r="B1583" s="5">
        <v>45792</v>
      </c>
      <c r="C1583" t="s">
        <v>791</v>
      </c>
      <c r="D1583" t="s">
        <v>792</v>
      </c>
      <c r="E1583" t="s">
        <v>793</v>
      </c>
      <c r="F1583">
        <v>6</v>
      </c>
      <c r="G1583" t="s">
        <v>893</v>
      </c>
      <c r="H1583" t="s">
        <v>894</v>
      </c>
      <c r="I1583" t="s">
        <v>16</v>
      </c>
      <c r="J1583" t="s">
        <v>52</v>
      </c>
      <c r="K1583" t="s">
        <v>35</v>
      </c>
      <c r="L1583" s="6">
        <v>0</v>
      </c>
      <c r="M1583" s="6">
        <v>2600</v>
      </c>
      <c r="N1583" s="6">
        <v>2600</v>
      </c>
      <c r="O1583" s="6">
        <v>48737.34</v>
      </c>
      <c r="P1583" s="7">
        <v>0</v>
      </c>
      <c r="Q1583" s="6">
        <v>0</v>
      </c>
    </row>
    <row r="1584" spans="1:17">
      <c r="A1584">
        <v>1583</v>
      </c>
      <c r="B1584" s="5">
        <v>45792</v>
      </c>
      <c r="C1584" t="s">
        <v>791</v>
      </c>
      <c r="D1584" t="s">
        <v>792</v>
      </c>
      <c r="E1584" t="s">
        <v>793</v>
      </c>
      <c r="F1584">
        <v>11</v>
      </c>
      <c r="G1584" t="s">
        <v>909</v>
      </c>
      <c r="H1584" t="s">
        <v>910</v>
      </c>
      <c r="I1584" t="s">
        <v>16</v>
      </c>
      <c r="J1584" t="s">
        <v>52</v>
      </c>
      <c r="K1584" t="s">
        <v>35</v>
      </c>
      <c r="L1584" s="6">
        <v>0</v>
      </c>
      <c r="M1584" s="6">
        <v>20000</v>
      </c>
      <c r="N1584" s="6">
        <v>20000</v>
      </c>
      <c r="O1584" s="6">
        <v>39970.339999999997</v>
      </c>
      <c r="P1584" s="7">
        <v>0</v>
      </c>
      <c r="Q1584" s="6">
        <v>0</v>
      </c>
    </row>
    <row r="1585" spans="1:17">
      <c r="A1585">
        <v>1584</v>
      </c>
      <c r="B1585" s="5">
        <v>45792</v>
      </c>
      <c r="C1585" t="s">
        <v>791</v>
      </c>
      <c r="D1585" t="s">
        <v>792</v>
      </c>
      <c r="E1585" t="s">
        <v>793</v>
      </c>
      <c r="F1585">
        <v>11</v>
      </c>
      <c r="G1585" t="s">
        <v>911</v>
      </c>
      <c r="H1585" t="s">
        <v>912</v>
      </c>
      <c r="I1585" t="s">
        <v>16</v>
      </c>
      <c r="J1585" t="s">
        <v>52</v>
      </c>
      <c r="K1585" t="s">
        <v>35</v>
      </c>
      <c r="L1585" s="6">
        <v>0</v>
      </c>
      <c r="M1585" s="6">
        <v>1000</v>
      </c>
      <c r="N1585" s="6">
        <v>1000</v>
      </c>
      <c r="O1585" s="6">
        <v>40970.339999999997</v>
      </c>
      <c r="P1585" s="7">
        <v>0</v>
      </c>
      <c r="Q1585" s="6">
        <v>0</v>
      </c>
    </row>
    <row r="1586" spans="1:17">
      <c r="A1586">
        <v>1585</v>
      </c>
      <c r="B1586" s="5">
        <v>45792</v>
      </c>
      <c r="C1586" t="s">
        <v>791</v>
      </c>
      <c r="D1586" t="s">
        <v>792</v>
      </c>
      <c r="E1586" t="s">
        <v>793</v>
      </c>
      <c r="F1586">
        <v>11</v>
      </c>
      <c r="G1586" t="s">
        <v>903</v>
      </c>
      <c r="H1586" t="s">
        <v>904</v>
      </c>
      <c r="I1586" t="s">
        <v>16</v>
      </c>
      <c r="J1586" t="s">
        <v>52</v>
      </c>
      <c r="K1586" t="s">
        <v>35</v>
      </c>
      <c r="L1586" s="6">
        <v>0</v>
      </c>
      <c r="M1586" s="6">
        <v>250</v>
      </c>
      <c r="N1586" s="6">
        <v>250</v>
      </c>
      <c r="O1586" s="6">
        <v>41220.339999999997</v>
      </c>
      <c r="P1586" s="7">
        <v>0</v>
      </c>
      <c r="Q1586" s="6">
        <v>0</v>
      </c>
    </row>
    <row r="1587" spans="1:17">
      <c r="A1587">
        <v>1586</v>
      </c>
      <c r="B1587" s="5">
        <v>45792</v>
      </c>
      <c r="C1587" t="s">
        <v>791</v>
      </c>
      <c r="D1587" t="s">
        <v>792</v>
      </c>
      <c r="E1587" t="s">
        <v>793</v>
      </c>
      <c r="F1587">
        <v>11</v>
      </c>
      <c r="G1587" t="s">
        <v>201</v>
      </c>
      <c r="H1587" t="s">
        <v>100</v>
      </c>
      <c r="I1587" t="s">
        <v>16</v>
      </c>
      <c r="J1587" t="s">
        <v>52</v>
      </c>
      <c r="K1587" t="s">
        <v>35</v>
      </c>
      <c r="L1587" s="6">
        <v>0</v>
      </c>
      <c r="M1587" s="6">
        <v>800</v>
      </c>
      <c r="N1587" s="6">
        <v>800</v>
      </c>
      <c r="O1587" s="6">
        <v>42020.34</v>
      </c>
      <c r="P1587" s="7">
        <v>0</v>
      </c>
      <c r="Q1587" s="6">
        <v>0</v>
      </c>
    </row>
    <row r="1588" spans="1:17">
      <c r="A1588">
        <v>1587</v>
      </c>
      <c r="B1588" s="5">
        <v>45792</v>
      </c>
      <c r="C1588" t="s">
        <v>791</v>
      </c>
      <c r="D1588" t="s">
        <v>792</v>
      </c>
      <c r="E1588" t="s">
        <v>793</v>
      </c>
      <c r="F1588">
        <v>11</v>
      </c>
      <c r="G1588" t="s">
        <v>506</v>
      </c>
      <c r="H1588" t="s">
        <v>507</v>
      </c>
      <c r="I1588" t="s">
        <v>16</v>
      </c>
      <c r="J1588" t="s">
        <v>52</v>
      </c>
      <c r="K1588" t="s">
        <v>35</v>
      </c>
      <c r="L1588" s="6">
        <v>0</v>
      </c>
      <c r="M1588" s="6">
        <v>255</v>
      </c>
      <c r="N1588" s="6">
        <v>255</v>
      </c>
      <c r="O1588" s="6">
        <v>42275.34</v>
      </c>
      <c r="P1588" s="7">
        <v>0</v>
      </c>
      <c r="Q1588" s="6">
        <v>0</v>
      </c>
    </row>
    <row r="1589" spans="1:17">
      <c r="A1589">
        <v>1588</v>
      </c>
      <c r="B1589" s="5">
        <v>45792</v>
      </c>
      <c r="C1589" t="s">
        <v>791</v>
      </c>
      <c r="D1589" t="s">
        <v>792</v>
      </c>
      <c r="E1589" t="s">
        <v>793</v>
      </c>
      <c r="F1589">
        <v>11</v>
      </c>
      <c r="G1589" t="s">
        <v>689</v>
      </c>
      <c r="H1589" t="s">
        <v>690</v>
      </c>
      <c r="I1589" t="s">
        <v>16</v>
      </c>
      <c r="J1589" t="s">
        <v>52</v>
      </c>
      <c r="K1589" t="s">
        <v>35</v>
      </c>
      <c r="L1589" s="6">
        <v>0</v>
      </c>
      <c r="M1589" s="6">
        <v>500</v>
      </c>
      <c r="N1589" s="6">
        <v>500</v>
      </c>
      <c r="O1589" s="6">
        <v>42775.34</v>
      </c>
      <c r="P1589" s="7">
        <v>0</v>
      </c>
      <c r="Q1589" s="6">
        <v>0</v>
      </c>
    </row>
    <row r="1590" spans="1:17">
      <c r="A1590">
        <v>1589</v>
      </c>
      <c r="B1590" s="5">
        <v>45792</v>
      </c>
      <c r="C1590" t="s">
        <v>791</v>
      </c>
      <c r="D1590" t="s">
        <v>792</v>
      </c>
      <c r="E1590" t="s">
        <v>793</v>
      </c>
      <c r="F1590">
        <v>11</v>
      </c>
      <c r="G1590" t="s">
        <v>212</v>
      </c>
      <c r="H1590" t="s">
        <v>213</v>
      </c>
      <c r="I1590" t="s">
        <v>16</v>
      </c>
      <c r="J1590" t="s">
        <v>52</v>
      </c>
      <c r="K1590" t="s">
        <v>35</v>
      </c>
      <c r="L1590" s="6">
        <v>0</v>
      </c>
      <c r="M1590" s="6">
        <v>332</v>
      </c>
      <c r="N1590" s="6">
        <v>332</v>
      </c>
      <c r="O1590" s="6">
        <v>43107.34</v>
      </c>
      <c r="P1590" s="7">
        <v>0</v>
      </c>
      <c r="Q1590" s="6">
        <v>0</v>
      </c>
    </row>
    <row r="1591" spans="1:17">
      <c r="A1591">
        <v>1590</v>
      </c>
      <c r="B1591" s="5">
        <v>45792</v>
      </c>
      <c r="C1591" t="s">
        <v>791</v>
      </c>
      <c r="D1591" t="s">
        <v>792</v>
      </c>
      <c r="E1591" t="s">
        <v>793</v>
      </c>
      <c r="F1591">
        <v>11</v>
      </c>
      <c r="G1591" t="s">
        <v>548</v>
      </c>
      <c r="H1591" t="s">
        <v>549</v>
      </c>
      <c r="I1591" t="s">
        <v>16</v>
      </c>
      <c r="J1591" t="s">
        <v>52</v>
      </c>
      <c r="K1591" t="s">
        <v>35</v>
      </c>
      <c r="L1591" s="6">
        <v>0</v>
      </c>
      <c r="M1591" s="6">
        <v>2000</v>
      </c>
      <c r="N1591" s="6">
        <v>2000</v>
      </c>
      <c r="O1591" s="6">
        <v>45107.34</v>
      </c>
      <c r="P1591" s="7">
        <v>0</v>
      </c>
      <c r="Q1591" s="6">
        <v>0</v>
      </c>
    </row>
    <row r="1592" spans="1:17">
      <c r="A1592">
        <v>1591</v>
      </c>
      <c r="B1592" s="5">
        <v>45792</v>
      </c>
      <c r="C1592" t="s">
        <v>791</v>
      </c>
      <c r="D1592" t="s">
        <v>792</v>
      </c>
      <c r="E1592" t="s">
        <v>793</v>
      </c>
      <c r="F1592">
        <v>11</v>
      </c>
      <c r="G1592" t="s">
        <v>249</v>
      </c>
      <c r="H1592" t="s">
        <v>250</v>
      </c>
      <c r="I1592" t="s">
        <v>16</v>
      </c>
      <c r="J1592" t="s">
        <v>52</v>
      </c>
      <c r="K1592" t="s">
        <v>35</v>
      </c>
      <c r="L1592" s="6">
        <v>0</v>
      </c>
      <c r="M1592" s="6">
        <v>2000</v>
      </c>
      <c r="N1592" s="6">
        <v>2000</v>
      </c>
      <c r="O1592" s="6">
        <v>47107.34</v>
      </c>
      <c r="P1592" s="7">
        <v>0</v>
      </c>
      <c r="Q1592" s="6">
        <v>0</v>
      </c>
    </row>
    <row r="1593" spans="1:17">
      <c r="A1593">
        <v>1592</v>
      </c>
      <c r="B1593" s="5">
        <v>45792</v>
      </c>
      <c r="C1593" t="s">
        <v>791</v>
      </c>
      <c r="D1593" t="s">
        <v>792</v>
      </c>
      <c r="E1593" t="s">
        <v>793</v>
      </c>
      <c r="F1593">
        <v>11</v>
      </c>
      <c r="G1593" t="s">
        <v>882</v>
      </c>
      <c r="H1593" t="s">
        <v>883</v>
      </c>
      <c r="I1593" t="s">
        <v>16</v>
      </c>
      <c r="J1593" t="s">
        <v>52</v>
      </c>
      <c r="K1593" t="s">
        <v>35</v>
      </c>
      <c r="L1593" s="6">
        <v>0</v>
      </c>
      <c r="M1593" s="6">
        <v>300</v>
      </c>
      <c r="N1593" s="6">
        <v>300</v>
      </c>
      <c r="O1593" s="6">
        <v>47407.34</v>
      </c>
      <c r="P1593" s="7">
        <v>0</v>
      </c>
      <c r="Q1593" s="6">
        <v>0</v>
      </c>
    </row>
    <row r="1594" spans="1:17">
      <c r="A1594">
        <v>1593</v>
      </c>
      <c r="B1594" s="5">
        <v>45792</v>
      </c>
      <c r="C1594" t="s">
        <v>791</v>
      </c>
      <c r="D1594" t="s">
        <v>792</v>
      </c>
      <c r="E1594" t="s">
        <v>793</v>
      </c>
      <c r="F1594">
        <v>11</v>
      </c>
      <c r="G1594" t="s">
        <v>911</v>
      </c>
      <c r="H1594" t="s">
        <v>912</v>
      </c>
      <c r="I1594" t="s">
        <v>16</v>
      </c>
      <c r="J1594" t="s">
        <v>52</v>
      </c>
      <c r="K1594" t="s">
        <v>35</v>
      </c>
      <c r="L1594" s="6">
        <v>0</v>
      </c>
      <c r="M1594" s="6">
        <v>1500</v>
      </c>
      <c r="N1594" s="6">
        <v>1500</v>
      </c>
      <c r="O1594" s="6">
        <v>48907.34</v>
      </c>
      <c r="P1594" s="7">
        <v>0</v>
      </c>
      <c r="Q1594" s="6">
        <v>0</v>
      </c>
    </row>
    <row r="1595" spans="1:17">
      <c r="A1595">
        <v>1594</v>
      </c>
      <c r="B1595" s="5">
        <v>45792</v>
      </c>
      <c r="C1595" t="s">
        <v>791</v>
      </c>
      <c r="D1595" t="s">
        <v>792</v>
      </c>
      <c r="E1595" t="s">
        <v>793</v>
      </c>
      <c r="F1595">
        <v>11</v>
      </c>
      <c r="G1595" t="s">
        <v>199</v>
      </c>
      <c r="H1595" t="s">
        <v>200</v>
      </c>
      <c r="I1595" t="s">
        <v>16</v>
      </c>
      <c r="J1595" t="s">
        <v>52</v>
      </c>
      <c r="K1595" t="s">
        <v>35</v>
      </c>
      <c r="L1595" s="6">
        <v>0</v>
      </c>
      <c r="M1595" s="6">
        <v>2000</v>
      </c>
      <c r="N1595" s="6">
        <v>2000</v>
      </c>
      <c r="O1595" s="6">
        <v>50907.34</v>
      </c>
      <c r="P1595" s="7">
        <v>0</v>
      </c>
      <c r="Q1595" s="6">
        <v>0</v>
      </c>
    </row>
    <row r="1596" spans="1:17">
      <c r="A1596">
        <v>1595</v>
      </c>
      <c r="B1596" s="5">
        <v>45792</v>
      </c>
      <c r="C1596" t="s">
        <v>791</v>
      </c>
      <c r="D1596" t="s">
        <v>792</v>
      </c>
      <c r="E1596" t="s">
        <v>793</v>
      </c>
      <c r="F1596">
        <v>11</v>
      </c>
      <c r="G1596" t="s">
        <v>689</v>
      </c>
      <c r="H1596" t="s">
        <v>690</v>
      </c>
      <c r="I1596" t="s">
        <v>16</v>
      </c>
      <c r="J1596" t="s">
        <v>52</v>
      </c>
      <c r="K1596" t="s">
        <v>35</v>
      </c>
      <c r="L1596" s="6">
        <v>0</v>
      </c>
      <c r="M1596" s="6">
        <v>250</v>
      </c>
      <c r="N1596" s="6">
        <v>250</v>
      </c>
      <c r="O1596" s="6">
        <v>51157.34</v>
      </c>
      <c r="P1596" s="7">
        <v>0</v>
      </c>
      <c r="Q1596" s="6">
        <v>0</v>
      </c>
    </row>
    <row r="1597" spans="1:17">
      <c r="A1597">
        <v>1596</v>
      </c>
      <c r="B1597" s="5">
        <v>45792</v>
      </c>
      <c r="C1597" t="s">
        <v>791</v>
      </c>
      <c r="D1597" t="s">
        <v>792</v>
      </c>
      <c r="E1597" t="s">
        <v>793</v>
      </c>
      <c r="F1597">
        <v>11</v>
      </c>
      <c r="G1597" t="s">
        <v>913</v>
      </c>
      <c r="H1597" t="s">
        <v>66</v>
      </c>
      <c r="I1597" t="s">
        <v>22</v>
      </c>
      <c r="J1597" t="s">
        <v>67</v>
      </c>
      <c r="K1597" t="s">
        <v>34</v>
      </c>
      <c r="L1597" s="6">
        <v>3500</v>
      </c>
      <c r="M1597" s="6">
        <v>0</v>
      </c>
      <c r="N1597" s="6">
        <v>-3500</v>
      </c>
      <c r="O1597" s="6">
        <v>47657.34</v>
      </c>
      <c r="P1597" s="7">
        <v>0</v>
      </c>
      <c r="Q1597" s="6">
        <v>0</v>
      </c>
    </row>
    <row r="1598" spans="1:17">
      <c r="A1598">
        <v>1597</v>
      </c>
      <c r="B1598" s="5">
        <v>45792</v>
      </c>
      <c r="C1598" t="s">
        <v>791</v>
      </c>
      <c r="D1598" t="s">
        <v>792</v>
      </c>
      <c r="E1598" t="s">
        <v>793</v>
      </c>
      <c r="F1598">
        <v>11</v>
      </c>
      <c r="G1598" t="s">
        <v>914</v>
      </c>
      <c r="H1598" t="s">
        <v>66</v>
      </c>
      <c r="I1598" t="s">
        <v>22</v>
      </c>
      <c r="J1598" t="s">
        <v>67</v>
      </c>
      <c r="K1598" t="s">
        <v>34</v>
      </c>
      <c r="L1598" s="6">
        <v>800</v>
      </c>
      <c r="M1598" s="6">
        <v>0</v>
      </c>
      <c r="N1598" s="6">
        <v>-800</v>
      </c>
      <c r="O1598" s="6">
        <v>46857.34</v>
      </c>
      <c r="P1598" s="7">
        <v>0</v>
      </c>
      <c r="Q1598" s="6">
        <v>0</v>
      </c>
    </row>
    <row r="1599" spans="1:17">
      <c r="A1599">
        <v>1598</v>
      </c>
      <c r="B1599" s="5">
        <v>45792</v>
      </c>
      <c r="C1599" t="s">
        <v>791</v>
      </c>
      <c r="D1599" t="s">
        <v>792</v>
      </c>
      <c r="E1599" t="s">
        <v>793</v>
      </c>
      <c r="F1599">
        <v>11</v>
      </c>
      <c r="G1599" t="s">
        <v>915</v>
      </c>
      <c r="H1599" t="s">
        <v>66</v>
      </c>
      <c r="I1599" t="s">
        <v>22</v>
      </c>
      <c r="J1599" t="s">
        <v>67</v>
      </c>
      <c r="K1599" t="s">
        <v>34</v>
      </c>
      <c r="L1599" s="6">
        <v>1000</v>
      </c>
      <c r="M1599" s="6">
        <v>0</v>
      </c>
      <c r="N1599" s="6">
        <v>-1000</v>
      </c>
      <c r="O1599" s="6">
        <v>45857.34</v>
      </c>
      <c r="P1599" s="7">
        <v>0</v>
      </c>
      <c r="Q1599" s="6">
        <v>0</v>
      </c>
    </row>
    <row r="1600" spans="1:17">
      <c r="A1600">
        <v>1599</v>
      </c>
      <c r="B1600" s="5">
        <v>45792</v>
      </c>
      <c r="C1600" t="s">
        <v>791</v>
      </c>
      <c r="D1600" t="s">
        <v>792</v>
      </c>
      <c r="E1600" t="s">
        <v>793</v>
      </c>
      <c r="F1600">
        <v>11</v>
      </c>
      <c r="G1600" t="s">
        <v>659</v>
      </c>
      <c r="H1600" t="s">
        <v>660</v>
      </c>
      <c r="I1600" t="s">
        <v>16</v>
      </c>
      <c r="J1600" t="s">
        <v>52</v>
      </c>
      <c r="K1600" t="s">
        <v>35</v>
      </c>
      <c r="L1600" s="6">
        <v>0</v>
      </c>
      <c r="M1600" s="6">
        <v>100</v>
      </c>
      <c r="N1600" s="6">
        <v>100</v>
      </c>
      <c r="O1600" s="6">
        <v>45957.34</v>
      </c>
      <c r="P1600" s="7">
        <v>0</v>
      </c>
      <c r="Q1600" s="6">
        <v>0</v>
      </c>
    </row>
    <row r="1601" spans="1:17">
      <c r="A1601">
        <v>1600</v>
      </c>
      <c r="B1601" s="5">
        <v>45792</v>
      </c>
      <c r="C1601" t="s">
        <v>791</v>
      </c>
      <c r="D1601" t="s">
        <v>792</v>
      </c>
      <c r="E1601" t="s">
        <v>793</v>
      </c>
      <c r="F1601">
        <v>12</v>
      </c>
      <c r="G1601" t="s">
        <v>691</v>
      </c>
      <c r="H1601" t="s">
        <v>692</v>
      </c>
      <c r="I1601" t="s">
        <v>16</v>
      </c>
      <c r="J1601" t="s">
        <v>52</v>
      </c>
      <c r="K1601" t="s">
        <v>35</v>
      </c>
      <c r="L1601" s="6">
        <v>0</v>
      </c>
      <c r="M1601" s="6">
        <v>80</v>
      </c>
      <c r="N1601" s="6">
        <v>80</v>
      </c>
      <c r="O1601" s="6">
        <v>46037.34</v>
      </c>
      <c r="P1601" s="7">
        <v>0</v>
      </c>
      <c r="Q1601" s="6">
        <v>0</v>
      </c>
    </row>
    <row r="1602" spans="1:17">
      <c r="A1602">
        <v>1601</v>
      </c>
      <c r="B1602" s="5">
        <v>45792</v>
      </c>
      <c r="C1602" t="s">
        <v>791</v>
      </c>
      <c r="D1602" t="s">
        <v>792</v>
      </c>
      <c r="E1602" t="s">
        <v>793</v>
      </c>
      <c r="F1602">
        <v>12</v>
      </c>
      <c r="G1602" t="s">
        <v>264</v>
      </c>
      <c r="H1602" t="s">
        <v>265</v>
      </c>
      <c r="I1602" t="s">
        <v>16</v>
      </c>
      <c r="J1602" t="s">
        <v>52</v>
      </c>
      <c r="K1602" t="s">
        <v>35</v>
      </c>
      <c r="L1602" s="6">
        <v>0</v>
      </c>
      <c r="M1602" s="6">
        <v>100</v>
      </c>
      <c r="N1602" s="6">
        <v>100</v>
      </c>
      <c r="O1602" s="6">
        <v>46137.34</v>
      </c>
      <c r="P1602" s="7">
        <v>0</v>
      </c>
      <c r="Q1602" s="6">
        <v>0</v>
      </c>
    </row>
    <row r="1603" spans="1:17">
      <c r="A1603">
        <v>1602</v>
      </c>
      <c r="B1603" s="5">
        <v>45792</v>
      </c>
      <c r="C1603" t="s">
        <v>791</v>
      </c>
      <c r="D1603" t="s">
        <v>792</v>
      </c>
      <c r="E1603" t="s">
        <v>793</v>
      </c>
      <c r="F1603">
        <v>12</v>
      </c>
      <c r="G1603" t="s">
        <v>893</v>
      </c>
      <c r="H1603" t="s">
        <v>894</v>
      </c>
      <c r="I1603" t="s">
        <v>16</v>
      </c>
      <c r="J1603" t="s">
        <v>52</v>
      </c>
      <c r="K1603" t="s">
        <v>35</v>
      </c>
      <c r="L1603" s="6">
        <v>0</v>
      </c>
      <c r="M1603" s="6">
        <v>2600</v>
      </c>
      <c r="N1603" s="6">
        <v>2600</v>
      </c>
      <c r="O1603" s="6">
        <v>48737.34</v>
      </c>
      <c r="P1603" s="7">
        <v>0</v>
      </c>
      <c r="Q1603" s="6">
        <v>0</v>
      </c>
    </row>
    <row r="1604" spans="1:17">
      <c r="A1604">
        <v>1603</v>
      </c>
      <c r="B1604" s="5">
        <v>45870</v>
      </c>
      <c r="C1604" t="s">
        <v>916</v>
      </c>
      <c r="D1604" t="s">
        <v>917</v>
      </c>
      <c r="E1604" t="s">
        <v>918</v>
      </c>
      <c r="F1604">
        <v>1</v>
      </c>
      <c r="G1604" t="s">
        <v>919</v>
      </c>
      <c r="I1604" t="s">
        <v>17</v>
      </c>
      <c r="J1604" t="s">
        <v>64</v>
      </c>
      <c r="K1604" t="s">
        <v>34</v>
      </c>
      <c r="L1604" s="6">
        <v>35000</v>
      </c>
      <c r="M1604" s="6">
        <v>0</v>
      </c>
      <c r="N1604" s="6">
        <v>-35000</v>
      </c>
      <c r="O1604" s="6">
        <v>15682.69</v>
      </c>
      <c r="P1604" s="7">
        <v>0</v>
      </c>
      <c r="Q1604" s="6">
        <v>0</v>
      </c>
    </row>
    <row r="1605" spans="1:17">
      <c r="A1605">
        <v>1604</v>
      </c>
      <c r="B1605" s="5">
        <v>45870</v>
      </c>
      <c r="C1605" t="s">
        <v>916</v>
      </c>
      <c r="D1605" t="s">
        <v>917</v>
      </c>
      <c r="E1605" t="s">
        <v>918</v>
      </c>
      <c r="F1605">
        <v>1</v>
      </c>
      <c r="G1605" t="s">
        <v>920</v>
      </c>
      <c r="I1605" t="s">
        <v>17</v>
      </c>
      <c r="J1605" t="s">
        <v>64</v>
      </c>
      <c r="K1605" t="s">
        <v>34</v>
      </c>
      <c r="L1605" s="6">
        <v>2000</v>
      </c>
      <c r="M1605" s="6">
        <v>0</v>
      </c>
      <c r="N1605" s="6">
        <v>-2000</v>
      </c>
      <c r="O1605" s="6">
        <v>13682.69</v>
      </c>
      <c r="P1605" s="7">
        <v>0</v>
      </c>
      <c r="Q1605" s="6">
        <v>0</v>
      </c>
    </row>
    <row r="1606" spans="1:17">
      <c r="A1606">
        <v>1605</v>
      </c>
      <c r="B1606" s="5">
        <v>45870</v>
      </c>
      <c r="C1606" t="s">
        <v>916</v>
      </c>
      <c r="D1606" t="s">
        <v>917</v>
      </c>
      <c r="E1606" t="s">
        <v>918</v>
      </c>
      <c r="F1606">
        <v>1</v>
      </c>
      <c r="G1606" t="s">
        <v>921</v>
      </c>
      <c r="H1606" t="s">
        <v>922</v>
      </c>
      <c r="I1606" t="s">
        <v>16</v>
      </c>
      <c r="J1606" t="s">
        <v>52</v>
      </c>
      <c r="K1606" t="s">
        <v>35</v>
      </c>
      <c r="L1606" s="6">
        <v>0</v>
      </c>
      <c r="M1606" s="6">
        <v>4000</v>
      </c>
      <c r="N1606" s="6">
        <v>4000</v>
      </c>
      <c r="O1606" s="6">
        <v>17682.689999999999</v>
      </c>
      <c r="P1606" s="7">
        <v>0</v>
      </c>
      <c r="Q1606" s="6">
        <v>0</v>
      </c>
    </row>
    <row r="1607" spans="1:17">
      <c r="A1607">
        <v>1606</v>
      </c>
      <c r="B1607" s="5">
        <v>45870</v>
      </c>
      <c r="C1607" t="s">
        <v>916</v>
      </c>
      <c r="D1607" t="s">
        <v>917</v>
      </c>
      <c r="E1607" t="s">
        <v>918</v>
      </c>
      <c r="F1607">
        <v>1</v>
      </c>
      <c r="G1607" t="s">
        <v>923</v>
      </c>
      <c r="H1607" t="s">
        <v>924</v>
      </c>
      <c r="I1607" t="s">
        <v>16</v>
      </c>
      <c r="J1607" t="s">
        <v>52</v>
      </c>
      <c r="K1607" t="s">
        <v>35</v>
      </c>
      <c r="L1607" s="6">
        <v>0</v>
      </c>
      <c r="M1607" s="6">
        <v>500</v>
      </c>
      <c r="N1607" s="6">
        <v>500</v>
      </c>
      <c r="O1607" s="6">
        <v>18182.689999999999</v>
      </c>
      <c r="P1607" s="7">
        <v>0</v>
      </c>
      <c r="Q1607" s="6">
        <v>0</v>
      </c>
    </row>
    <row r="1608" spans="1:17">
      <c r="A1608">
        <v>1607</v>
      </c>
      <c r="B1608" s="5">
        <v>45870</v>
      </c>
      <c r="C1608" t="s">
        <v>916</v>
      </c>
      <c r="D1608" t="s">
        <v>917</v>
      </c>
      <c r="E1608" t="s">
        <v>918</v>
      </c>
      <c r="F1608">
        <v>1</v>
      </c>
      <c r="G1608" t="s">
        <v>817</v>
      </c>
      <c r="H1608" t="s">
        <v>818</v>
      </c>
      <c r="I1608" t="s">
        <v>16</v>
      </c>
      <c r="J1608" t="s">
        <v>52</v>
      </c>
      <c r="K1608" t="s">
        <v>35</v>
      </c>
      <c r="L1608" s="6">
        <v>0</v>
      </c>
      <c r="M1608" s="6">
        <v>10000</v>
      </c>
      <c r="N1608" s="6">
        <v>10000</v>
      </c>
      <c r="O1608" s="6">
        <v>28182.69</v>
      </c>
      <c r="P1608" s="7">
        <v>0</v>
      </c>
      <c r="Q1608" s="6">
        <v>0</v>
      </c>
    </row>
    <row r="1609" spans="1:17">
      <c r="A1609">
        <v>1608</v>
      </c>
      <c r="B1609" s="5">
        <v>45870</v>
      </c>
      <c r="C1609" t="s">
        <v>916</v>
      </c>
      <c r="D1609" t="s">
        <v>917</v>
      </c>
      <c r="E1609" t="s">
        <v>918</v>
      </c>
      <c r="F1609">
        <v>1</v>
      </c>
      <c r="G1609" t="s">
        <v>925</v>
      </c>
      <c r="H1609" t="s">
        <v>66</v>
      </c>
      <c r="I1609" t="s">
        <v>22</v>
      </c>
      <c r="J1609" t="s">
        <v>67</v>
      </c>
      <c r="K1609" t="s">
        <v>34</v>
      </c>
      <c r="L1609" s="6">
        <v>5272</v>
      </c>
      <c r="M1609" s="6">
        <v>0</v>
      </c>
      <c r="N1609" s="6">
        <v>-5272</v>
      </c>
      <c r="O1609" s="6">
        <v>22910.69</v>
      </c>
      <c r="P1609" s="7">
        <v>0</v>
      </c>
      <c r="Q1609" s="6">
        <v>0</v>
      </c>
    </row>
    <row r="1610" spans="1:17">
      <c r="A1610">
        <v>1609</v>
      </c>
      <c r="B1610" s="5">
        <v>45870</v>
      </c>
      <c r="C1610" t="s">
        <v>916</v>
      </c>
      <c r="D1610" t="s">
        <v>917</v>
      </c>
      <c r="E1610" t="s">
        <v>918</v>
      </c>
      <c r="F1610">
        <v>1</v>
      </c>
      <c r="G1610" t="s">
        <v>926</v>
      </c>
      <c r="H1610" t="s">
        <v>66</v>
      </c>
      <c r="I1610" t="s">
        <v>22</v>
      </c>
      <c r="J1610" t="s">
        <v>67</v>
      </c>
      <c r="K1610" t="s">
        <v>34</v>
      </c>
      <c r="L1610" s="6">
        <v>1000</v>
      </c>
      <c r="M1610" s="6">
        <v>0</v>
      </c>
      <c r="N1610" s="6">
        <v>-1000</v>
      </c>
      <c r="O1610" s="6">
        <v>21910.69</v>
      </c>
      <c r="P1610" s="7">
        <v>0</v>
      </c>
      <c r="Q1610" s="6">
        <v>0</v>
      </c>
    </row>
    <row r="1611" spans="1:17">
      <c r="A1611">
        <v>1610</v>
      </c>
      <c r="B1611" s="5">
        <v>45870</v>
      </c>
      <c r="C1611" t="s">
        <v>916</v>
      </c>
      <c r="D1611" t="s">
        <v>917</v>
      </c>
      <c r="E1611" t="s">
        <v>918</v>
      </c>
      <c r="F1611">
        <v>1</v>
      </c>
      <c r="G1611" t="s">
        <v>927</v>
      </c>
      <c r="H1611" t="s">
        <v>66</v>
      </c>
      <c r="I1611" t="s">
        <v>22</v>
      </c>
      <c r="J1611" t="s">
        <v>67</v>
      </c>
      <c r="K1611" t="s">
        <v>34</v>
      </c>
      <c r="L1611" s="6">
        <v>1056.79</v>
      </c>
      <c r="M1611" s="6">
        <v>0</v>
      </c>
      <c r="N1611" s="6">
        <v>-1056.79</v>
      </c>
      <c r="O1611" s="6">
        <v>20853.900000000001</v>
      </c>
      <c r="P1611" s="7">
        <v>0</v>
      </c>
      <c r="Q1611" s="6">
        <v>0</v>
      </c>
    </row>
    <row r="1612" spans="1:17">
      <c r="A1612">
        <v>1611</v>
      </c>
      <c r="B1612" s="5">
        <v>45870</v>
      </c>
      <c r="C1612" t="s">
        <v>916</v>
      </c>
      <c r="D1612" t="s">
        <v>917</v>
      </c>
      <c r="E1612" t="s">
        <v>918</v>
      </c>
      <c r="F1612">
        <v>1</v>
      </c>
      <c r="G1612" t="s">
        <v>928</v>
      </c>
      <c r="H1612" t="s">
        <v>929</v>
      </c>
      <c r="I1612" t="s">
        <v>22</v>
      </c>
      <c r="J1612" t="s">
        <v>67</v>
      </c>
      <c r="K1612" t="s">
        <v>34</v>
      </c>
      <c r="L1612" s="6">
        <v>1000</v>
      </c>
      <c r="M1612" s="6">
        <v>0</v>
      </c>
      <c r="N1612" s="6">
        <v>-1000</v>
      </c>
      <c r="O1612" s="6">
        <v>19853.900000000001</v>
      </c>
      <c r="P1612" s="7">
        <v>0</v>
      </c>
      <c r="Q1612" s="6">
        <v>0</v>
      </c>
    </row>
    <row r="1613" spans="1:17">
      <c r="A1613">
        <v>1612</v>
      </c>
      <c r="B1613" s="5">
        <v>45870</v>
      </c>
      <c r="C1613" t="s">
        <v>916</v>
      </c>
      <c r="D1613" t="s">
        <v>917</v>
      </c>
      <c r="E1613" t="s">
        <v>918</v>
      </c>
      <c r="F1613">
        <v>1</v>
      </c>
      <c r="G1613" t="s">
        <v>930</v>
      </c>
      <c r="H1613" t="s">
        <v>929</v>
      </c>
      <c r="I1613" t="s">
        <v>22</v>
      </c>
      <c r="J1613" t="s">
        <v>67</v>
      </c>
      <c r="K1613" t="s">
        <v>34</v>
      </c>
      <c r="L1613" s="6">
        <v>500</v>
      </c>
      <c r="M1613" s="6">
        <v>0</v>
      </c>
      <c r="N1613" s="6">
        <v>-500</v>
      </c>
      <c r="O1613" s="6">
        <v>19353.900000000001</v>
      </c>
      <c r="P1613" s="7">
        <v>0</v>
      </c>
      <c r="Q1613" s="6">
        <v>0</v>
      </c>
    </row>
    <row r="1614" spans="1:17">
      <c r="A1614">
        <v>1613</v>
      </c>
      <c r="B1614" s="5">
        <v>45870</v>
      </c>
      <c r="C1614" t="s">
        <v>916</v>
      </c>
      <c r="D1614" t="s">
        <v>917</v>
      </c>
      <c r="E1614" t="s">
        <v>918</v>
      </c>
      <c r="F1614">
        <v>1</v>
      </c>
      <c r="G1614" t="s">
        <v>931</v>
      </c>
      <c r="H1614" t="s">
        <v>929</v>
      </c>
      <c r="I1614" t="s">
        <v>22</v>
      </c>
      <c r="J1614" t="s">
        <v>67</v>
      </c>
      <c r="K1614" t="s">
        <v>34</v>
      </c>
      <c r="L1614" s="6">
        <v>2000</v>
      </c>
      <c r="M1614" s="6">
        <v>0</v>
      </c>
      <c r="N1614" s="6">
        <v>-2000</v>
      </c>
      <c r="O1614" s="6">
        <v>17353.900000000001</v>
      </c>
      <c r="P1614" s="7">
        <v>0</v>
      </c>
      <c r="Q1614" s="6">
        <v>0</v>
      </c>
    </row>
    <row r="1615" spans="1:17">
      <c r="A1615">
        <v>1614</v>
      </c>
      <c r="B1615" s="5">
        <v>45870</v>
      </c>
      <c r="C1615" t="s">
        <v>916</v>
      </c>
      <c r="D1615" t="s">
        <v>917</v>
      </c>
      <c r="E1615" t="s">
        <v>918</v>
      </c>
      <c r="F1615">
        <v>1</v>
      </c>
      <c r="G1615" t="s">
        <v>932</v>
      </c>
      <c r="H1615" t="s">
        <v>929</v>
      </c>
      <c r="I1615" t="s">
        <v>22</v>
      </c>
      <c r="J1615" t="s">
        <v>67</v>
      </c>
      <c r="K1615" t="s">
        <v>34</v>
      </c>
      <c r="L1615" s="6">
        <v>85</v>
      </c>
      <c r="M1615" s="6">
        <v>0</v>
      </c>
      <c r="N1615" s="6">
        <v>-85</v>
      </c>
      <c r="O1615" s="6">
        <v>17268.900000000001</v>
      </c>
      <c r="P1615" s="7">
        <v>0</v>
      </c>
      <c r="Q1615" s="6">
        <v>0</v>
      </c>
    </row>
    <row r="1616" spans="1:17">
      <c r="A1616">
        <v>1615</v>
      </c>
      <c r="B1616" s="5">
        <v>45870</v>
      </c>
      <c r="C1616" t="s">
        <v>916</v>
      </c>
      <c r="D1616" t="s">
        <v>917</v>
      </c>
      <c r="E1616" t="s">
        <v>918</v>
      </c>
      <c r="F1616">
        <v>1</v>
      </c>
      <c r="G1616" t="s">
        <v>933</v>
      </c>
      <c r="H1616" t="s">
        <v>66</v>
      </c>
      <c r="I1616" t="s">
        <v>22</v>
      </c>
      <c r="J1616" t="s">
        <v>67</v>
      </c>
      <c r="K1616" t="s">
        <v>34</v>
      </c>
      <c r="L1616" s="6">
        <v>600</v>
      </c>
      <c r="M1616" s="6">
        <v>0</v>
      </c>
      <c r="N1616" s="6">
        <v>-600</v>
      </c>
      <c r="O1616" s="6">
        <v>16668.900000000001</v>
      </c>
      <c r="P1616" s="7">
        <v>0</v>
      </c>
      <c r="Q1616" s="6">
        <v>0</v>
      </c>
    </row>
    <row r="1617" spans="1:17">
      <c r="A1617">
        <v>1616</v>
      </c>
      <c r="B1617" s="5">
        <v>45870</v>
      </c>
      <c r="C1617" t="s">
        <v>916</v>
      </c>
      <c r="D1617" t="s">
        <v>917</v>
      </c>
      <c r="E1617" t="s">
        <v>918</v>
      </c>
      <c r="F1617">
        <v>1</v>
      </c>
      <c r="G1617" t="s">
        <v>934</v>
      </c>
      <c r="H1617" t="s">
        <v>66</v>
      </c>
      <c r="I1617" t="s">
        <v>22</v>
      </c>
      <c r="J1617" t="s">
        <v>67</v>
      </c>
      <c r="K1617" t="s">
        <v>34</v>
      </c>
      <c r="L1617" s="6">
        <v>228</v>
      </c>
      <c r="M1617" s="6">
        <v>0</v>
      </c>
      <c r="N1617" s="6">
        <v>-228</v>
      </c>
      <c r="O1617" s="6">
        <v>16440.900000000001</v>
      </c>
      <c r="P1617" s="7">
        <v>0</v>
      </c>
      <c r="Q1617" s="6">
        <v>0</v>
      </c>
    </row>
    <row r="1618" spans="1:17">
      <c r="A1618">
        <v>1617</v>
      </c>
      <c r="B1618" s="5">
        <v>45870</v>
      </c>
      <c r="C1618" t="s">
        <v>916</v>
      </c>
      <c r="D1618" t="s">
        <v>917</v>
      </c>
      <c r="E1618" t="s">
        <v>918</v>
      </c>
      <c r="F1618">
        <v>1</v>
      </c>
      <c r="G1618" t="s">
        <v>935</v>
      </c>
      <c r="H1618" t="s">
        <v>929</v>
      </c>
      <c r="I1618" t="s">
        <v>22</v>
      </c>
      <c r="J1618" t="s">
        <v>67</v>
      </c>
      <c r="K1618" t="s">
        <v>34</v>
      </c>
      <c r="L1618" s="6">
        <v>300</v>
      </c>
      <c r="M1618" s="6">
        <v>0</v>
      </c>
      <c r="N1618" s="6">
        <v>-300</v>
      </c>
      <c r="O1618" s="6">
        <v>16140.9</v>
      </c>
      <c r="P1618" s="7">
        <v>0</v>
      </c>
      <c r="Q1618" s="6">
        <v>0</v>
      </c>
    </row>
    <row r="1619" spans="1:17">
      <c r="A1619">
        <v>1618</v>
      </c>
      <c r="B1619" s="5">
        <v>45870</v>
      </c>
      <c r="C1619" t="s">
        <v>916</v>
      </c>
      <c r="D1619" t="s">
        <v>917</v>
      </c>
      <c r="E1619" t="s">
        <v>918</v>
      </c>
      <c r="F1619">
        <v>1</v>
      </c>
      <c r="G1619" t="s">
        <v>936</v>
      </c>
      <c r="H1619" t="s">
        <v>929</v>
      </c>
      <c r="I1619" t="s">
        <v>22</v>
      </c>
      <c r="J1619" t="s">
        <v>67</v>
      </c>
      <c r="K1619" t="s">
        <v>34</v>
      </c>
      <c r="L1619" s="6">
        <v>900</v>
      </c>
      <c r="M1619" s="6">
        <v>0</v>
      </c>
      <c r="N1619" s="6">
        <v>-900</v>
      </c>
      <c r="O1619" s="6">
        <v>15240.9</v>
      </c>
      <c r="P1619" s="7">
        <v>0</v>
      </c>
      <c r="Q1619" s="6">
        <v>0</v>
      </c>
    </row>
    <row r="1620" spans="1:17">
      <c r="A1620">
        <v>1619</v>
      </c>
      <c r="B1620" s="5">
        <v>45870</v>
      </c>
      <c r="C1620" t="s">
        <v>916</v>
      </c>
      <c r="D1620" t="s">
        <v>917</v>
      </c>
      <c r="E1620" t="s">
        <v>918</v>
      </c>
      <c r="F1620">
        <v>1</v>
      </c>
      <c r="G1620" t="s">
        <v>937</v>
      </c>
      <c r="H1620" t="s">
        <v>66</v>
      </c>
      <c r="I1620" t="s">
        <v>22</v>
      </c>
      <c r="J1620" t="s">
        <v>67</v>
      </c>
      <c r="K1620" t="s">
        <v>34</v>
      </c>
      <c r="L1620" s="6">
        <v>348.92</v>
      </c>
      <c r="M1620" s="6">
        <v>0</v>
      </c>
      <c r="N1620" s="6">
        <v>-348.92</v>
      </c>
      <c r="O1620" s="6">
        <v>14891.98</v>
      </c>
      <c r="P1620" s="7">
        <v>0</v>
      </c>
      <c r="Q1620" s="6">
        <v>0</v>
      </c>
    </row>
    <row r="1621" spans="1:17">
      <c r="A1621">
        <v>1620</v>
      </c>
      <c r="B1621" s="5">
        <v>45870</v>
      </c>
      <c r="C1621" t="s">
        <v>916</v>
      </c>
      <c r="D1621" t="s">
        <v>917</v>
      </c>
      <c r="E1621" t="s">
        <v>918</v>
      </c>
      <c r="F1621">
        <v>1</v>
      </c>
      <c r="G1621" t="s">
        <v>269</v>
      </c>
      <c r="H1621" t="s">
        <v>270</v>
      </c>
      <c r="I1621" t="s">
        <v>16</v>
      </c>
      <c r="J1621" t="s">
        <v>52</v>
      </c>
      <c r="K1621" t="s">
        <v>35</v>
      </c>
      <c r="L1621" s="6">
        <v>0</v>
      </c>
      <c r="M1621" s="6">
        <v>2500</v>
      </c>
      <c r="N1621" s="6">
        <v>2500</v>
      </c>
      <c r="O1621" s="6">
        <v>17391.98</v>
      </c>
      <c r="P1621" s="7">
        <v>0</v>
      </c>
      <c r="Q1621" s="6">
        <v>0</v>
      </c>
    </row>
    <row r="1622" spans="1:17">
      <c r="A1622">
        <v>1621</v>
      </c>
      <c r="B1622" s="5">
        <v>45870</v>
      </c>
      <c r="C1622" t="s">
        <v>916</v>
      </c>
      <c r="D1622" t="s">
        <v>917</v>
      </c>
      <c r="E1622" t="s">
        <v>918</v>
      </c>
      <c r="F1622">
        <v>1</v>
      </c>
      <c r="G1622" t="s">
        <v>938</v>
      </c>
      <c r="H1622" t="s">
        <v>939</v>
      </c>
      <c r="I1622" t="s">
        <v>16</v>
      </c>
      <c r="J1622" t="s">
        <v>52</v>
      </c>
      <c r="K1622" t="s">
        <v>35</v>
      </c>
      <c r="L1622" s="6">
        <v>0</v>
      </c>
      <c r="M1622" s="6">
        <v>500</v>
      </c>
      <c r="N1622" s="6">
        <v>500</v>
      </c>
      <c r="O1622" s="6">
        <v>17891.98</v>
      </c>
      <c r="P1622" s="7">
        <v>0</v>
      </c>
      <c r="Q1622" s="6">
        <v>0</v>
      </c>
    </row>
    <row r="1623" spans="1:17">
      <c r="A1623">
        <v>1622</v>
      </c>
      <c r="B1623" s="5">
        <v>45870</v>
      </c>
      <c r="C1623" t="s">
        <v>916</v>
      </c>
      <c r="D1623" t="s">
        <v>917</v>
      </c>
      <c r="E1623" t="s">
        <v>918</v>
      </c>
      <c r="F1623">
        <v>1</v>
      </c>
      <c r="G1623" t="s">
        <v>940</v>
      </c>
      <c r="H1623" t="s">
        <v>941</v>
      </c>
      <c r="I1623" t="s">
        <v>16</v>
      </c>
      <c r="J1623" t="s">
        <v>52</v>
      </c>
      <c r="K1623" t="s">
        <v>35</v>
      </c>
      <c r="L1623" s="6">
        <v>0</v>
      </c>
      <c r="M1623" s="6">
        <v>2000</v>
      </c>
      <c r="N1623" s="6">
        <v>2000</v>
      </c>
      <c r="O1623" s="6">
        <v>19891.98</v>
      </c>
      <c r="P1623" s="7">
        <v>0</v>
      </c>
      <c r="Q1623" s="6">
        <v>0</v>
      </c>
    </row>
    <row r="1624" spans="1:17">
      <c r="A1624">
        <v>1623</v>
      </c>
      <c r="B1624" s="5">
        <v>45870</v>
      </c>
      <c r="C1624" t="s">
        <v>916</v>
      </c>
      <c r="D1624" t="s">
        <v>917</v>
      </c>
      <c r="E1624" t="s">
        <v>918</v>
      </c>
      <c r="F1624">
        <v>1</v>
      </c>
      <c r="G1624" t="s">
        <v>942</v>
      </c>
      <c r="I1624" t="s">
        <v>15</v>
      </c>
      <c r="J1624" t="s">
        <v>52</v>
      </c>
      <c r="K1624" t="s">
        <v>35</v>
      </c>
      <c r="L1624" s="6">
        <v>0</v>
      </c>
      <c r="M1624" s="6">
        <v>43057</v>
      </c>
      <c r="N1624" s="6">
        <v>43057</v>
      </c>
      <c r="O1624" s="6">
        <v>62948.98</v>
      </c>
      <c r="P1624" s="7">
        <v>0</v>
      </c>
      <c r="Q1624" s="6">
        <v>0</v>
      </c>
    </row>
    <row r="1625" spans="1:17">
      <c r="A1625">
        <v>1624</v>
      </c>
      <c r="B1625" s="5">
        <v>45870</v>
      </c>
      <c r="C1625" t="s">
        <v>916</v>
      </c>
      <c r="D1625" t="s">
        <v>917</v>
      </c>
      <c r="E1625" t="s">
        <v>918</v>
      </c>
      <c r="F1625">
        <v>1</v>
      </c>
      <c r="G1625" t="s">
        <v>799</v>
      </c>
      <c r="H1625" t="s">
        <v>144</v>
      </c>
      <c r="I1625" t="s">
        <v>16</v>
      </c>
      <c r="J1625" t="s">
        <v>52</v>
      </c>
      <c r="K1625" t="s">
        <v>35</v>
      </c>
      <c r="L1625" s="6">
        <v>0</v>
      </c>
      <c r="M1625" s="6">
        <v>300</v>
      </c>
      <c r="N1625" s="6">
        <v>300</v>
      </c>
      <c r="O1625" s="6">
        <v>63248.98</v>
      </c>
      <c r="P1625" s="7">
        <v>0</v>
      </c>
      <c r="Q1625" s="6">
        <v>0</v>
      </c>
    </row>
    <row r="1626" spans="1:17">
      <c r="A1626">
        <v>1625</v>
      </c>
      <c r="B1626" s="5">
        <v>45870</v>
      </c>
      <c r="C1626" t="s">
        <v>916</v>
      </c>
      <c r="D1626" t="s">
        <v>917</v>
      </c>
      <c r="E1626" t="s">
        <v>918</v>
      </c>
      <c r="F1626">
        <v>1</v>
      </c>
      <c r="G1626" t="s">
        <v>900</v>
      </c>
      <c r="I1626" t="s">
        <v>16</v>
      </c>
      <c r="J1626" t="s">
        <v>52</v>
      </c>
      <c r="K1626" t="s">
        <v>35</v>
      </c>
      <c r="L1626" s="6">
        <v>0</v>
      </c>
      <c r="M1626" s="6">
        <v>2460.87</v>
      </c>
      <c r="N1626" s="6">
        <v>2460.87</v>
      </c>
      <c r="O1626" s="6">
        <v>65709.850000000006</v>
      </c>
      <c r="P1626" s="7">
        <v>0</v>
      </c>
      <c r="Q1626" s="6">
        <v>0</v>
      </c>
    </row>
    <row r="1627" spans="1:17">
      <c r="A1627">
        <v>1626</v>
      </c>
      <c r="B1627" s="5">
        <v>45870</v>
      </c>
      <c r="C1627" t="s">
        <v>916</v>
      </c>
      <c r="D1627" t="s">
        <v>917</v>
      </c>
      <c r="E1627" t="s">
        <v>918</v>
      </c>
      <c r="F1627">
        <v>1</v>
      </c>
      <c r="G1627" t="s">
        <v>943</v>
      </c>
      <c r="H1627" t="s">
        <v>944</v>
      </c>
      <c r="I1627" t="s">
        <v>18</v>
      </c>
      <c r="J1627" t="s">
        <v>345</v>
      </c>
      <c r="K1627" t="s">
        <v>34</v>
      </c>
      <c r="L1627" s="6">
        <v>1000</v>
      </c>
      <c r="M1627" s="6">
        <v>0</v>
      </c>
      <c r="N1627" s="6">
        <v>-1000</v>
      </c>
      <c r="O1627" s="6">
        <v>64709.85</v>
      </c>
      <c r="P1627" s="7">
        <v>0</v>
      </c>
      <c r="Q1627" s="6">
        <v>0</v>
      </c>
    </row>
    <row r="1628" spans="1:17">
      <c r="A1628">
        <v>1627</v>
      </c>
      <c r="B1628" s="5">
        <v>45870</v>
      </c>
      <c r="C1628" t="s">
        <v>916</v>
      </c>
      <c r="D1628" t="s">
        <v>917</v>
      </c>
      <c r="E1628" t="s">
        <v>918</v>
      </c>
      <c r="F1628">
        <v>1</v>
      </c>
      <c r="G1628" t="s">
        <v>346</v>
      </c>
      <c r="I1628" t="s">
        <v>14</v>
      </c>
      <c r="J1628" t="s">
        <v>46</v>
      </c>
      <c r="K1628" t="s">
        <v>34</v>
      </c>
      <c r="L1628" s="6">
        <v>40</v>
      </c>
      <c r="M1628" s="6">
        <v>0</v>
      </c>
      <c r="N1628" s="6">
        <v>-40</v>
      </c>
      <c r="O1628" s="6">
        <v>64669.85</v>
      </c>
      <c r="P1628" s="7">
        <v>0.15</v>
      </c>
      <c r="Q1628" s="6">
        <v>5.22</v>
      </c>
    </row>
    <row r="1629" spans="1:17">
      <c r="A1629">
        <v>1628</v>
      </c>
      <c r="B1629" s="5">
        <v>45870</v>
      </c>
      <c r="C1629" t="s">
        <v>916</v>
      </c>
      <c r="D1629" t="s">
        <v>917</v>
      </c>
      <c r="E1629" t="s">
        <v>918</v>
      </c>
      <c r="F1629">
        <v>2</v>
      </c>
      <c r="G1629" t="s">
        <v>945</v>
      </c>
      <c r="H1629" t="s">
        <v>946</v>
      </c>
      <c r="I1629" t="s">
        <v>18</v>
      </c>
      <c r="J1629" t="s">
        <v>345</v>
      </c>
      <c r="K1629" t="s">
        <v>34</v>
      </c>
      <c r="L1629" s="6">
        <v>146</v>
      </c>
      <c r="M1629" s="6">
        <v>0</v>
      </c>
      <c r="N1629" s="6">
        <v>-146</v>
      </c>
      <c r="O1629" s="6">
        <v>64523.85</v>
      </c>
      <c r="P1629" s="7">
        <v>0</v>
      </c>
      <c r="Q1629" s="6">
        <v>0</v>
      </c>
    </row>
    <row r="1630" spans="1:17">
      <c r="A1630">
        <v>1629</v>
      </c>
      <c r="B1630" s="5">
        <v>45870</v>
      </c>
      <c r="C1630" t="s">
        <v>916</v>
      </c>
      <c r="D1630" t="s">
        <v>917</v>
      </c>
      <c r="E1630" t="s">
        <v>918</v>
      </c>
      <c r="F1630">
        <v>2</v>
      </c>
      <c r="G1630" t="s">
        <v>346</v>
      </c>
      <c r="I1630" t="s">
        <v>14</v>
      </c>
      <c r="J1630" t="s">
        <v>46</v>
      </c>
      <c r="K1630" t="s">
        <v>34</v>
      </c>
      <c r="L1630" s="6">
        <v>20</v>
      </c>
      <c r="M1630" s="6">
        <v>0</v>
      </c>
      <c r="N1630" s="6">
        <v>-20</v>
      </c>
      <c r="O1630" s="6">
        <v>64503.85</v>
      </c>
      <c r="P1630" s="7">
        <v>0.15</v>
      </c>
      <c r="Q1630" s="6">
        <v>2.61</v>
      </c>
    </row>
    <row r="1631" spans="1:17">
      <c r="A1631">
        <v>1630</v>
      </c>
      <c r="B1631" s="5">
        <v>45870</v>
      </c>
      <c r="C1631" t="s">
        <v>916</v>
      </c>
      <c r="D1631" t="s">
        <v>917</v>
      </c>
      <c r="E1631" t="s">
        <v>918</v>
      </c>
      <c r="F1631">
        <v>2</v>
      </c>
      <c r="G1631" t="s">
        <v>947</v>
      </c>
      <c r="H1631" t="s">
        <v>66</v>
      </c>
      <c r="I1631" t="s">
        <v>22</v>
      </c>
      <c r="J1631" t="s">
        <v>67</v>
      </c>
      <c r="K1631" t="s">
        <v>34</v>
      </c>
      <c r="L1631" s="6">
        <v>50.81</v>
      </c>
      <c r="M1631" s="6">
        <v>0</v>
      </c>
      <c r="N1631" s="6">
        <v>-50.81</v>
      </c>
      <c r="O1631" s="6">
        <v>64453.04</v>
      </c>
      <c r="P1631" s="7">
        <v>0</v>
      </c>
      <c r="Q1631" s="6">
        <v>0</v>
      </c>
    </row>
    <row r="1632" spans="1:17">
      <c r="A1632">
        <v>1631</v>
      </c>
      <c r="B1632" s="5">
        <v>45870</v>
      </c>
      <c r="C1632" t="s">
        <v>916</v>
      </c>
      <c r="D1632" t="s">
        <v>917</v>
      </c>
      <c r="E1632" t="s">
        <v>918</v>
      </c>
      <c r="F1632">
        <v>2</v>
      </c>
      <c r="G1632" t="s">
        <v>948</v>
      </c>
      <c r="H1632" t="s">
        <v>66</v>
      </c>
      <c r="I1632" t="s">
        <v>22</v>
      </c>
      <c r="J1632" t="s">
        <v>67</v>
      </c>
      <c r="K1632" t="s">
        <v>34</v>
      </c>
      <c r="L1632" s="6">
        <v>344</v>
      </c>
      <c r="M1632" s="6">
        <v>0</v>
      </c>
      <c r="N1632" s="6">
        <v>-344</v>
      </c>
      <c r="O1632" s="6">
        <v>64109.04</v>
      </c>
      <c r="P1632" s="7">
        <v>0</v>
      </c>
      <c r="Q1632" s="6">
        <v>0</v>
      </c>
    </row>
    <row r="1633" spans="1:17">
      <c r="A1633">
        <v>1632</v>
      </c>
      <c r="B1633" s="5">
        <v>45870</v>
      </c>
      <c r="C1633" t="s">
        <v>916</v>
      </c>
      <c r="D1633" t="s">
        <v>917</v>
      </c>
      <c r="E1633" t="s">
        <v>918</v>
      </c>
      <c r="F1633">
        <v>2</v>
      </c>
      <c r="G1633" t="s">
        <v>949</v>
      </c>
      <c r="H1633" t="s">
        <v>929</v>
      </c>
      <c r="I1633" t="s">
        <v>22</v>
      </c>
      <c r="J1633" t="s">
        <v>67</v>
      </c>
      <c r="K1633" t="s">
        <v>34</v>
      </c>
      <c r="L1633" s="6">
        <v>416</v>
      </c>
      <c r="M1633" s="6">
        <v>0</v>
      </c>
      <c r="N1633" s="6">
        <v>-416</v>
      </c>
      <c r="O1633" s="6">
        <v>63693.04</v>
      </c>
      <c r="P1633" s="7">
        <v>0</v>
      </c>
      <c r="Q1633" s="6">
        <v>0</v>
      </c>
    </row>
    <row r="1634" spans="1:17">
      <c r="A1634">
        <v>1633</v>
      </c>
      <c r="B1634" s="5">
        <v>45870</v>
      </c>
      <c r="C1634" t="s">
        <v>916</v>
      </c>
      <c r="D1634" t="s">
        <v>917</v>
      </c>
      <c r="E1634" t="s">
        <v>918</v>
      </c>
      <c r="F1634">
        <v>2</v>
      </c>
      <c r="G1634" t="s">
        <v>950</v>
      </c>
      <c r="H1634" t="s">
        <v>929</v>
      </c>
      <c r="I1634" t="s">
        <v>22</v>
      </c>
      <c r="J1634" t="s">
        <v>67</v>
      </c>
      <c r="K1634" t="s">
        <v>34</v>
      </c>
      <c r="L1634" s="6">
        <v>6200</v>
      </c>
      <c r="M1634" s="6">
        <v>0</v>
      </c>
      <c r="N1634" s="6">
        <v>-6200</v>
      </c>
      <c r="O1634" s="6">
        <v>57493.04</v>
      </c>
      <c r="P1634" s="7">
        <v>0</v>
      </c>
      <c r="Q1634" s="6">
        <v>0</v>
      </c>
    </row>
    <row r="1635" spans="1:17">
      <c r="A1635">
        <v>1634</v>
      </c>
      <c r="B1635" s="5">
        <v>45870</v>
      </c>
      <c r="C1635" t="s">
        <v>916</v>
      </c>
      <c r="D1635" t="s">
        <v>917</v>
      </c>
      <c r="E1635" t="s">
        <v>918</v>
      </c>
      <c r="F1635">
        <v>2</v>
      </c>
      <c r="G1635" t="s">
        <v>951</v>
      </c>
      <c r="H1635" t="s">
        <v>929</v>
      </c>
      <c r="I1635" t="s">
        <v>22</v>
      </c>
      <c r="J1635" t="s">
        <v>67</v>
      </c>
      <c r="K1635" t="s">
        <v>34</v>
      </c>
      <c r="L1635" s="6">
        <v>50</v>
      </c>
      <c r="M1635" s="6">
        <v>0</v>
      </c>
      <c r="N1635" s="6">
        <v>-50</v>
      </c>
      <c r="O1635" s="6">
        <v>57443.040000000001</v>
      </c>
      <c r="P1635" s="7">
        <v>0</v>
      </c>
      <c r="Q1635" s="6">
        <v>0</v>
      </c>
    </row>
    <row r="1636" spans="1:17">
      <c r="A1636">
        <v>1635</v>
      </c>
      <c r="B1636" s="5">
        <v>45870</v>
      </c>
      <c r="C1636" t="s">
        <v>916</v>
      </c>
      <c r="D1636" t="s">
        <v>917</v>
      </c>
      <c r="E1636" t="s">
        <v>918</v>
      </c>
      <c r="F1636">
        <v>2</v>
      </c>
      <c r="G1636" t="s">
        <v>952</v>
      </c>
      <c r="H1636" t="s">
        <v>929</v>
      </c>
      <c r="I1636" t="s">
        <v>22</v>
      </c>
      <c r="J1636" t="s">
        <v>67</v>
      </c>
      <c r="K1636" t="s">
        <v>34</v>
      </c>
      <c r="L1636" s="6">
        <v>1000.1</v>
      </c>
      <c r="M1636" s="6">
        <v>0</v>
      </c>
      <c r="N1636" s="6">
        <v>-1000.1</v>
      </c>
      <c r="O1636" s="6">
        <v>56442.94</v>
      </c>
      <c r="P1636" s="7">
        <v>0</v>
      </c>
      <c r="Q1636" s="6">
        <v>0</v>
      </c>
    </row>
    <row r="1637" spans="1:17">
      <c r="A1637">
        <v>1636</v>
      </c>
      <c r="B1637" s="5">
        <v>45870</v>
      </c>
      <c r="C1637" t="s">
        <v>916</v>
      </c>
      <c r="D1637" t="s">
        <v>917</v>
      </c>
      <c r="E1637" t="s">
        <v>918</v>
      </c>
      <c r="F1637">
        <v>2</v>
      </c>
      <c r="G1637" t="s">
        <v>953</v>
      </c>
      <c r="H1637" t="s">
        <v>929</v>
      </c>
      <c r="I1637" t="s">
        <v>22</v>
      </c>
      <c r="J1637" t="s">
        <v>67</v>
      </c>
      <c r="K1637" t="s">
        <v>34</v>
      </c>
      <c r="L1637" s="6">
        <v>1200</v>
      </c>
      <c r="M1637" s="6">
        <v>0</v>
      </c>
      <c r="N1637" s="6">
        <v>-1200</v>
      </c>
      <c r="O1637" s="6">
        <v>55242.94</v>
      </c>
      <c r="P1637" s="7">
        <v>0</v>
      </c>
      <c r="Q1637" s="6">
        <v>0</v>
      </c>
    </row>
    <row r="1638" spans="1:17">
      <c r="A1638">
        <v>1637</v>
      </c>
      <c r="B1638" s="5">
        <v>45870</v>
      </c>
      <c r="C1638" t="s">
        <v>916</v>
      </c>
      <c r="D1638" t="s">
        <v>917</v>
      </c>
      <c r="E1638" t="s">
        <v>918</v>
      </c>
      <c r="F1638">
        <v>2</v>
      </c>
      <c r="G1638" t="s">
        <v>954</v>
      </c>
      <c r="H1638" t="s">
        <v>929</v>
      </c>
      <c r="I1638" t="s">
        <v>22</v>
      </c>
      <c r="J1638" t="s">
        <v>67</v>
      </c>
      <c r="K1638" t="s">
        <v>34</v>
      </c>
      <c r="L1638" s="6">
        <v>1014.05</v>
      </c>
      <c r="M1638" s="6">
        <v>0</v>
      </c>
      <c r="N1638" s="6">
        <v>-1014.05</v>
      </c>
      <c r="O1638" s="6">
        <v>54228.89</v>
      </c>
      <c r="P1638" s="7">
        <v>0</v>
      </c>
      <c r="Q1638" s="6">
        <v>0</v>
      </c>
    </row>
    <row r="1639" spans="1:17">
      <c r="A1639">
        <v>1638</v>
      </c>
      <c r="B1639" s="5">
        <v>45870</v>
      </c>
      <c r="C1639" t="s">
        <v>916</v>
      </c>
      <c r="D1639" t="s">
        <v>917</v>
      </c>
      <c r="E1639" t="s">
        <v>918</v>
      </c>
      <c r="F1639">
        <v>2</v>
      </c>
      <c r="G1639" t="s">
        <v>955</v>
      </c>
      <c r="H1639" t="s">
        <v>929</v>
      </c>
      <c r="I1639" t="s">
        <v>22</v>
      </c>
      <c r="J1639" t="s">
        <v>67</v>
      </c>
      <c r="K1639" t="s">
        <v>34</v>
      </c>
      <c r="L1639" s="6">
        <v>908.45</v>
      </c>
      <c r="M1639" s="6">
        <v>0</v>
      </c>
      <c r="N1639" s="6">
        <v>-908.45</v>
      </c>
      <c r="O1639" s="6">
        <v>53320.44</v>
      </c>
      <c r="P1639" s="7">
        <v>0</v>
      </c>
      <c r="Q1639" s="6">
        <v>0</v>
      </c>
    </row>
    <row r="1640" spans="1:17">
      <c r="A1640">
        <v>1639</v>
      </c>
      <c r="B1640" s="5">
        <v>45870</v>
      </c>
      <c r="C1640" t="s">
        <v>916</v>
      </c>
      <c r="D1640" t="s">
        <v>917</v>
      </c>
      <c r="E1640" t="s">
        <v>918</v>
      </c>
      <c r="F1640">
        <v>2</v>
      </c>
      <c r="G1640" t="s">
        <v>956</v>
      </c>
      <c r="H1640" t="s">
        <v>66</v>
      </c>
      <c r="I1640" t="s">
        <v>22</v>
      </c>
      <c r="J1640" t="s">
        <v>67</v>
      </c>
      <c r="K1640" t="s">
        <v>34</v>
      </c>
      <c r="L1640" s="6">
        <v>1750</v>
      </c>
      <c r="M1640" s="6">
        <v>0</v>
      </c>
      <c r="N1640" s="6">
        <v>-1750</v>
      </c>
      <c r="O1640" s="6">
        <v>51570.44</v>
      </c>
      <c r="P1640" s="7">
        <v>0</v>
      </c>
      <c r="Q1640" s="6">
        <v>0</v>
      </c>
    </row>
    <row r="1641" spans="1:17">
      <c r="A1641">
        <v>1640</v>
      </c>
      <c r="B1641" s="5">
        <v>45870</v>
      </c>
      <c r="C1641" t="s">
        <v>916</v>
      </c>
      <c r="D1641" t="s">
        <v>917</v>
      </c>
      <c r="E1641" t="s">
        <v>918</v>
      </c>
      <c r="F1641">
        <v>2</v>
      </c>
      <c r="G1641" t="s">
        <v>957</v>
      </c>
      <c r="H1641" t="s">
        <v>929</v>
      </c>
      <c r="I1641" t="s">
        <v>22</v>
      </c>
      <c r="J1641" t="s">
        <v>67</v>
      </c>
      <c r="K1641" t="s">
        <v>34</v>
      </c>
      <c r="L1641" s="6">
        <v>904.75</v>
      </c>
      <c r="M1641" s="6">
        <v>0</v>
      </c>
      <c r="N1641" s="6">
        <v>-904.75</v>
      </c>
      <c r="O1641" s="6">
        <v>50665.69</v>
      </c>
      <c r="P1641" s="7">
        <v>0</v>
      </c>
      <c r="Q1641" s="6">
        <v>0</v>
      </c>
    </row>
    <row r="1642" spans="1:17">
      <c r="A1642">
        <v>1641</v>
      </c>
      <c r="B1642" s="5">
        <v>45870</v>
      </c>
      <c r="C1642" t="s">
        <v>916</v>
      </c>
      <c r="D1642" t="s">
        <v>917</v>
      </c>
      <c r="E1642" t="s">
        <v>918</v>
      </c>
      <c r="F1642">
        <v>2</v>
      </c>
      <c r="G1642" t="s">
        <v>958</v>
      </c>
      <c r="H1642" t="s">
        <v>66</v>
      </c>
      <c r="I1642" t="s">
        <v>22</v>
      </c>
      <c r="J1642" t="s">
        <v>67</v>
      </c>
      <c r="K1642" t="s">
        <v>34</v>
      </c>
      <c r="L1642" s="6">
        <v>521</v>
      </c>
      <c r="M1642" s="6">
        <v>0</v>
      </c>
      <c r="N1642" s="6">
        <v>-521</v>
      </c>
      <c r="O1642" s="6">
        <v>50144.69</v>
      </c>
      <c r="P1642" s="7">
        <v>0</v>
      </c>
      <c r="Q1642" s="6">
        <v>0</v>
      </c>
    </row>
    <row r="1643" spans="1:17">
      <c r="A1643">
        <v>1642</v>
      </c>
      <c r="B1643" s="5">
        <v>45870</v>
      </c>
      <c r="C1643" t="s">
        <v>916</v>
      </c>
      <c r="D1643" t="s">
        <v>917</v>
      </c>
      <c r="E1643" t="s">
        <v>918</v>
      </c>
      <c r="F1643">
        <v>2</v>
      </c>
      <c r="G1643" t="s">
        <v>959</v>
      </c>
      <c r="H1643" t="s">
        <v>66</v>
      </c>
      <c r="I1643" t="s">
        <v>22</v>
      </c>
      <c r="J1643" t="s">
        <v>67</v>
      </c>
      <c r="K1643" t="s">
        <v>34</v>
      </c>
      <c r="L1643" s="6">
        <v>4500</v>
      </c>
      <c r="M1643" s="6">
        <v>0</v>
      </c>
      <c r="N1643" s="6">
        <v>-4500</v>
      </c>
      <c r="O1643" s="6">
        <v>45644.69</v>
      </c>
      <c r="P1643" s="7">
        <v>0</v>
      </c>
      <c r="Q1643" s="6">
        <v>0</v>
      </c>
    </row>
    <row r="1644" spans="1:17">
      <c r="A1644">
        <v>1643</v>
      </c>
      <c r="B1644" s="5">
        <v>45870</v>
      </c>
      <c r="C1644" t="s">
        <v>916</v>
      </c>
      <c r="D1644" t="s">
        <v>917</v>
      </c>
      <c r="E1644" t="s">
        <v>918</v>
      </c>
      <c r="F1644">
        <v>2</v>
      </c>
      <c r="G1644" t="s">
        <v>938</v>
      </c>
      <c r="H1644" t="s">
        <v>939</v>
      </c>
      <c r="I1644" t="s">
        <v>16</v>
      </c>
      <c r="J1644" t="s">
        <v>52</v>
      </c>
      <c r="K1644" t="s">
        <v>35</v>
      </c>
      <c r="L1644" s="6">
        <v>0</v>
      </c>
      <c r="M1644" s="6">
        <v>500</v>
      </c>
      <c r="N1644" s="6">
        <v>500</v>
      </c>
      <c r="O1644" s="6">
        <v>46144.69</v>
      </c>
      <c r="P1644" s="7">
        <v>0</v>
      </c>
      <c r="Q1644" s="6">
        <v>0</v>
      </c>
    </row>
    <row r="1645" spans="1:17">
      <c r="A1645">
        <v>1644</v>
      </c>
      <c r="B1645" s="5">
        <v>45870</v>
      </c>
      <c r="C1645" t="s">
        <v>916</v>
      </c>
      <c r="D1645" t="s">
        <v>917</v>
      </c>
      <c r="E1645" t="s">
        <v>918</v>
      </c>
      <c r="F1645">
        <v>2</v>
      </c>
      <c r="G1645" t="s">
        <v>960</v>
      </c>
      <c r="H1645" t="s">
        <v>961</v>
      </c>
      <c r="I1645" t="s">
        <v>16</v>
      </c>
      <c r="J1645" t="s">
        <v>52</v>
      </c>
      <c r="K1645" t="s">
        <v>35</v>
      </c>
      <c r="L1645" s="6">
        <v>0</v>
      </c>
      <c r="M1645" s="6">
        <v>150</v>
      </c>
      <c r="N1645" s="6">
        <v>150</v>
      </c>
      <c r="O1645" s="6">
        <v>46294.69</v>
      </c>
      <c r="P1645" s="7">
        <v>0</v>
      </c>
      <c r="Q1645" s="6">
        <v>0</v>
      </c>
    </row>
    <row r="1646" spans="1:17">
      <c r="A1646">
        <v>1645</v>
      </c>
      <c r="B1646" s="5">
        <v>45870</v>
      </c>
      <c r="C1646" t="s">
        <v>916</v>
      </c>
      <c r="D1646" t="s">
        <v>917</v>
      </c>
      <c r="E1646" t="s">
        <v>918</v>
      </c>
      <c r="F1646">
        <v>2</v>
      </c>
      <c r="G1646" t="s">
        <v>962</v>
      </c>
      <c r="H1646" t="s">
        <v>929</v>
      </c>
      <c r="I1646" t="s">
        <v>22</v>
      </c>
      <c r="J1646" t="s">
        <v>67</v>
      </c>
      <c r="K1646" t="s">
        <v>34</v>
      </c>
      <c r="L1646" s="6">
        <v>421</v>
      </c>
      <c r="M1646" s="6">
        <v>0</v>
      </c>
      <c r="N1646" s="6">
        <v>-421</v>
      </c>
      <c r="O1646" s="6">
        <v>45873.69</v>
      </c>
      <c r="P1646" s="7">
        <v>0</v>
      </c>
      <c r="Q1646" s="6">
        <v>0</v>
      </c>
    </row>
    <row r="1647" spans="1:17">
      <c r="A1647">
        <v>1646</v>
      </c>
      <c r="B1647" s="5">
        <v>45870</v>
      </c>
      <c r="C1647" t="s">
        <v>916</v>
      </c>
      <c r="D1647" t="s">
        <v>917</v>
      </c>
      <c r="E1647" t="s">
        <v>918</v>
      </c>
      <c r="F1647">
        <v>2</v>
      </c>
      <c r="G1647" t="s">
        <v>963</v>
      </c>
      <c r="H1647" t="s">
        <v>929</v>
      </c>
      <c r="I1647" t="s">
        <v>22</v>
      </c>
      <c r="J1647" t="s">
        <v>67</v>
      </c>
      <c r="K1647" t="s">
        <v>34</v>
      </c>
      <c r="L1647" s="6">
        <v>61</v>
      </c>
      <c r="M1647" s="6">
        <v>0</v>
      </c>
      <c r="N1647" s="6">
        <v>-61</v>
      </c>
      <c r="O1647" s="6">
        <v>45812.69</v>
      </c>
      <c r="P1647" s="7">
        <v>0</v>
      </c>
      <c r="Q1647" s="6">
        <v>0</v>
      </c>
    </row>
    <row r="1648" spans="1:17">
      <c r="A1648">
        <v>1647</v>
      </c>
      <c r="B1648" s="5">
        <v>45870</v>
      </c>
      <c r="C1648" t="s">
        <v>916</v>
      </c>
      <c r="D1648" t="s">
        <v>917</v>
      </c>
      <c r="E1648" t="s">
        <v>918</v>
      </c>
      <c r="F1648">
        <v>2</v>
      </c>
      <c r="G1648" t="s">
        <v>964</v>
      </c>
      <c r="H1648" t="s">
        <v>66</v>
      </c>
      <c r="I1648" t="s">
        <v>22</v>
      </c>
      <c r="J1648" t="s">
        <v>67</v>
      </c>
      <c r="K1648" t="s">
        <v>34</v>
      </c>
      <c r="L1648" s="6">
        <v>500</v>
      </c>
      <c r="M1648" s="6">
        <v>0</v>
      </c>
      <c r="N1648" s="6">
        <v>-500</v>
      </c>
      <c r="O1648" s="6">
        <v>45312.69</v>
      </c>
      <c r="P1648" s="7">
        <v>0</v>
      </c>
      <c r="Q1648" s="6">
        <v>0</v>
      </c>
    </row>
    <row r="1649" spans="1:17">
      <c r="A1649">
        <v>1648</v>
      </c>
      <c r="B1649" s="5">
        <v>45870</v>
      </c>
      <c r="C1649" t="s">
        <v>916</v>
      </c>
      <c r="D1649" t="s">
        <v>917</v>
      </c>
      <c r="E1649" t="s">
        <v>918</v>
      </c>
      <c r="F1649">
        <v>2</v>
      </c>
      <c r="G1649" t="s">
        <v>965</v>
      </c>
      <c r="H1649" t="s">
        <v>929</v>
      </c>
      <c r="I1649" t="s">
        <v>22</v>
      </c>
      <c r="J1649" t="s">
        <v>67</v>
      </c>
      <c r="K1649" t="s">
        <v>34</v>
      </c>
      <c r="L1649" s="6">
        <v>250</v>
      </c>
      <c r="M1649" s="6">
        <v>0</v>
      </c>
      <c r="N1649" s="6">
        <v>-250</v>
      </c>
      <c r="O1649" s="6">
        <v>45062.69</v>
      </c>
      <c r="P1649" s="7">
        <v>0</v>
      </c>
      <c r="Q1649" s="6">
        <v>0</v>
      </c>
    </row>
    <row r="1650" spans="1:17">
      <c r="A1650">
        <v>1649</v>
      </c>
      <c r="B1650" s="5">
        <v>45870</v>
      </c>
      <c r="C1650" t="s">
        <v>916</v>
      </c>
      <c r="D1650" t="s">
        <v>917</v>
      </c>
      <c r="E1650" t="s">
        <v>918</v>
      </c>
      <c r="F1650">
        <v>2</v>
      </c>
      <c r="G1650" t="s">
        <v>966</v>
      </c>
      <c r="H1650" t="s">
        <v>929</v>
      </c>
      <c r="I1650" t="s">
        <v>22</v>
      </c>
      <c r="J1650" t="s">
        <v>67</v>
      </c>
      <c r="K1650" t="s">
        <v>34</v>
      </c>
      <c r="L1650" s="6">
        <v>1000</v>
      </c>
      <c r="M1650" s="6">
        <v>0</v>
      </c>
      <c r="N1650" s="6">
        <v>-1000</v>
      </c>
      <c r="O1650" s="6">
        <v>44062.69</v>
      </c>
      <c r="P1650" s="7">
        <v>0</v>
      </c>
      <c r="Q1650" s="6">
        <v>0</v>
      </c>
    </row>
    <row r="1651" spans="1:17">
      <c r="A1651">
        <v>1650</v>
      </c>
      <c r="B1651" s="5">
        <v>45870</v>
      </c>
      <c r="C1651" t="s">
        <v>916</v>
      </c>
      <c r="D1651" t="s">
        <v>917</v>
      </c>
      <c r="E1651" t="s">
        <v>918</v>
      </c>
      <c r="F1651">
        <v>2</v>
      </c>
      <c r="G1651" t="s">
        <v>967</v>
      </c>
      <c r="H1651" t="s">
        <v>66</v>
      </c>
      <c r="I1651" t="s">
        <v>22</v>
      </c>
      <c r="J1651" t="s">
        <v>67</v>
      </c>
      <c r="K1651" t="s">
        <v>34</v>
      </c>
      <c r="L1651" s="6">
        <v>300</v>
      </c>
      <c r="M1651" s="6">
        <v>0</v>
      </c>
      <c r="N1651" s="6">
        <v>-300</v>
      </c>
      <c r="O1651" s="6">
        <v>43762.69</v>
      </c>
      <c r="P1651" s="7">
        <v>0</v>
      </c>
      <c r="Q1651" s="6">
        <v>0</v>
      </c>
    </row>
    <row r="1652" spans="1:17">
      <c r="A1652">
        <v>1651</v>
      </c>
      <c r="B1652" s="5">
        <v>45870</v>
      </c>
      <c r="C1652" t="s">
        <v>916</v>
      </c>
      <c r="D1652" t="s">
        <v>917</v>
      </c>
      <c r="E1652" t="s">
        <v>918</v>
      </c>
      <c r="F1652">
        <v>2</v>
      </c>
      <c r="G1652" t="s">
        <v>968</v>
      </c>
      <c r="H1652" t="s">
        <v>929</v>
      </c>
      <c r="I1652" t="s">
        <v>22</v>
      </c>
      <c r="J1652" t="s">
        <v>67</v>
      </c>
      <c r="K1652" t="s">
        <v>34</v>
      </c>
      <c r="L1652" s="6">
        <v>6713.4</v>
      </c>
      <c r="M1652" s="6">
        <v>0</v>
      </c>
      <c r="N1652" s="6">
        <v>-6713.4</v>
      </c>
      <c r="O1652" s="6">
        <v>37049.29</v>
      </c>
      <c r="P1652" s="7">
        <v>0</v>
      </c>
      <c r="Q1652" s="6">
        <v>0</v>
      </c>
    </row>
    <row r="1653" spans="1:17">
      <c r="A1653">
        <v>1652</v>
      </c>
      <c r="B1653" s="5">
        <v>45870</v>
      </c>
      <c r="C1653" t="s">
        <v>916</v>
      </c>
      <c r="D1653" t="s">
        <v>917</v>
      </c>
      <c r="E1653" t="s">
        <v>918</v>
      </c>
      <c r="F1653">
        <v>2</v>
      </c>
      <c r="G1653" t="s">
        <v>969</v>
      </c>
      <c r="H1653" t="s">
        <v>929</v>
      </c>
      <c r="I1653" t="s">
        <v>22</v>
      </c>
      <c r="J1653" t="s">
        <v>67</v>
      </c>
      <c r="K1653" t="s">
        <v>34</v>
      </c>
      <c r="L1653" s="6">
        <v>750</v>
      </c>
      <c r="M1653" s="6">
        <v>0</v>
      </c>
      <c r="N1653" s="6">
        <v>-750</v>
      </c>
      <c r="O1653" s="6">
        <v>36299.29</v>
      </c>
      <c r="P1653" s="7">
        <v>0</v>
      </c>
      <c r="Q1653" s="6">
        <v>0</v>
      </c>
    </row>
    <row r="1654" spans="1:17">
      <c r="A1654">
        <v>1653</v>
      </c>
      <c r="B1654" s="5">
        <v>45870</v>
      </c>
      <c r="C1654" t="s">
        <v>916</v>
      </c>
      <c r="D1654" t="s">
        <v>917</v>
      </c>
      <c r="E1654" t="s">
        <v>918</v>
      </c>
      <c r="F1654">
        <v>2</v>
      </c>
      <c r="G1654" t="s">
        <v>970</v>
      </c>
      <c r="H1654" t="s">
        <v>66</v>
      </c>
      <c r="I1654" t="s">
        <v>22</v>
      </c>
      <c r="J1654" t="s">
        <v>67</v>
      </c>
      <c r="K1654" t="s">
        <v>34</v>
      </c>
      <c r="L1654" s="6">
        <v>376</v>
      </c>
      <c r="M1654" s="6">
        <v>0</v>
      </c>
      <c r="N1654" s="6">
        <v>-376</v>
      </c>
      <c r="O1654" s="6">
        <v>35923.29</v>
      </c>
      <c r="P1654" s="7">
        <v>0</v>
      </c>
      <c r="Q1654" s="6">
        <v>0</v>
      </c>
    </row>
    <row r="1655" spans="1:17">
      <c r="A1655">
        <v>1654</v>
      </c>
      <c r="B1655" s="5">
        <v>45870</v>
      </c>
      <c r="C1655" t="s">
        <v>916</v>
      </c>
      <c r="D1655" t="s">
        <v>917</v>
      </c>
      <c r="E1655" t="s">
        <v>918</v>
      </c>
      <c r="F1655">
        <v>2</v>
      </c>
      <c r="G1655" t="s">
        <v>971</v>
      </c>
      <c r="H1655" t="s">
        <v>929</v>
      </c>
      <c r="I1655" t="s">
        <v>22</v>
      </c>
      <c r="J1655" t="s">
        <v>67</v>
      </c>
      <c r="K1655" t="s">
        <v>34</v>
      </c>
      <c r="L1655" s="6">
        <v>1000</v>
      </c>
      <c r="M1655" s="6">
        <v>0</v>
      </c>
      <c r="N1655" s="6">
        <v>-1000</v>
      </c>
      <c r="O1655" s="6">
        <v>34923.29</v>
      </c>
      <c r="P1655" s="7">
        <v>0</v>
      </c>
      <c r="Q1655" s="6">
        <v>0</v>
      </c>
    </row>
    <row r="1656" spans="1:17">
      <c r="A1656">
        <v>1655</v>
      </c>
      <c r="B1656" s="5">
        <v>45870</v>
      </c>
      <c r="C1656" t="s">
        <v>916</v>
      </c>
      <c r="D1656" t="s">
        <v>917</v>
      </c>
      <c r="E1656" t="s">
        <v>918</v>
      </c>
      <c r="F1656">
        <v>2</v>
      </c>
      <c r="G1656" t="s">
        <v>972</v>
      </c>
      <c r="H1656" t="s">
        <v>66</v>
      </c>
      <c r="I1656" t="s">
        <v>22</v>
      </c>
      <c r="J1656" t="s">
        <v>67</v>
      </c>
      <c r="K1656" t="s">
        <v>34</v>
      </c>
      <c r="L1656" s="6">
        <v>4535</v>
      </c>
      <c r="M1656" s="6">
        <v>0</v>
      </c>
      <c r="N1656" s="6">
        <v>-4535</v>
      </c>
      <c r="O1656" s="6">
        <v>30388.29</v>
      </c>
      <c r="P1656" s="7">
        <v>0</v>
      </c>
      <c r="Q1656" s="6">
        <v>0</v>
      </c>
    </row>
    <row r="1657" spans="1:17">
      <c r="A1657">
        <v>1656</v>
      </c>
      <c r="B1657" s="5">
        <v>45870</v>
      </c>
      <c r="C1657" t="s">
        <v>916</v>
      </c>
      <c r="D1657" t="s">
        <v>917</v>
      </c>
      <c r="E1657" t="s">
        <v>918</v>
      </c>
      <c r="F1657">
        <v>2</v>
      </c>
      <c r="G1657" t="s">
        <v>973</v>
      </c>
      <c r="H1657" t="s">
        <v>929</v>
      </c>
      <c r="I1657" t="s">
        <v>22</v>
      </c>
      <c r="J1657" t="s">
        <v>67</v>
      </c>
      <c r="K1657" t="s">
        <v>34</v>
      </c>
      <c r="L1657" s="6">
        <v>500</v>
      </c>
      <c r="M1657" s="6">
        <v>0</v>
      </c>
      <c r="N1657" s="6">
        <v>-500</v>
      </c>
      <c r="O1657" s="6">
        <v>29888.29</v>
      </c>
      <c r="P1657" s="7">
        <v>0</v>
      </c>
      <c r="Q1657" s="6">
        <v>0</v>
      </c>
    </row>
    <row r="1658" spans="1:17">
      <c r="A1658">
        <v>1657</v>
      </c>
      <c r="B1658" s="5">
        <v>45870</v>
      </c>
      <c r="C1658" t="s">
        <v>916</v>
      </c>
      <c r="D1658" t="s">
        <v>917</v>
      </c>
      <c r="E1658" t="s">
        <v>918</v>
      </c>
      <c r="F1658">
        <v>2</v>
      </c>
      <c r="G1658" t="s">
        <v>974</v>
      </c>
      <c r="H1658" t="s">
        <v>66</v>
      </c>
      <c r="I1658" t="s">
        <v>22</v>
      </c>
      <c r="J1658" t="s">
        <v>67</v>
      </c>
      <c r="K1658" t="s">
        <v>34</v>
      </c>
      <c r="L1658" s="6">
        <v>300</v>
      </c>
      <c r="M1658" s="6">
        <v>0</v>
      </c>
      <c r="N1658" s="6">
        <v>-300</v>
      </c>
      <c r="O1658" s="6">
        <v>29588.29</v>
      </c>
      <c r="P1658" s="7">
        <v>0</v>
      </c>
      <c r="Q1658" s="6">
        <v>0</v>
      </c>
    </row>
    <row r="1659" spans="1:17">
      <c r="A1659">
        <v>1658</v>
      </c>
      <c r="B1659" s="5">
        <v>45870</v>
      </c>
      <c r="C1659" t="s">
        <v>916</v>
      </c>
      <c r="D1659" t="s">
        <v>917</v>
      </c>
      <c r="E1659" t="s">
        <v>918</v>
      </c>
      <c r="F1659">
        <v>2</v>
      </c>
      <c r="G1659" t="s">
        <v>975</v>
      </c>
      <c r="H1659" t="s">
        <v>66</v>
      </c>
      <c r="I1659" t="s">
        <v>22</v>
      </c>
      <c r="J1659" t="s">
        <v>67</v>
      </c>
      <c r="K1659" t="s">
        <v>34</v>
      </c>
      <c r="L1659" s="6">
        <v>1500</v>
      </c>
      <c r="M1659" s="6">
        <v>0</v>
      </c>
      <c r="N1659" s="6">
        <v>-1500</v>
      </c>
      <c r="O1659" s="6">
        <v>28088.29</v>
      </c>
      <c r="P1659" s="7">
        <v>0</v>
      </c>
      <c r="Q1659" s="6">
        <v>0</v>
      </c>
    </row>
    <row r="1660" spans="1:17">
      <c r="A1660">
        <v>1659</v>
      </c>
      <c r="B1660" s="5">
        <v>45870</v>
      </c>
      <c r="C1660" t="s">
        <v>916</v>
      </c>
      <c r="D1660" t="s">
        <v>917</v>
      </c>
      <c r="E1660" t="s">
        <v>918</v>
      </c>
      <c r="F1660">
        <v>2</v>
      </c>
      <c r="G1660" t="s">
        <v>976</v>
      </c>
      <c r="H1660" t="s">
        <v>929</v>
      </c>
      <c r="I1660" t="s">
        <v>22</v>
      </c>
      <c r="J1660" t="s">
        <v>67</v>
      </c>
      <c r="K1660" t="s">
        <v>34</v>
      </c>
      <c r="L1660" s="6">
        <v>677</v>
      </c>
      <c r="M1660" s="6">
        <v>0</v>
      </c>
      <c r="N1660" s="6">
        <v>-677</v>
      </c>
      <c r="O1660" s="6">
        <v>27411.29</v>
      </c>
      <c r="P1660" s="7">
        <v>0</v>
      </c>
      <c r="Q1660" s="6">
        <v>0</v>
      </c>
    </row>
    <row r="1661" spans="1:17">
      <c r="A1661">
        <v>1660</v>
      </c>
      <c r="B1661" s="5">
        <v>45870</v>
      </c>
      <c r="C1661" t="s">
        <v>916</v>
      </c>
      <c r="D1661" t="s">
        <v>917</v>
      </c>
      <c r="E1661" t="s">
        <v>918</v>
      </c>
      <c r="F1661">
        <v>2</v>
      </c>
      <c r="G1661" t="s">
        <v>977</v>
      </c>
      <c r="H1661" t="s">
        <v>66</v>
      </c>
      <c r="I1661" t="s">
        <v>22</v>
      </c>
      <c r="J1661" t="s">
        <v>67</v>
      </c>
      <c r="K1661" t="s">
        <v>34</v>
      </c>
      <c r="L1661" s="6">
        <v>5000</v>
      </c>
      <c r="M1661" s="6">
        <v>0</v>
      </c>
      <c r="N1661" s="6">
        <v>-5000</v>
      </c>
      <c r="O1661" s="6">
        <v>22411.29</v>
      </c>
      <c r="P1661" s="7">
        <v>0</v>
      </c>
      <c r="Q1661" s="6">
        <v>0</v>
      </c>
    </row>
    <row r="1662" spans="1:17">
      <c r="A1662">
        <v>1661</v>
      </c>
      <c r="B1662" s="5">
        <v>45870</v>
      </c>
      <c r="C1662" t="s">
        <v>916</v>
      </c>
      <c r="D1662" t="s">
        <v>917</v>
      </c>
      <c r="E1662" t="s">
        <v>918</v>
      </c>
      <c r="F1662">
        <v>2</v>
      </c>
      <c r="G1662" t="s">
        <v>978</v>
      </c>
      <c r="H1662" t="s">
        <v>66</v>
      </c>
      <c r="I1662" t="s">
        <v>22</v>
      </c>
      <c r="J1662" t="s">
        <v>67</v>
      </c>
      <c r="K1662" t="s">
        <v>34</v>
      </c>
      <c r="L1662" s="6">
        <v>1500</v>
      </c>
      <c r="M1662" s="6">
        <v>0</v>
      </c>
      <c r="N1662" s="6">
        <v>-1500</v>
      </c>
      <c r="O1662" s="6">
        <v>20911.29</v>
      </c>
      <c r="P1662" s="7">
        <v>0</v>
      </c>
      <c r="Q1662" s="6">
        <v>0</v>
      </c>
    </row>
    <row r="1663" spans="1:17">
      <c r="A1663">
        <v>1662</v>
      </c>
      <c r="B1663" s="5">
        <v>45870</v>
      </c>
      <c r="C1663" t="s">
        <v>916</v>
      </c>
      <c r="D1663" t="s">
        <v>917</v>
      </c>
      <c r="E1663" t="s">
        <v>918</v>
      </c>
      <c r="F1663">
        <v>2</v>
      </c>
      <c r="G1663" t="s">
        <v>979</v>
      </c>
      <c r="H1663" t="s">
        <v>66</v>
      </c>
      <c r="I1663" t="s">
        <v>22</v>
      </c>
      <c r="J1663" t="s">
        <v>67</v>
      </c>
      <c r="K1663" t="s">
        <v>34</v>
      </c>
      <c r="L1663" s="6">
        <v>500</v>
      </c>
      <c r="M1663" s="6">
        <v>0</v>
      </c>
      <c r="N1663" s="6">
        <v>-500</v>
      </c>
      <c r="O1663" s="6">
        <v>20411.29</v>
      </c>
      <c r="P1663" s="7">
        <v>0</v>
      </c>
      <c r="Q1663" s="6">
        <v>0</v>
      </c>
    </row>
    <row r="1664" spans="1:17">
      <c r="A1664">
        <v>1663</v>
      </c>
      <c r="B1664" s="5">
        <v>45870</v>
      </c>
      <c r="C1664" t="s">
        <v>916</v>
      </c>
      <c r="D1664" t="s">
        <v>917</v>
      </c>
      <c r="E1664" t="s">
        <v>918</v>
      </c>
      <c r="F1664">
        <v>2</v>
      </c>
      <c r="G1664" t="s">
        <v>980</v>
      </c>
      <c r="H1664" t="s">
        <v>981</v>
      </c>
      <c r="I1664" t="s">
        <v>16</v>
      </c>
      <c r="J1664" t="s">
        <v>52</v>
      </c>
      <c r="K1664" t="s">
        <v>35</v>
      </c>
      <c r="L1664" s="6">
        <v>0</v>
      </c>
      <c r="M1664" s="6">
        <v>1000</v>
      </c>
      <c r="N1664" s="6">
        <v>1000</v>
      </c>
      <c r="O1664" s="6">
        <v>21411.29</v>
      </c>
      <c r="P1664" s="7">
        <v>0</v>
      </c>
      <c r="Q1664" s="6">
        <v>0</v>
      </c>
    </row>
    <row r="1665" spans="1:17">
      <c r="A1665">
        <v>1664</v>
      </c>
      <c r="B1665" s="5">
        <v>45870</v>
      </c>
      <c r="C1665" t="s">
        <v>916</v>
      </c>
      <c r="D1665" t="s">
        <v>917</v>
      </c>
      <c r="E1665" t="s">
        <v>918</v>
      </c>
      <c r="F1665">
        <v>2</v>
      </c>
      <c r="G1665" t="s">
        <v>911</v>
      </c>
      <c r="H1665" t="s">
        <v>912</v>
      </c>
      <c r="I1665" t="s">
        <v>16</v>
      </c>
      <c r="J1665" t="s">
        <v>52</v>
      </c>
      <c r="K1665" t="s">
        <v>35</v>
      </c>
      <c r="L1665" s="6">
        <v>0</v>
      </c>
      <c r="M1665" s="6">
        <v>1500</v>
      </c>
      <c r="N1665" s="6">
        <v>1500</v>
      </c>
      <c r="O1665" s="6">
        <v>22911.29</v>
      </c>
      <c r="P1665" s="7">
        <v>0</v>
      </c>
      <c r="Q1665" s="6">
        <v>0</v>
      </c>
    </row>
    <row r="1666" spans="1:17">
      <c r="A1666">
        <v>1665</v>
      </c>
      <c r="B1666" s="5">
        <v>45870</v>
      </c>
      <c r="C1666" t="s">
        <v>916</v>
      </c>
      <c r="D1666" t="s">
        <v>917</v>
      </c>
      <c r="E1666" t="s">
        <v>918</v>
      </c>
      <c r="F1666">
        <v>2</v>
      </c>
      <c r="G1666" t="s">
        <v>982</v>
      </c>
      <c r="H1666" t="s">
        <v>66</v>
      </c>
      <c r="I1666" t="s">
        <v>22</v>
      </c>
      <c r="J1666" t="s">
        <v>67</v>
      </c>
      <c r="K1666" t="s">
        <v>34</v>
      </c>
      <c r="L1666" s="6">
        <v>33</v>
      </c>
      <c r="M1666" s="6">
        <v>0</v>
      </c>
      <c r="N1666" s="6">
        <v>-33</v>
      </c>
      <c r="O1666" s="6">
        <v>22878.29</v>
      </c>
      <c r="P1666" s="7">
        <v>0</v>
      </c>
      <c r="Q1666" s="6">
        <v>0</v>
      </c>
    </row>
    <row r="1667" spans="1:17">
      <c r="A1667">
        <v>1666</v>
      </c>
      <c r="B1667" s="5">
        <v>45870</v>
      </c>
      <c r="C1667" t="s">
        <v>916</v>
      </c>
      <c r="D1667" t="s">
        <v>917</v>
      </c>
      <c r="E1667" t="s">
        <v>918</v>
      </c>
      <c r="F1667">
        <v>2</v>
      </c>
      <c r="G1667" t="s">
        <v>983</v>
      </c>
      <c r="H1667" t="s">
        <v>929</v>
      </c>
      <c r="I1667" t="s">
        <v>22</v>
      </c>
      <c r="J1667" t="s">
        <v>67</v>
      </c>
      <c r="K1667" t="s">
        <v>34</v>
      </c>
      <c r="L1667" s="6">
        <v>89</v>
      </c>
      <c r="M1667" s="6">
        <v>0</v>
      </c>
      <c r="N1667" s="6">
        <v>-89</v>
      </c>
      <c r="O1667" s="6">
        <v>22789.29</v>
      </c>
      <c r="P1667" s="7">
        <v>0</v>
      </c>
      <c r="Q1667" s="6">
        <v>0</v>
      </c>
    </row>
    <row r="1668" spans="1:17">
      <c r="A1668">
        <v>1667</v>
      </c>
      <c r="B1668" s="5">
        <v>45870</v>
      </c>
      <c r="C1668" t="s">
        <v>916</v>
      </c>
      <c r="D1668" t="s">
        <v>917</v>
      </c>
      <c r="E1668" t="s">
        <v>918</v>
      </c>
      <c r="F1668">
        <v>2</v>
      </c>
      <c r="G1668" t="s">
        <v>984</v>
      </c>
      <c r="H1668" t="s">
        <v>929</v>
      </c>
      <c r="I1668" t="s">
        <v>22</v>
      </c>
      <c r="J1668" t="s">
        <v>67</v>
      </c>
      <c r="K1668" t="s">
        <v>34</v>
      </c>
      <c r="L1668" s="6">
        <v>100</v>
      </c>
      <c r="M1668" s="6">
        <v>0</v>
      </c>
      <c r="N1668" s="6">
        <v>-100</v>
      </c>
      <c r="O1668" s="6">
        <v>22689.29</v>
      </c>
      <c r="P1668" s="7">
        <v>0</v>
      </c>
      <c r="Q1668" s="6">
        <v>0</v>
      </c>
    </row>
    <row r="1669" spans="1:17">
      <c r="A1669">
        <v>1668</v>
      </c>
      <c r="B1669" s="5">
        <v>45870</v>
      </c>
      <c r="C1669" t="s">
        <v>916</v>
      </c>
      <c r="D1669" t="s">
        <v>917</v>
      </c>
      <c r="E1669" t="s">
        <v>918</v>
      </c>
      <c r="F1669">
        <v>2</v>
      </c>
      <c r="G1669" t="s">
        <v>985</v>
      </c>
      <c r="H1669" t="s">
        <v>66</v>
      </c>
      <c r="I1669" t="s">
        <v>22</v>
      </c>
      <c r="J1669" t="s">
        <v>67</v>
      </c>
      <c r="K1669" t="s">
        <v>34</v>
      </c>
      <c r="L1669" s="6">
        <v>100</v>
      </c>
      <c r="M1669" s="6">
        <v>0</v>
      </c>
      <c r="N1669" s="6">
        <v>-100</v>
      </c>
      <c r="O1669" s="6">
        <v>22589.29</v>
      </c>
      <c r="P1669" s="7">
        <v>0</v>
      </c>
      <c r="Q1669" s="6">
        <v>0</v>
      </c>
    </row>
    <row r="1670" spans="1:17">
      <c r="A1670">
        <v>1669</v>
      </c>
      <c r="B1670" s="5">
        <v>45870</v>
      </c>
      <c r="C1670" t="s">
        <v>916</v>
      </c>
      <c r="D1670" t="s">
        <v>917</v>
      </c>
      <c r="E1670" t="s">
        <v>918</v>
      </c>
      <c r="F1670">
        <v>2</v>
      </c>
      <c r="G1670" t="s">
        <v>986</v>
      </c>
      <c r="H1670" t="s">
        <v>929</v>
      </c>
      <c r="I1670" t="s">
        <v>22</v>
      </c>
      <c r="J1670" t="s">
        <v>67</v>
      </c>
      <c r="K1670" t="s">
        <v>34</v>
      </c>
      <c r="L1670" s="6">
        <v>100</v>
      </c>
      <c r="M1670" s="6">
        <v>0</v>
      </c>
      <c r="N1670" s="6">
        <v>-100</v>
      </c>
      <c r="O1670" s="6">
        <v>22489.29</v>
      </c>
      <c r="P1670" s="7">
        <v>0</v>
      </c>
      <c r="Q1670" s="6">
        <v>0</v>
      </c>
    </row>
    <row r="1671" spans="1:17">
      <c r="A1671">
        <v>1670</v>
      </c>
      <c r="B1671" s="5">
        <v>45870</v>
      </c>
      <c r="C1671" t="s">
        <v>916</v>
      </c>
      <c r="D1671" t="s">
        <v>917</v>
      </c>
      <c r="E1671" t="s">
        <v>918</v>
      </c>
      <c r="F1671">
        <v>2</v>
      </c>
      <c r="G1671" t="s">
        <v>987</v>
      </c>
      <c r="H1671" t="s">
        <v>929</v>
      </c>
      <c r="I1671" t="s">
        <v>22</v>
      </c>
      <c r="J1671" t="s">
        <v>67</v>
      </c>
      <c r="K1671" t="s">
        <v>34</v>
      </c>
      <c r="L1671" s="6">
        <v>106</v>
      </c>
      <c r="M1671" s="6">
        <v>0</v>
      </c>
      <c r="N1671" s="6">
        <v>-106</v>
      </c>
      <c r="O1671" s="6">
        <v>22383.29</v>
      </c>
      <c r="P1671" s="7">
        <v>0</v>
      </c>
      <c r="Q1671" s="6">
        <v>0</v>
      </c>
    </row>
    <row r="1672" spans="1:17">
      <c r="A1672">
        <v>1671</v>
      </c>
      <c r="B1672" s="5">
        <v>45870</v>
      </c>
      <c r="C1672" t="s">
        <v>916</v>
      </c>
      <c r="D1672" t="s">
        <v>917</v>
      </c>
      <c r="E1672" t="s">
        <v>918</v>
      </c>
      <c r="F1672">
        <v>2</v>
      </c>
      <c r="G1672" t="s">
        <v>988</v>
      </c>
      <c r="H1672" t="s">
        <v>66</v>
      </c>
      <c r="I1672" t="s">
        <v>22</v>
      </c>
      <c r="J1672" t="s">
        <v>67</v>
      </c>
      <c r="K1672" t="s">
        <v>34</v>
      </c>
      <c r="L1672" s="6">
        <v>129.71</v>
      </c>
      <c r="M1672" s="6">
        <v>0</v>
      </c>
      <c r="N1672" s="6">
        <v>-129.71</v>
      </c>
      <c r="O1672" s="6">
        <v>22253.58</v>
      </c>
      <c r="P1672" s="7">
        <v>0</v>
      </c>
      <c r="Q1672" s="6">
        <v>0</v>
      </c>
    </row>
    <row r="1673" spans="1:17">
      <c r="A1673">
        <v>1672</v>
      </c>
      <c r="B1673" s="5">
        <v>45870</v>
      </c>
      <c r="C1673" t="s">
        <v>916</v>
      </c>
      <c r="D1673" t="s">
        <v>917</v>
      </c>
      <c r="E1673" t="s">
        <v>918</v>
      </c>
      <c r="F1673">
        <v>2</v>
      </c>
      <c r="G1673" t="s">
        <v>989</v>
      </c>
      <c r="H1673" t="s">
        <v>66</v>
      </c>
      <c r="I1673" t="s">
        <v>22</v>
      </c>
      <c r="J1673" t="s">
        <v>67</v>
      </c>
      <c r="K1673" t="s">
        <v>34</v>
      </c>
      <c r="L1673" s="6">
        <v>160</v>
      </c>
      <c r="M1673" s="6">
        <v>0</v>
      </c>
      <c r="N1673" s="6">
        <v>-160</v>
      </c>
      <c r="O1673" s="6">
        <v>22093.58</v>
      </c>
      <c r="P1673" s="7">
        <v>0</v>
      </c>
      <c r="Q1673" s="6">
        <v>0</v>
      </c>
    </row>
    <row r="1674" spans="1:17">
      <c r="A1674">
        <v>1673</v>
      </c>
      <c r="B1674" s="5">
        <v>45870</v>
      </c>
      <c r="C1674" t="s">
        <v>916</v>
      </c>
      <c r="D1674" t="s">
        <v>917</v>
      </c>
      <c r="E1674" t="s">
        <v>918</v>
      </c>
      <c r="F1674">
        <v>2</v>
      </c>
      <c r="G1674" t="s">
        <v>990</v>
      </c>
      <c r="H1674" t="s">
        <v>929</v>
      </c>
      <c r="I1674" t="s">
        <v>22</v>
      </c>
      <c r="J1674" t="s">
        <v>67</v>
      </c>
      <c r="K1674" t="s">
        <v>34</v>
      </c>
      <c r="L1674" s="6">
        <v>200</v>
      </c>
      <c r="M1674" s="6">
        <v>0</v>
      </c>
      <c r="N1674" s="6">
        <v>-200</v>
      </c>
      <c r="O1674" s="6">
        <v>21893.58</v>
      </c>
      <c r="P1674" s="7">
        <v>0</v>
      </c>
      <c r="Q1674" s="6">
        <v>0</v>
      </c>
    </row>
    <row r="1675" spans="1:17">
      <c r="A1675">
        <v>1674</v>
      </c>
      <c r="B1675" s="5">
        <v>45870</v>
      </c>
      <c r="C1675" t="s">
        <v>916</v>
      </c>
      <c r="D1675" t="s">
        <v>917</v>
      </c>
      <c r="E1675" t="s">
        <v>918</v>
      </c>
      <c r="F1675">
        <v>2</v>
      </c>
      <c r="G1675" t="s">
        <v>991</v>
      </c>
      <c r="H1675" t="s">
        <v>66</v>
      </c>
      <c r="I1675" t="s">
        <v>22</v>
      </c>
      <c r="J1675" t="s">
        <v>67</v>
      </c>
      <c r="K1675" t="s">
        <v>34</v>
      </c>
      <c r="L1675" s="6">
        <v>224.66</v>
      </c>
      <c r="M1675" s="6">
        <v>0</v>
      </c>
      <c r="N1675" s="6">
        <v>-224.66</v>
      </c>
      <c r="O1675" s="6">
        <v>21668.92</v>
      </c>
      <c r="P1675" s="7">
        <v>0</v>
      </c>
      <c r="Q1675" s="6">
        <v>0</v>
      </c>
    </row>
    <row r="1676" spans="1:17">
      <c r="A1676">
        <v>1675</v>
      </c>
      <c r="B1676" s="5">
        <v>45870</v>
      </c>
      <c r="C1676" t="s">
        <v>916</v>
      </c>
      <c r="D1676" t="s">
        <v>917</v>
      </c>
      <c r="E1676" t="s">
        <v>918</v>
      </c>
      <c r="F1676">
        <v>2</v>
      </c>
      <c r="G1676" t="s">
        <v>992</v>
      </c>
      <c r="H1676" t="s">
        <v>929</v>
      </c>
      <c r="I1676" t="s">
        <v>22</v>
      </c>
      <c r="J1676" t="s">
        <v>67</v>
      </c>
      <c r="K1676" t="s">
        <v>34</v>
      </c>
      <c r="L1676" s="6">
        <v>350</v>
      </c>
      <c r="M1676" s="6">
        <v>0</v>
      </c>
      <c r="N1676" s="6">
        <v>-350</v>
      </c>
      <c r="O1676" s="6">
        <v>21318.92</v>
      </c>
      <c r="P1676" s="7">
        <v>0</v>
      </c>
      <c r="Q1676" s="6">
        <v>0</v>
      </c>
    </row>
    <row r="1677" spans="1:17">
      <c r="A1677">
        <v>1676</v>
      </c>
      <c r="B1677" s="5">
        <v>45870</v>
      </c>
      <c r="C1677" t="s">
        <v>916</v>
      </c>
      <c r="D1677" t="s">
        <v>917</v>
      </c>
      <c r="E1677" t="s">
        <v>918</v>
      </c>
      <c r="F1677">
        <v>2</v>
      </c>
      <c r="G1677" t="s">
        <v>993</v>
      </c>
      <c r="H1677" t="s">
        <v>66</v>
      </c>
      <c r="I1677" t="s">
        <v>22</v>
      </c>
      <c r="J1677" t="s">
        <v>67</v>
      </c>
      <c r="K1677" t="s">
        <v>34</v>
      </c>
      <c r="L1677" s="6">
        <v>400</v>
      </c>
      <c r="M1677" s="6">
        <v>0</v>
      </c>
      <c r="N1677" s="6">
        <v>-400</v>
      </c>
      <c r="O1677" s="6">
        <v>20918.919999999998</v>
      </c>
      <c r="P1677" s="7">
        <v>0</v>
      </c>
      <c r="Q1677" s="6">
        <v>0</v>
      </c>
    </row>
    <row r="1678" spans="1:17">
      <c r="A1678">
        <v>1677</v>
      </c>
      <c r="B1678" s="5">
        <v>45870</v>
      </c>
      <c r="C1678" t="s">
        <v>916</v>
      </c>
      <c r="D1678" t="s">
        <v>917</v>
      </c>
      <c r="E1678" t="s">
        <v>918</v>
      </c>
      <c r="F1678">
        <v>2</v>
      </c>
      <c r="G1678" t="s">
        <v>994</v>
      </c>
      <c r="H1678" t="s">
        <v>929</v>
      </c>
      <c r="I1678" t="s">
        <v>22</v>
      </c>
      <c r="J1678" t="s">
        <v>67</v>
      </c>
      <c r="K1678" t="s">
        <v>34</v>
      </c>
      <c r="L1678" s="6">
        <v>440</v>
      </c>
      <c r="M1678" s="6">
        <v>0</v>
      </c>
      <c r="N1678" s="6">
        <v>-440</v>
      </c>
      <c r="O1678" s="6">
        <v>20478.919999999998</v>
      </c>
      <c r="P1678" s="7">
        <v>0</v>
      </c>
      <c r="Q1678" s="6">
        <v>0</v>
      </c>
    </row>
    <row r="1679" spans="1:17">
      <c r="A1679">
        <v>1678</v>
      </c>
      <c r="B1679" s="5">
        <v>45870</v>
      </c>
      <c r="C1679" t="s">
        <v>916</v>
      </c>
      <c r="D1679" t="s">
        <v>917</v>
      </c>
      <c r="E1679" t="s">
        <v>918</v>
      </c>
      <c r="F1679">
        <v>2</v>
      </c>
      <c r="G1679" t="s">
        <v>995</v>
      </c>
      <c r="H1679" t="s">
        <v>66</v>
      </c>
      <c r="I1679" t="s">
        <v>22</v>
      </c>
      <c r="J1679" t="s">
        <v>67</v>
      </c>
      <c r="K1679" t="s">
        <v>34</v>
      </c>
      <c r="L1679" s="6">
        <v>561</v>
      </c>
      <c r="M1679" s="6">
        <v>0</v>
      </c>
      <c r="N1679" s="6">
        <v>-561</v>
      </c>
      <c r="O1679" s="6">
        <v>19917.919999999998</v>
      </c>
      <c r="P1679" s="7">
        <v>0</v>
      </c>
      <c r="Q1679" s="6">
        <v>0</v>
      </c>
    </row>
    <row r="1680" spans="1:17">
      <c r="A1680">
        <v>1679</v>
      </c>
      <c r="B1680" s="5">
        <v>45870</v>
      </c>
      <c r="C1680" t="s">
        <v>916</v>
      </c>
      <c r="D1680" t="s">
        <v>917</v>
      </c>
      <c r="E1680" t="s">
        <v>918</v>
      </c>
      <c r="F1680">
        <v>2</v>
      </c>
      <c r="G1680" t="s">
        <v>996</v>
      </c>
      <c r="H1680" t="s">
        <v>66</v>
      </c>
      <c r="I1680" t="s">
        <v>22</v>
      </c>
      <c r="J1680" t="s">
        <v>67</v>
      </c>
      <c r="K1680" t="s">
        <v>34</v>
      </c>
      <c r="L1680" s="6">
        <v>600</v>
      </c>
      <c r="M1680" s="6">
        <v>0</v>
      </c>
      <c r="N1680" s="6">
        <v>-600</v>
      </c>
      <c r="O1680" s="6">
        <v>19317.919999999998</v>
      </c>
      <c r="P1680" s="7">
        <v>0</v>
      </c>
      <c r="Q1680" s="6">
        <v>0</v>
      </c>
    </row>
    <row r="1681" spans="1:17">
      <c r="A1681">
        <v>1680</v>
      </c>
      <c r="B1681" s="5">
        <v>45870</v>
      </c>
      <c r="C1681" t="s">
        <v>916</v>
      </c>
      <c r="D1681" t="s">
        <v>917</v>
      </c>
      <c r="E1681" t="s">
        <v>918</v>
      </c>
      <c r="F1681">
        <v>2</v>
      </c>
      <c r="G1681" t="s">
        <v>997</v>
      </c>
      <c r="H1681" t="s">
        <v>929</v>
      </c>
      <c r="I1681" t="s">
        <v>22</v>
      </c>
      <c r="J1681" t="s">
        <v>67</v>
      </c>
      <c r="K1681" t="s">
        <v>34</v>
      </c>
      <c r="L1681" s="6">
        <v>672</v>
      </c>
      <c r="M1681" s="6">
        <v>0</v>
      </c>
      <c r="N1681" s="6">
        <v>-672</v>
      </c>
      <c r="O1681" s="6">
        <v>18645.919999999998</v>
      </c>
      <c r="P1681" s="7">
        <v>0</v>
      </c>
      <c r="Q1681" s="6">
        <v>0</v>
      </c>
    </row>
    <row r="1682" spans="1:17">
      <c r="A1682">
        <v>1681</v>
      </c>
      <c r="B1682" s="5">
        <v>45870</v>
      </c>
      <c r="C1682" t="s">
        <v>916</v>
      </c>
      <c r="D1682" t="s">
        <v>917</v>
      </c>
      <c r="E1682" t="s">
        <v>918</v>
      </c>
      <c r="F1682">
        <v>2</v>
      </c>
      <c r="G1682" t="s">
        <v>998</v>
      </c>
      <c r="H1682" t="s">
        <v>66</v>
      </c>
      <c r="I1682" t="s">
        <v>22</v>
      </c>
      <c r="J1682" t="s">
        <v>67</v>
      </c>
      <c r="K1682" t="s">
        <v>34</v>
      </c>
      <c r="L1682" s="6">
        <v>737.82</v>
      </c>
      <c r="M1682" s="6">
        <v>0</v>
      </c>
      <c r="N1682" s="6">
        <v>-737.82</v>
      </c>
      <c r="O1682" s="6">
        <v>17908.099999999999</v>
      </c>
      <c r="P1682" s="7">
        <v>0</v>
      </c>
      <c r="Q1682" s="6">
        <v>0</v>
      </c>
    </row>
    <row r="1683" spans="1:17">
      <c r="A1683">
        <v>1682</v>
      </c>
      <c r="B1683" s="5">
        <v>45870</v>
      </c>
      <c r="C1683" t="s">
        <v>916</v>
      </c>
      <c r="D1683" t="s">
        <v>917</v>
      </c>
      <c r="E1683" t="s">
        <v>918</v>
      </c>
      <c r="F1683">
        <v>2</v>
      </c>
      <c r="G1683" t="s">
        <v>999</v>
      </c>
      <c r="H1683" t="s">
        <v>66</v>
      </c>
      <c r="I1683" t="s">
        <v>22</v>
      </c>
      <c r="J1683" t="s">
        <v>67</v>
      </c>
      <c r="K1683" t="s">
        <v>34</v>
      </c>
      <c r="L1683" s="6">
        <v>2946.07</v>
      </c>
      <c r="M1683" s="6">
        <v>0</v>
      </c>
      <c r="N1683" s="6">
        <v>-2946.07</v>
      </c>
      <c r="O1683" s="6">
        <v>14962.03</v>
      </c>
      <c r="P1683" s="7">
        <v>0</v>
      </c>
      <c r="Q1683" s="6">
        <v>0</v>
      </c>
    </row>
    <row r="1684" spans="1:17">
      <c r="A1684">
        <v>1683</v>
      </c>
      <c r="B1684" s="5">
        <v>45870</v>
      </c>
      <c r="C1684" t="s">
        <v>916</v>
      </c>
      <c r="D1684" t="s">
        <v>917</v>
      </c>
      <c r="E1684" t="s">
        <v>918</v>
      </c>
      <c r="F1684">
        <v>2</v>
      </c>
      <c r="G1684" t="s">
        <v>1000</v>
      </c>
      <c r="H1684" t="s">
        <v>1001</v>
      </c>
      <c r="I1684" t="s">
        <v>16</v>
      </c>
      <c r="J1684" t="s">
        <v>52</v>
      </c>
      <c r="K1684" t="s">
        <v>35</v>
      </c>
      <c r="L1684" s="6">
        <v>0</v>
      </c>
      <c r="M1684" s="6">
        <v>33</v>
      </c>
      <c r="N1684" s="6">
        <v>33</v>
      </c>
      <c r="O1684" s="6">
        <v>14995.03</v>
      </c>
      <c r="P1684" s="7">
        <v>0</v>
      </c>
      <c r="Q1684" s="6">
        <v>0</v>
      </c>
    </row>
    <row r="1685" spans="1:17">
      <c r="A1685">
        <v>1684</v>
      </c>
      <c r="B1685" s="5">
        <v>45870</v>
      </c>
      <c r="C1685" t="s">
        <v>916</v>
      </c>
      <c r="D1685" t="s">
        <v>917</v>
      </c>
      <c r="E1685" t="s">
        <v>918</v>
      </c>
      <c r="F1685">
        <v>2</v>
      </c>
      <c r="G1685" t="s">
        <v>1002</v>
      </c>
      <c r="H1685" t="s">
        <v>1003</v>
      </c>
      <c r="I1685" t="s">
        <v>16</v>
      </c>
      <c r="J1685" t="s">
        <v>52</v>
      </c>
      <c r="K1685" t="s">
        <v>35</v>
      </c>
      <c r="L1685" s="6">
        <v>0</v>
      </c>
      <c r="M1685" s="6">
        <v>50</v>
      </c>
      <c r="N1685" s="6">
        <v>50</v>
      </c>
      <c r="O1685" s="6">
        <v>15045.03</v>
      </c>
      <c r="P1685" s="7">
        <v>0</v>
      </c>
      <c r="Q1685" s="6">
        <v>0</v>
      </c>
    </row>
    <row r="1686" spans="1:17">
      <c r="A1686">
        <v>1685</v>
      </c>
      <c r="B1686" s="5">
        <v>45870</v>
      </c>
      <c r="C1686" t="s">
        <v>916</v>
      </c>
      <c r="D1686" t="s">
        <v>917</v>
      </c>
      <c r="E1686" t="s">
        <v>918</v>
      </c>
      <c r="F1686">
        <v>2</v>
      </c>
      <c r="G1686" t="s">
        <v>1000</v>
      </c>
      <c r="H1686" t="s">
        <v>1001</v>
      </c>
      <c r="I1686" t="s">
        <v>16</v>
      </c>
      <c r="J1686" t="s">
        <v>52</v>
      </c>
      <c r="K1686" t="s">
        <v>35</v>
      </c>
      <c r="L1686" s="6">
        <v>0</v>
      </c>
      <c r="M1686" s="6">
        <v>60</v>
      </c>
      <c r="N1686" s="6">
        <v>60</v>
      </c>
      <c r="O1686" s="6">
        <v>15105.03</v>
      </c>
      <c r="P1686" s="7">
        <v>0</v>
      </c>
      <c r="Q1686" s="6">
        <v>0</v>
      </c>
    </row>
    <row r="1687" spans="1:17">
      <c r="A1687">
        <v>1686</v>
      </c>
      <c r="B1687" s="5">
        <v>45870</v>
      </c>
      <c r="C1687" t="s">
        <v>916</v>
      </c>
      <c r="D1687" t="s">
        <v>917</v>
      </c>
      <c r="E1687" t="s">
        <v>918</v>
      </c>
      <c r="F1687">
        <v>2</v>
      </c>
      <c r="G1687" t="s">
        <v>1000</v>
      </c>
      <c r="H1687" t="s">
        <v>1001</v>
      </c>
      <c r="I1687" t="s">
        <v>16</v>
      </c>
      <c r="J1687" t="s">
        <v>52</v>
      </c>
      <c r="K1687" t="s">
        <v>35</v>
      </c>
      <c r="L1687" s="6">
        <v>0</v>
      </c>
      <c r="M1687" s="6">
        <v>115</v>
      </c>
      <c r="N1687" s="6">
        <v>115</v>
      </c>
      <c r="O1687" s="6">
        <v>15220.03</v>
      </c>
      <c r="P1687" s="7">
        <v>0</v>
      </c>
      <c r="Q1687" s="6">
        <v>0</v>
      </c>
    </row>
    <row r="1688" spans="1:17">
      <c r="A1688">
        <v>1687</v>
      </c>
      <c r="B1688" s="5">
        <v>45870</v>
      </c>
      <c r="C1688" t="s">
        <v>916</v>
      </c>
      <c r="D1688" t="s">
        <v>917</v>
      </c>
      <c r="E1688" t="s">
        <v>918</v>
      </c>
      <c r="F1688">
        <v>2</v>
      </c>
      <c r="G1688" t="s">
        <v>1004</v>
      </c>
      <c r="H1688" t="s">
        <v>1005</v>
      </c>
      <c r="I1688" t="s">
        <v>16</v>
      </c>
      <c r="J1688" t="s">
        <v>52</v>
      </c>
      <c r="K1688" t="s">
        <v>35</v>
      </c>
      <c r="L1688" s="6">
        <v>0</v>
      </c>
      <c r="M1688" s="6">
        <v>200</v>
      </c>
      <c r="N1688" s="6">
        <v>200</v>
      </c>
      <c r="O1688" s="6">
        <v>15420.03</v>
      </c>
      <c r="P1688" s="7">
        <v>0</v>
      </c>
      <c r="Q1688" s="6">
        <v>0</v>
      </c>
    </row>
    <row r="1689" spans="1:17">
      <c r="A1689">
        <v>1688</v>
      </c>
      <c r="B1689" s="5">
        <v>45870</v>
      </c>
      <c r="C1689" t="s">
        <v>916</v>
      </c>
      <c r="D1689" t="s">
        <v>917</v>
      </c>
      <c r="E1689" t="s">
        <v>918</v>
      </c>
      <c r="F1689">
        <v>3</v>
      </c>
      <c r="G1689" t="s">
        <v>1000</v>
      </c>
      <c r="H1689" t="s">
        <v>1001</v>
      </c>
      <c r="I1689" t="s">
        <v>16</v>
      </c>
      <c r="J1689" t="s">
        <v>52</v>
      </c>
      <c r="K1689" t="s">
        <v>35</v>
      </c>
      <c r="L1689" s="6">
        <v>0</v>
      </c>
      <c r="M1689" s="6">
        <v>229</v>
      </c>
      <c r="N1689" s="6">
        <v>229</v>
      </c>
      <c r="O1689" s="6">
        <v>15649.03</v>
      </c>
      <c r="P1689" s="7">
        <v>0</v>
      </c>
      <c r="Q1689" s="6">
        <v>0</v>
      </c>
    </row>
    <row r="1690" spans="1:17">
      <c r="A1690">
        <v>1689</v>
      </c>
      <c r="B1690" s="5">
        <v>45870</v>
      </c>
      <c r="C1690" t="s">
        <v>916</v>
      </c>
      <c r="D1690" t="s">
        <v>917</v>
      </c>
      <c r="E1690" t="s">
        <v>918</v>
      </c>
      <c r="F1690">
        <v>3</v>
      </c>
      <c r="G1690" t="s">
        <v>1006</v>
      </c>
      <c r="H1690" t="s">
        <v>1007</v>
      </c>
      <c r="I1690" t="s">
        <v>16</v>
      </c>
      <c r="J1690" t="s">
        <v>52</v>
      </c>
      <c r="K1690" t="s">
        <v>35</v>
      </c>
      <c r="L1690" s="6">
        <v>0</v>
      </c>
      <c r="M1690" s="6">
        <v>250</v>
      </c>
      <c r="N1690" s="6">
        <v>250</v>
      </c>
      <c r="O1690" s="6">
        <v>15899.03</v>
      </c>
      <c r="P1690" s="7">
        <v>0</v>
      </c>
      <c r="Q1690" s="6">
        <v>0</v>
      </c>
    </row>
    <row r="1691" spans="1:17">
      <c r="A1691">
        <v>1690</v>
      </c>
      <c r="B1691" s="5">
        <v>45870</v>
      </c>
      <c r="C1691" t="s">
        <v>916</v>
      </c>
      <c r="D1691" t="s">
        <v>917</v>
      </c>
      <c r="E1691" t="s">
        <v>918</v>
      </c>
      <c r="F1691">
        <v>3</v>
      </c>
      <c r="G1691" t="s">
        <v>1008</v>
      </c>
      <c r="H1691" t="s">
        <v>1009</v>
      </c>
      <c r="I1691" t="s">
        <v>16</v>
      </c>
      <c r="J1691" t="s">
        <v>52</v>
      </c>
      <c r="K1691" t="s">
        <v>35</v>
      </c>
      <c r="L1691" s="6">
        <v>0</v>
      </c>
      <c r="M1691" s="6">
        <v>300</v>
      </c>
      <c r="N1691" s="6">
        <v>300</v>
      </c>
      <c r="O1691" s="6">
        <v>16199.03</v>
      </c>
      <c r="P1691" s="7">
        <v>0</v>
      </c>
      <c r="Q1691" s="6">
        <v>0</v>
      </c>
    </row>
    <row r="1692" spans="1:17">
      <c r="A1692">
        <v>1691</v>
      </c>
      <c r="B1692" s="5">
        <v>45870</v>
      </c>
      <c r="C1692" t="s">
        <v>916</v>
      </c>
      <c r="D1692" t="s">
        <v>917</v>
      </c>
      <c r="E1692" t="s">
        <v>918</v>
      </c>
      <c r="F1692">
        <v>3</v>
      </c>
      <c r="G1692" t="s">
        <v>1010</v>
      </c>
      <c r="H1692" t="s">
        <v>1011</v>
      </c>
      <c r="I1692" t="s">
        <v>16</v>
      </c>
      <c r="J1692" t="s">
        <v>52</v>
      </c>
      <c r="K1692" t="s">
        <v>35</v>
      </c>
      <c r="L1692" s="6">
        <v>0</v>
      </c>
      <c r="M1692" s="6">
        <v>500</v>
      </c>
      <c r="N1692" s="6">
        <v>500</v>
      </c>
      <c r="O1692" s="6">
        <v>16699.03</v>
      </c>
      <c r="P1692" s="7">
        <v>0</v>
      </c>
      <c r="Q1692" s="6">
        <v>0</v>
      </c>
    </row>
    <row r="1693" spans="1:17">
      <c r="A1693">
        <v>1692</v>
      </c>
      <c r="B1693" s="5">
        <v>45870</v>
      </c>
      <c r="C1693" t="s">
        <v>916</v>
      </c>
      <c r="D1693" t="s">
        <v>917</v>
      </c>
      <c r="E1693" t="s">
        <v>918</v>
      </c>
      <c r="F1693">
        <v>3</v>
      </c>
      <c r="G1693" t="s">
        <v>1012</v>
      </c>
      <c r="H1693" t="s">
        <v>1013</v>
      </c>
      <c r="I1693" t="s">
        <v>16</v>
      </c>
      <c r="J1693" t="s">
        <v>52</v>
      </c>
      <c r="K1693" t="s">
        <v>35</v>
      </c>
      <c r="L1693" s="6">
        <v>0</v>
      </c>
      <c r="M1693" s="6">
        <v>500</v>
      </c>
      <c r="N1693" s="6">
        <v>500</v>
      </c>
      <c r="O1693" s="6">
        <v>17199.03</v>
      </c>
      <c r="P1693" s="7">
        <v>0</v>
      </c>
      <c r="Q1693" s="6">
        <v>0</v>
      </c>
    </row>
    <row r="1694" spans="1:17">
      <c r="A1694">
        <v>1693</v>
      </c>
      <c r="B1694" s="5">
        <v>45870</v>
      </c>
      <c r="C1694" t="s">
        <v>916</v>
      </c>
      <c r="D1694" t="s">
        <v>917</v>
      </c>
      <c r="E1694" t="s">
        <v>918</v>
      </c>
      <c r="F1694">
        <v>3</v>
      </c>
      <c r="G1694" t="s">
        <v>1014</v>
      </c>
      <c r="H1694" t="s">
        <v>1015</v>
      </c>
      <c r="I1694" t="s">
        <v>16</v>
      </c>
      <c r="J1694" t="s">
        <v>52</v>
      </c>
      <c r="K1694" t="s">
        <v>35</v>
      </c>
      <c r="L1694" s="6">
        <v>0</v>
      </c>
      <c r="M1694" s="6">
        <v>912</v>
      </c>
      <c r="N1694" s="6">
        <v>912</v>
      </c>
      <c r="O1694" s="6">
        <v>18111.03</v>
      </c>
      <c r="P1694" s="7">
        <v>0</v>
      </c>
      <c r="Q1694" s="6">
        <v>0</v>
      </c>
    </row>
    <row r="1695" spans="1:17">
      <c r="A1695">
        <v>1694</v>
      </c>
      <c r="B1695" s="5">
        <v>45870</v>
      </c>
      <c r="C1695" t="s">
        <v>916</v>
      </c>
      <c r="D1695" t="s">
        <v>917</v>
      </c>
      <c r="E1695" t="s">
        <v>918</v>
      </c>
      <c r="F1695">
        <v>3</v>
      </c>
      <c r="G1695" t="s">
        <v>1014</v>
      </c>
      <c r="H1695" t="s">
        <v>1015</v>
      </c>
      <c r="I1695" t="s">
        <v>16</v>
      </c>
      <c r="J1695" t="s">
        <v>52</v>
      </c>
      <c r="K1695" t="s">
        <v>35</v>
      </c>
      <c r="L1695" s="6">
        <v>0</v>
      </c>
      <c r="M1695" s="6">
        <v>967</v>
      </c>
      <c r="N1695" s="6">
        <v>967</v>
      </c>
      <c r="O1695" s="6">
        <v>19078.03</v>
      </c>
      <c r="P1695" s="7">
        <v>0</v>
      </c>
      <c r="Q1695" s="6">
        <v>0</v>
      </c>
    </row>
    <row r="1696" spans="1:17">
      <c r="A1696">
        <v>1695</v>
      </c>
      <c r="B1696" s="5">
        <v>45870</v>
      </c>
      <c r="C1696" t="s">
        <v>916</v>
      </c>
      <c r="D1696" t="s">
        <v>917</v>
      </c>
      <c r="E1696" t="s">
        <v>918</v>
      </c>
      <c r="F1696">
        <v>3</v>
      </c>
      <c r="G1696" t="s">
        <v>1014</v>
      </c>
      <c r="H1696" t="s">
        <v>1015</v>
      </c>
      <c r="I1696" t="s">
        <v>16</v>
      </c>
      <c r="J1696" t="s">
        <v>52</v>
      </c>
      <c r="K1696" t="s">
        <v>35</v>
      </c>
      <c r="L1696" s="6">
        <v>0</v>
      </c>
      <c r="M1696" s="6">
        <v>985</v>
      </c>
      <c r="N1696" s="6">
        <v>985</v>
      </c>
      <c r="O1696" s="6">
        <v>20063.03</v>
      </c>
      <c r="P1696" s="7">
        <v>0</v>
      </c>
      <c r="Q1696" s="6">
        <v>0</v>
      </c>
    </row>
    <row r="1697" spans="1:17">
      <c r="A1697">
        <v>1696</v>
      </c>
      <c r="B1697" s="5">
        <v>45870</v>
      </c>
      <c r="C1697" t="s">
        <v>916</v>
      </c>
      <c r="D1697" t="s">
        <v>917</v>
      </c>
      <c r="E1697" t="s">
        <v>918</v>
      </c>
      <c r="F1697">
        <v>3</v>
      </c>
      <c r="G1697" t="s">
        <v>1016</v>
      </c>
      <c r="H1697" t="s">
        <v>1017</v>
      </c>
      <c r="I1697" t="s">
        <v>16</v>
      </c>
      <c r="J1697" t="s">
        <v>52</v>
      </c>
      <c r="K1697" t="s">
        <v>35</v>
      </c>
      <c r="L1697" s="6">
        <v>0</v>
      </c>
      <c r="M1697" s="6">
        <v>1000</v>
      </c>
      <c r="N1697" s="6">
        <v>1000</v>
      </c>
      <c r="O1697" s="6">
        <v>21063.03</v>
      </c>
      <c r="P1697" s="7">
        <v>0</v>
      </c>
      <c r="Q1697" s="6">
        <v>0</v>
      </c>
    </row>
    <row r="1698" spans="1:17">
      <c r="A1698">
        <v>1697</v>
      </c>
      <c r="B1698" s="5">
        <v>45870</v>
      </c>
      <c r="C1698" t="s">
        <v>916</v>
      </c>
      <c r="D1698" t="s">
        <v>917</v>
      </c>
      <c r="E1698" t="s">
        <v>918</v>
      </c>
      <c r="F1698">
        <v>3</v>
      </c>
      <c r="G1698" t="s">
        <v>1018</v>
      </c>
      <c r="H1698" t="s">
        <v>1019</v>
      </c>
      <c r="I1698" t="s">
        <v>16</v>
      </c>
      <c r="J1698" t="s">
        <v>52</v>
      </c>
      <c r="K1698" t="s">
        <v>35</v>
      </c>
      <c r="L1698" s="6">
        <v>0</v>
      </c>
      <c r="M1698" s="6">
        <v>1000</v>
      </c>
      <c r="N1698" s="6">
        <v>1000</v>
      </c>
      <c r="O1698" s="6">
        <v>22063.03</v>
      </c>
      <c r="P1698" s="7">
        <v>0</v>
      </c>
      <c r="Q1698" s="6">
        <v>0</v>
      </c>
    </row>
    <row r="1699" spans="1:17">
      <c r="A1699">
        <v>1698</v>
      </c>
      <c r="B1699" s="5">
        <v>45870</v>
      </c>
      <c r="C1699" t="s">
        <v>916</v>
      </c>
      <c r="D1699" t="s">
        <v>917</v>
      </c>
      <c r="E1699" t="s">
        <v>918</v>
      </c>
      <c r="F1699">
        <v>3</v>
      </c>
      <c r="G1699" t="s">
        <v>1020</v>
      </c>
      <c r="H1699" t="s">
        <v>1021</v>
      </c>
      <c r="I1699" t="s">
        <v>16</v>
      </c>
      <c r="J1699" t="s">
        <v>52</v>
      </c>
      <c r="K1699" t="s">
        <v>35</v>
      </c>
      <c r="L1699" s="6">
        <v>0</v>
      </c>
      <c r="M1699" s="6">
        <v>1233</v>
      </c>
      <c r="N1699" s="6">
        <v>1233</v>
      </c>
      <c r="O1699" s="6">
        <v>23296.03</v>
      </c>
      <c r="P1699" s="7">
        <v>0</v>
      </c>
      <c r="Q1699" s="6">
        <v>0</v>
      </c>
    </row>
    <row r="1700" spans="1:17">
      <c r="A1700">
        <v>1699</v>
      </c>
      <c r="B1700" s="5">
        <v>45870</v>
      </c>
      <c r="C1700" t="s">
        <v>916</v>
      </c>
      <c r="D1700" t="s">
        <v>917</v>
      </c>
      <c r="E1700" t="s">
        <v>918</v>
      </c>
      <c r="F1700">
        <v>3</v>
      </c>
      <c r="G1700" t="s">
        <v>1022</v>
      </c>
      <c r="H1700" t="s">
        <v>1023</v>
      </c>
      <c r="I1700" t="s">
        <v>16</v>
      </c>
      <c r="J1700" t="s">
        <v>52</v>
      </c>
      <c r="K1700" t="s">
        <v>35</v>
      </c>
      <c r="L1700" s="6">
        <v>0</v>
      </c>
      <c r="M1700" s="6">
        <v>2000</v>
      </c>
      <c r="N1700" s="6">
        <v>2000</v>
      </c>
      <c r="O1700" s="6">
        <v>25296.03</v>
      </c>
      <c r="P1700" s="7">
        <v>0</v>
      </c>
      <c r="Q1700" s="6">
        <v>0</v>
      </c>
    </row>
    <row r="1701" spans="1:17">
      <c r="A1701">
        <v>1700</v>
      </c>
      <c r="B1701" s="5">
        <v>45870</v>
      </c>
      <c r="C1701" t="s">
        <v>916</v>
      </c>
      <c r="D1701" t="s">
        <v>917</v>
      </c>
      <c r="E1701" t="s">
        <v>918</v>
      </c>
      <c r="F1701">
        <v>3</v>
      </c>
      <c r="G1701" t="s">
        <v>1024</v>
      </c>
      <c r="H1701" t="s">
        <v>1025</v>
      </c>
      <c r="I1701" t="s">
        <v>16</v>
      </c>
      <c r="J1701" t="s">
        <v>52</v>
      </c>
      <c r="K1701" t="s">
        <v>35</v>
      </c>
      <c r="L1701" s="6">
        <v>0</v>
      </c>
      <c r="M1701" s="6">
        <v>2007</v>
      </c>
      <c r="N1701" s="6">
        <v>2007</v>
      </c>
      <c r="O1701" s="6">
        <v>27303.03</v>
      </c>
      <c r="P1701" s="7">
        <v>0</v>
      </c>
      <c r="Q1701" s="6">
        <v>0</v>
      </c>
    </row>
    <row r="1702" spans="1:17">
      <c r="A1702">
        <v>1701</v>
      </c>
      <c r="B1702" s="5">
        <v>45871</v>
      </c>
      <c r="C1702" t="s">
        <v>916</v>
      </c>
      <c r="D1702" t="s">
        <v>917</v>
      </c>
      <c r="E1702" t="s">
        <v>918</v>
      </c>
      <c r="F1702">
        <v>3</v>
      </c>
      <c r="G1702" t="s">
        <v>1026</v>
      </c>
      <c r="I1702" t="s">
        <v>17</v>
      </c>
      <c r="J1702" t="s">
        <v>64</v>
      </c>
      <c r="K1702" t="s">
        <v>34</v>
      </c>
      <c r="L1702" s="6">
        <v>20000</v>
      </c>
      <c r="M1702" s="6">
        <v>0</v>
      </c>
      <c r="N1702" s="6">
        <v>-20000</v>
      </c>
      <c r="O1702" s="6">
        <v>7303.03</v>
      </c>
      <c r="P1702" s="7">
        <v>0</v>
      </c>
      <c r="Q1702" s="6">
        <v>0</v>
      </c>
    </row>
    <row r="1703" spans="1:17">
      <c r="A1703">
        <v>1702</v>
      </c>
      <c r="B1703" s="5">
        <v>45871</v>
      </c>
      <c r="C1703" t="s">
        <v>916</v>
      </c>
      <c r="D1703" t="s">
        <v>917</v>
      </c>
      <c r="E1703" t="s">
        <v>918</v>
      </c>
      <c r="F1703">
        <v>3</v>
      </c>
      <c r="G1703" t="s">
        <v>1027</v>
      </c>
      <c r="H1703" t="s">
        <v>1028</v>
      </c>
      <c r="I1703" t="s">
        <v>16</v>
      </c>
      <c r="J1703" t="s">
        <v>52</v>
      </c>
      <c r="K1703" t="s">
        <v>35</v>
      </c>
      <c r="L1703" s="6">
        <v>0</v>
      </c>
      <c r="M1703" s="6">
        <v>1100</v>
      </c>
      <c r="N1703" s="6">
        <v>1100</v>
      </c>
      <c r="O1703" s="6">
        <v>8403.0300000000007</v>
      </c>
      <c r="P1703" s="7">
        <v>0</v>
      </c>
      <c r="Q1703" s="6">
        <v>0</v>
      </c>
    </row>
    <row r="1704" spans="1:17">
      <c r="A1704">
        <v>1703</v>
      </c>
      <c r="B1704" s="5">
        <v>45871</v>
      </c>
      <c r="C1704" t="s">
        <v>916</v>
      </c>
      <c r="D1704" t="s">
        <v>917</v>
      </c>
      <c r="E1704" t="s">
        <v>918</v>
      </c>
      <c r="F1704">
        <v>3</v>
      </c>
      <c r="G1704" t="s">
        <v>1000</v>
      </c>
      <c r="H1704" t="s">
        <v>1001</v>
      </c>
      <c r="I1704" t="s">
        <v>16</v>
      </c>
      <c r="J1704" t="s">
        <v>52</v>
      </c>
      <c r="K1704" t="s">
        <v>35</v>
      </c>
      <c r="L1704" s="6">
        <v>0</v>
      </c>
      <c r="M1704" s="6">
        <v>5</v>
      </c>
      <c r="N1704" s="6">
        <v>5</v>
      </c>
      <c r="O1704" s="6">
        <v>8408.0300000000007</v>
      </c>
      <c r="P1704" s="7">
        <v>0</v>
      </c>
      <c r="Q1704" s="6">
        <v>0</v>
      </c>
    </row>
    <row r="1705" spans="1:17">
      <c r="A1705">
        <v>1704</v>
      </c>
      <c r="B1705" s="5">
        <v>45871</v>
      </c>
      <c r="C1705" t="s">
        <v>916</v>
      </c>
      <c r="D1705" t="s">
        <v>917</v>
      </c>
      <c r="E1705" t="s">
        <v>918</v>
      </c>
      <c r="F1705">
        <v>3</v>
      </c>
      <c r="G1705" t="s">
        <v>1029</v>
      </c>
      <c r="H1705" t="s">
        <v>1030</v>
      </c>
      <c r="I1705" t="s">
        <v>16</v>
      </c>
      <c r="J1705" t="s">
        <v>52</v>
      </c>
      <c r="K1705" t="s">
        <v>35</v>
      </c>
      <c r="L1705" s="6">
        <v>0</v>
      </c>
      <c r="M1705" s="6">
        <v>20</v>
      </c>
      <c r="N1705" s="6">
        <v>20</v>
      </c>
      <c r="O1705" s="6">
        <v>8428.0300000000007</v>
      </c>
      <c r="P1705" s="7">
        <v>0</v>
      </c>
      <c r="Q1705" s="6">
        <v>0</v>
      </c>
    </row>
    <row r="1706" spans="1:17">
      <c r="A1706">
        <v>1705</v>
      </c>
      <c r="B1706" s="5">
        <v>45871</v>
      </c>
      <c r="C1706" t="s">
        <v>916</v>
      </c>
      <c r="D1706" t="s">
        <v>917</v>
      </c>
      <c r="E1706" t="s">
        <v>918</v>
      </c>
      <c r="F1706">
        <v>3</v>
      </c>
      <c r="G1706" t="s">
        <v>1031</v>
      </c>
      <c r="H1706" t="s">
        <v>1032</v>
      </c>
      <c r="I1706" t="s">
        <v>16</v>
      </c>
      <c r="J1706" t="s">
        <v>52</v>
      </c>
      <c r="K1706" t="s">
        <v>35</v>
      </c>
      <c r="L1706" s="6">
        <v>0</v>
      </c>
      <c r="M1706" s="6">
        <v>36</v>
      </c>
      <c r="N1706" s="6">
        <v>36</v>
      </c>
      <c r="O1706" s="6">
        <v>8464.0300000000007</v>
      </c>
      <c r="P1706" s="7">
        <v>0</v>
      </c>
      <c r="Q1706" s="6">
        <v>0</v>
      </c>
    </row>
    <row r="1707" spans="1:17">
      <c r="A1707">
        <v>1706</v>
      </c>
      <c r="B1707" s="5">
        <v>45871</v>
      </c>
      <c r="C1707" t="s">
        <v>916</v>
      </c>
      <c r="D1707" t="s">
        <v>917</v>
      </c>
      <c r="E1707" t="s">
        <v>918</v>
      </c>
      <c r="F1707">
        <v>3</v>
      </c>
      <c r="G1707" t="s">
        <v>1000</v>
      </c>
      <c r="H1707" t="s">
        <v>1001</v>
      </c>
      <c r="I1707" t="s">
        <v>16</v>
      </c>
      <c r="J1707" t="s">
        <v>52</v>
      </c>
      <c r="K1707" t="s">
        <v>35</v>
      </c>
      <c r="L1707" s="6">
        <v>0</v>
      </c>
      <c r="M1707" s="6">
        <v>101</v>
      </c>
      <c r="N1707" s="6">
        <v>101</v>
      </c>
      <c r="O1707" s="6">
        <v>8565.0300000000007</v>
      </c>
      <c r="P1707" s="7">
        <v>0</v>
      </c>
      <c r="Q1707" s="6">
        <v>0</v>
      </c>
    </row>
    <row r="1708" spans="1:17">
      <c r="A1708">
        <v>1707</v>
      </c>
      <c r="B1708" s="5">
        <v>45871</v>
      </c>
      <c r="C1708" t="s">
        <v>916</v>
      </c>
      <c r="D1708" t="s">
        <v>917</v>
      </c>
      <c r="E1708" t="s">
        <v>918</v>
      </c>
      <c r="F1708">
        <v>3</v>
      </c>
      <c r="G1708" t="s">
        <v>1033</v>
      </c>
      <c r="H1708" t="s">
        <v>1034</v>
      </c>
      <c r="I1708" t="s">
        <v>16</v>
      </c>
      <c r="J1708" t="s">
        <v>52</v>
      </c>
      <c r="K1708" t="s">
        <v>35</v>
      </c>
      <c r="L1708" s="6">
        <v>0</v>
      </c>
      <c r="M1708" s="6">
        <v>1000</v>
      </c>
      <c r="N1708" s="6">
        <v>1000</v>
      </c>
      <c r="O1708" s="6">
        <v>9565.0300000000007</v>
      </c>
      <c r="P1708" s="7">
        <v>0</v>
      </c>
      <c r="Q1708" s="6">
        <v>0</v>
      </c>
    </row>
    <row r="1709" spans="1:17">
      <c r="A1709">
        <v>1708</v>
      </c>
      <c r="B1709" s="5">
        <v>45871</v>
      </c>
      <c r="C1709" t="s">
        <v>916</v>
      </c>
      <c r="D1709" t="s">
        <v>917</v>
      </c>
      <c r="E1709" t="s">
        <v>918</v>
      </c>
      <c r="F1709">
        <v>3</v>
      </c>
      <c r="G1709" t="s">
        <v>1018</v>
      </c>
      <c r="H1709" t="s">
        <v>1019</v>
      </c>
      <c r="I1709" t="s">
        <v>16</v>
      </c>
      <c r="J1709" t="s">
        <v>52</v>
      </c>
      <c r="K1709" t="s">
        <v>35</v>
      </c>
      <c r="L1709" s="6">
        <v>0</v>
      </c>
      <c r="M1709" s="6">
        <v>1500</v>
      </c>
      <c r="N1709" s="6">
        <v>1500</v>
      </c>
      <c r="O1709" s="6">
        <v>11065.03</v>
      </c>
      <c r="P1709" s="7">
        <v>0</v>
      </c>
      <c r="Q1709" s="6">
        <v>0</v>
      </c>
    </row>
    <row r="1710" spans="1:17">
      <c r="A1710">
        <v>1709</v>
      </c>
      <c r="B1710" s="5">
        <v>45873</v>
      </c>
      <c r="C1710" t="s">
        <v>916</v>
      </c>
      <c r="D1710" t="s">
        <v>917</v>
      </c>
      <c r="E1710" t="s">
        <v>918</v>
      </c>
      <c r="F1710">
        <v>3</v>
      </c>
      <c r="G1710" t="s">
        <v>1035</v>
      </c>
      <c r="H1710" t="s">
        <v>66</v>
      </c>
      <c r="I1710" t="s">
        <v>22</v>
      </c>
      <c r="J1710" t="s">
        <v>67</v>
      </c>
      <c r="K1710" t="s">
        <v>34</v>
      </c>
      <c r="L1710" s="6">
        <v>508.87</v>
      </c>
      <c r="M1710" s="6">
        <v>0</v>
      </c>
      <c r="N1710" s="6">
        <v>-508.87</v>
      </c>
      <c r="O1710" s="6">
        <v>10556.16</v>
      </c>
      <c r="P1710" s="7">
        <v>0</v>
      </c>
      <c r="Q1710" s="6">
        <v>0</v>
      </c>
    </row>
    <row r="1711" spans="1:17">
      <c r="A1711">
        <v>1710</v>
      </c>
      <c r="B1711" s="5">
        <v>45873</v>
      </c>
      <c r="C1711" t="s">
        <v>916</v>
      </c>
      <c r="D1711" t="s">
        <v>917</v>
      </c>
      <c r="E1711" t="s">
        <v>918</v>
      </c>
      <c r="F1711">
        <v>3</v>
      </c>
      <c r="G1711" t="s">
        <v>1036</v>
      </c>
      <c r="H1711" t="s">
        <v>66</v>
      </c>
      <c r="I1711" t="s">
        <v>22</v>
      </c>
      <c r="J1711" t="s">
        <v>67</v>
      </c>
      <c r="K1711" t="s">
        <v>34</v>
      </c>
      <c r="L1711" s="6">
        <v>229.92</v>
      </c>
      <c r="M1711" s="6">
        <v>0</v>
      </c>
      <c r="N1711" s="6">
        <v>-229.92</v>
      </c>
      <c r="O1711" s="6">
        <v>10326.24</v>
      </c>
      <c r="P1711" s="7">
        <v>0</v>
      </c>
      <c r="Q1711" s="6">
        <v>0</v>
      </c>
    </row>
    <row r="1712" spans="1:17">
      <c r="A1712">
        <v>1711</v>
      </c>
      <c r="B1712" s="5">
        <v>45873</v>
      </c>
      <c r="C1712" t="s">
        <v>916</v>
      </c>
      <c r="D1712" t="s">
        <v>917</v>
      </c>
      <c r="E1712" t="s">
        <v>918</v>
      </c>
      <c r="F1712">
        <v>3</v>
      </c>
      <c r="G1712" t="s">
        <v>1037</v>
      </c>
      <c r="H1712" t="s">
        <v>929</v>
      </c>
      <c r="I1712" t="s">
        <v>22</v>
      </c>
      <c r="J1712" t="s">
        <v>67</v>
      </c>
      <c r="K1712" t="s">
        <v>34</v>
      </c>
      <c r="L1712" s="6">
        <v>340</v>
      </c>
      <c r="M1712" s="6">
        <v>0</v>
      </c>
      <c r="N1712" s="6">
        <v>-340</v>
      </c>
      <c r="O1712" s="6">
        <v>9986.24</v>
      </c>
      <c r="P1712" s="7">
        <v>0</v>
      </c>
      <c r="Q1712" s="6">
        <v>0</v>
      </c>
    </row>
    <row r="1713" spans="1:17">
      <c r="A1713">
        <v>1712</v>
      </c>
      <c r="B1713" s="5">
        <v>45873</v>
      </c>
      <c r="C1713" t="s">
        <v>916</v>
      </c>
      <c r="D1713" t="s">
        <v>917</v>
      </c>
      <c r="E1713" t="s">
        <v>918</v>
      </c>
      <c r="F1713">
        <v>3</v>
      </c>
      <c r="G1713" t="s">
        <v>1038</v>
      </c>
      <c r="H1713" t="s">
        <v>929</v>
      </c>
      <c r="I1713" t="s">
        <v>22</v>
      </c>
      <c r="J1713" t="s">
        <v>67</v>
      </c>
      <c r="K1713" t="s">
        <v>34</v>
      </c>
      <c r="L1713" s="6">
        <v>900</v>
      </c>
      <c r="M1713" s="6">
        <v>0</v>
      </c>
      <c r="N1713" s="6">
        <v>-900</v>
      </c>
      <c r="O1713" s="6">
        <v>9086.24</v>
      </c>
      <c r="P1713" s="7">
        <v>0</v>
      </c>
      <c r="Q1713" s="6">
        <v>0</v>
      </c>
    </row>
    <row r="1714" spans="1:17">
      <c r="A1714">
        <v>1713</v>
      </c>
      <c r="B1714" s="5">
        <v>45873</v>
      </c>
      <c r="C1714" t="s">
        <v>916</v>
      </c>
      <c r="D1714" t="s">
        <v>917</v>
      </c>
      <c r="E1714" t="s">
        <v>918</v>
      </c>
      <c r="F1714">
        <v>3</v>
      </c>
      <c r="G1714" t="s">
        <v>1039</v>
      </c>
      <c r="H1714" t="s">
        <v>929</v>
      </c>
      <c r="I1714" t="s">
        <v>22</v>
      </c>
      <c r="J1714" t="s">
        <v>67</v>
      </c>
      <c r="K1714" t="s">
        <v>34</v>
      </c>
      <c r="L1714" s="6">
        <v>100</v>
      </c>
      <c r="M1714" s="6">
        <v>0</v>
      </c>
      <c r="N1714" s="6">
        <v>-100</v>
      </c>
      <c r="O1714" s="6">
        <v>8986.24</v>
      </c>
      <c r="P1714" s="7">
        <v>0</v>
      </c>
      <c r="Q1714" s="6">
        <v>0</v>
      </c>
    </row>
    <row r="1715" spans="1:17">
      <c r="A1715">
        <v>1714</v>
      </c>
      <c r="B1715" s="5">
        <v>45873</v>
      </c>
      <c r="C1715" t="s">
        <v>916</v>
      </c>
      <c r="D1715" t="s">
        <v>917</v>
      </c>
      <c r="E1715" t="s">
        <v>918</v>
      </c>
      <c r="F1715">
        <v>3</v>
      </c>
      <c r="G1715" t="s">
        <v>1040</v>
      </c>
      <c r="H1715" t="s">
        <v>929</v>
      </c>
      <c r="I1715" t="s">
        <v>22</v>
      </c>
      <c r="J1715" t="s">
        <v>67</v>
      </c>
      <c r="K1715" t="s">
        <v>34</v>
      </c>
      <c r="L1715" s="6">
        <v>900</v>
      </c>
      <c r="M1715" s="6">
        <v>0</v>
      </c>
      <c r="N1715" s="6">
        <v>-900</v>
      </c>
      <c r="O1715" s="6">
        <v>8086.24</v>
      </c>
      <c r="P1715" s="7">
        <v>0</v>
      </c>
      <c r="Q1715" s="6">
        <v>0</v>
      </c>
    </row>
    <row r="1716" spans="1:17">
      <c r="A1716">
        <v>1715</v>
      </c>
      <c r="B1716" s="5">
        <v>45873</v>
      </c>
      <c r="C1716" t="s">
        <v>916</v>
      </c>
      <c r="D1716" t="s">
        <v>917</v>
      </c>
      <c r="E1716" t="s">
        <v>918</v>
      </c>
      <c r="F1716">
        <v>3</v>
      </c>
      <c r="G1716" t="s">
        <v>1041</v>
      </c>
      <c r="H1716" t="s">
        <v>929</v>
      </c>
      <c r="I1716" t="s">
        <v>22</v>
      </c>
      <c r="J1716" t="s">
        <v>67</v>
      </c>
      <c r="K1716" t="s">
        <v>34</v>
      </c>
      <c r="L1716" s="6">
        <v>1400</v>
      </c>
      <c r="M1716" s="6">
        <v>0</v>
      </c>
      <c r="N1716" s="6">
        <v>-1400</v>
      </c>
      <c r="O1716" s="6">
        <v>6686.24</v>
      </c>
      <c r="P1716" s="7">
        <v>0</v>
      </c>
      <c r="Q1716" s="6">
        <v>0</v>
      </c>
    </row>
    <row r="1717" spans="1:17">
      <c r="A1717">
        <v>1716</v>
      </c>
      <c r="B1717" s="5">
        <v>45873</v>
      </c>
      <c r="C1717" t="s">
        <v>916</v>
      </c>
      <c r="D1717" t="s">
        <v>917</v>
      </c>
      <c r="E1717" t="s">
        <v>918</v>
      </c>
      <c r="F1717">
        <v>3</v>
      </c>
      <c r="G1717" t="s">
        <v>1042</v>
      </c>
      <c r="H1717" t="s">
        <v>929</v>
      </c>
      <c r="I1717" t="s">
        <v>22</v>
      </c>
      <c r="J1717" t="s">
        <v>67</v>
      </c>
      <c r="K1717" t="s">
        <v>34</v>
      </c>
      <c r="L1717" s="6">
        <v>200</v>
      </c>
      <c r="M1717" s="6">
        <v>0</v>
      </c>
      <c r="N1717" s="6">
        <v>-200</v>
      </c>
      <c r="O1717" s="6">
        <v>6486.24</v>
      </c>
      <c r="P1717" s="7">
        <v>0</v>
      </c>
      <c r="Q1717" s="6">
        <v>0</v>
      </c>
    </row>
    <row r="1718" spans="1:17">
      <c r="A1718">
        <v>1717</v>
      </c>
      <c r="B1718" s="5">
        <v>45873</v>
      </c>
      <c r="C1718" t="s">
        <v>916</v>
      </c>
      <c r="D1718" t="s">
        <v>917</v>
      </c>
      <c r="E1718" t="s">
        <v>918</v>
      </c>
      <c r="F1718">
        <v>3</v>
      </c>
      <c r="G1718" t="s">
        <v>1043</v>
      </c>
      <c r="H1718" t="s">
        <v>929</v>
      </c>
      <c r="I1718" t="s">
        <v>22</v>
      </c>
      <c r="J1718" t="s">
        <v>67</v>
      </c>
      <c r="K1718" t="s">
        <v>34</v>
      </c>
      <c r="L1718" s="6">
        <v>500</v>
      </c>
      <c r="M1718" s="6">
        <v>0</v>
      </c>
      <c r="N1718" s="6">
        <v>-500</v>
      </c>
      <c r="O1718" s="6">
        <v>5986.24</v>
      </c>
      <c r="P1718" s="7">
        <v>0</v>
      </c>
      <c r="Q1718" s="6">
        <v>0</v>
      </c>
    </row>
    <row r="1719" spans="1:17">
      <c r="A1719">
        <v>1718</v>
      </c>
      <c r="B1719" s="5">
        <v>45873</v>
      </c>
      <c r="C1719" t="s">
        <v>916</v>
      </c>
      <c r="D1719" t="s">
        <v>917</v>
      </c>
      <c r="E1719" t="s">
        <v>918</v>
      </c>
      <c r="F1719">
        <v>3</v>
      </c>
      <c r="G1719" t="s">
        <v>1044</v>
      </c>
      <c r="H1719" t="s">
        <v>929</v>
      </c>
      <c r="I1719" t="s">
        <v>22</v>
      </c>
      <c r="J1719" t="s">
        <v>67</v>
      </c>
      <c r="K1719" t="s">
        <v>34</v>
      </c>
      <c r="L1719" s="6">
        <v>318.39999999999998</v>
      </c>
      <c r="M1719" s="6">
        <v>0</v>
      </c>
      <c r="N1719" s="6">
        <v>-318.39999999999998</v>
      </c>
      <c r="O1719" s="6">
        <v>5667.84</v>
      </c>
      <c r="P1719" s="7">
        <v>0</v>
      </c>
      <c r="Q1719" s="6">
        <v>0</v>
      </c>
    </row>
    <row r="1720" spans="1:17">
      <c r="A1720">
        <v>1719</v>
      </c>
      <c r="B1720" s="5">
        <v>45873</v>
      </c>
      <c r="C1720" t="s">
        <v>916</v>
      </c>
      <c r="D1720" t="s">
        <v>917</v>
      </c>
      <c r="E1720" t="s">
        <v>918</v>
      </c>
      <c r="F1720">
        <v>3</v>
      </c>
      <c r="G1720" t="s">
        <v>1045</v>
      </c>
      <c r="H1720" t="s">
        <v>929</v>
      </c>
      <c r="I1720" t="s">
        <v>22</v>
      </c>
      <c r="J1720" t="s">
        <v>67</v>
      </c>
      <c r="K1720" t="s">
        <v>34</v>
      </c>
      <c r="L1720" s="6">
        <v>1000</v>
      </c>
      <c r="M1720" s="6">
        <v>0</v>
      </c>
      <c r="N1720" s="6">
        <v>-1000</v>
      </c>
      <c r="O1720" s="6">
        <v>4667.84</v>
      </c>
      <c r="P1720" s="7">
        <v>0</v>
      </c>
      <c r="Q1720" s="6">
        <v>0</v>
      </c>
    </row>
    <row r="1721" spans="1:17">
      <c r="A1721">
        <v>1720</v>
      </c>
      <c r="B1721" s="5">
        <v>45873</v>
      </c>
      <c r="C1721" t="s">
        <v>916</v>
      </c>
      <c r="D1721" t="s">
        <v>917</v>
      </c>
      <c r="E1721" t="s">
        <v>918</v>
      </c>
      <c r="F1721">
        <v>3</v>
      </c>
      <c r="G1721" t="s">
        <v>1046</v>
      </c>
      <c r="H1721" t="s">
        <v>929</v>
      </c>
      <c r="I1721" t="s">
        <v>22</v>
      </c>
      <c r="J1721" t="s">
        <v>67</v>
      </c>
      <c r="K1721" t="s">
        <v>34</v>
      </c>
      <c r="L1721" s="6">
        <v>26</v>
      </c>
      <c r="M1721" s="6">
        <v>0</v>
      </c>
      <c r="N1721" s="6">
        <v>-26</v>
      </c>
      <c r="O1721" s="6">
        <v>4641.84</v>
      </c>
      <c r="P1721" s="7">
        <v>0</v>
      </c>
      <c r="Q1721" s="6">
        <v>0</v>
      </c>
    </row>
    <row r="1722" spans="1:17">
      <c r="A1722">
        <v>1721</v>
      </c>
      <c r="B1722" s="5">
        <v>45873</v>
      </c>
      <c r="C1722" t="s">
        <v>916</v>
      </c>
      <c r="D1722" t="s">
        <v>917</v>
      </c>
      <c r="E1722" t="s">
        <v>918</v>
      </c>
      <c r="F1722">
        <v>3</v>
      </c>
      <c r="G1722" t="s">
        <v>1047</v>
      </c>
      <c r="H1722" t="s">
        <v>66</v>
      </c>
      <c r="I1722" t="s">
        <v>22</v>
      </c>
      <c r="J1722" t="s">
        <v>67</v>
      </c>
      <c r="K1722" t="s">
        <v>34</v>
      </c>
      <c r="L1722" s="6">
        <v>42.4</v>
      </c>
      <c r="M1722" s="6">
        <v>0</v>
      </c>
      <c r="N1722" s="6">
        <v>-42.4</v>
      </c>
      <c r="O1722" s="6">
        <v>4599.4399999999996</v>
      </c>
      <c r="P1722" s="7">
        <v>0</v>
      </c>
      <c r="Q1722" s="6">
        <v>0</v>
      </c>
    </row>
    <row r="1723" spans="1:17">
      <c r="A1723">
        <v>1722</v>
      </c>
      <c r="B1723" s="5">
        <v>45873</v>
      </c>
      <c r="C1723" t="s">
        <v>916</v>
      </c>
      <c r="D1723" t="s">
        <v>917</v>
      </c>
      <c r="E1723" t="s">
        <v>918</v>
      </c>
      <c r="F1723">
        <v>3</v>
      </c>
      <c r="G1723" t="s">
        <v>1048</v>
      </c>
      <c r="H1723" t="s">
        <v>929</v>
      </c>
      <c r="I1723" t="s">
        <v>22</v>
      </c>
      <c r="J1723" t="s">
        <v>67</v>
      </c>
      <c r="K1723" t="s">
        <v>34</v>
      </c>
      <c r="L1723" s="6">
        <v>314</v>
      </c>
      <c r="M1723" s="6">
        <v>0</v>
      </c>
      <c r="N1723" s="6">
        <v>-314</v>
      </c>
      <c r="O1723" s="6">
        <v>4285.4399999999996</v>
      </c>
      <c r="P1723" s="7">
        <v>0</v>
      </c>
      <c r="Q1723" s="6">
        <v>0</v>
      </c>
    </row>
    <row r="1724" spans="1:17">
      <c r="A1724">
        <v>1723</v>
      </c>
      <c r="B1724" s="5">
        <v>45873</v>
      </c>
      <c r="C1724" t="s">
        <v>916</v>
      </c>
      <c r="D1724" t="s">
        <v>917</v>
      </c>
      <c r="E1724" t="s">
        <v>918</v>
      </c>
      <c r="F1724">
        <v>3</v>
      </c>
      <c r="G1724" t="s">
        <v>1049</v>
      </c>
      <c r="H1724" t="s">
        <v>66</v>
      </c>
      <c r="I1724" t="s">
        <v>22</v>
      </c>
      <c r="J1724" t="s">
        <v>67</v>
      </c>
      <c r="K1724" t="s">
        <v>34</v>
      </c>
      <c r="L1724" s="6">
        <v>48.28</v>
      </c>
      <c r="M1724" s="6">
        <v>0</v>
      </c>
      <c r="N1724" s="6">
        <v>-48.28</v>
      </c>
      <c r="O1724" s="6">
        <v>4237.16</v>
      </c>
      <c r="P1724" s="7">
        <v>0</v>
      </c>
      <c r="Q1724" s="6">
        <v>0</v>
      </c>
    </row>
    <row r="1725" spans="1:17">
      <c r="A1725">
        <v>1724</v>
      </c>
      <c r="B1725" s="5">
        <v>45873</v>
      </c>
      <c r="C1725" t="s">
        <v>916</v>
      </c>
      <c r="D1725" t="s">
        <v>917</v>
      </c>
      <c r="E1725" t="s">
        <v>918</v>
      </c>
      <c r="F1725">
        <v>3</v>
      </c>
      <c r="G1725" t="s">
        <v>1050</v>
      </c>
      <c r="H1725" t="s">
        <v>929</v>
      </c>
      <c r="I1725" t="s">
        <v>22</v>
      </c>
      <c r="J1725" t="s">
        <v>67</v>
      </c>
      <c r="K1725" t="s">
        <v>34</v>
      </c>
      <c r="L1725" s="6">
        <v>318.39999999999998</v>
      </c>
      <c r="M1725" s="6">
        <v>0</v>
      </c>
      <c r="N1725" s="6">
        <v>-318.39999999999998</v>
      </c>
      <c r="O1725" s="6">
        <v>3918.76</v>
      </c>
      <c r="P1725" s="7">
        <v>0</v>
      </c>
      <c r="Q1725" s="6">
        <v>0</v>
      </c>
    </row>
    <row r="1726" spans="1:17">
      <c r="A1726">
        <v>1725</v>
      </c>
      <c r="B1726" s="5">
        <v>45873</v>
      </c>
      <c r="C1726" t="s">
        <v>916</v>
      </c>
      <c r="D1726" t="s">
        <v>917</v>
      </c>
      <c r="E1726" t="s">
        <v>918</v>
      </c>
      <c r="F1726">
        <v>3</v>
      </c>
      <c r="G1726" t="s">
        <v>1051</v>
      </c>
      <c r="H1726" t="s">
        <v>1052</v>
      </c>
      <c r="I1726" t="s">
        <v>16</v>
      </c>
      <c r="J1726" t="s">
        <v>52</v>
      </c>
      <c r="K1726" t="s">
        <v>35</v>
      </c>
      <c r="L1726" s="6">
        <v>0</v>
      </c>
      <c r="M1726" s="6">
        <v>500</v>
      </c>
      <c r="N1726" s="6">
        <v>500</v>
      </c>
      <c r="O1726" s="6">
        <v>4418.76</v>
      </c>
      <c r="P1726" s="7">
        <v>0</v>
      </c>
      <c r="Q1726" s="6">
        <v>0</v>
      </c>
    </row>
    <row r="1727" spans="1:17">
      <c r="A1727">
        <v>1726</v>
      </c>
      <c r="B1727" s="5">
        <v>45873</v>
      </c>
      <c r="C1727" t="s">
        <v>916</v>
      </c>
      <c r="D1727" t="s">
        <v>917</v>
      </c>
      <c r="E1727" t="s">
        <v>918</v>
      </c>
      <c r="F1727">
        <v>3</v>
      </c>
      <c r="G1727" t="s">
        <v>1053</v>
      </c>
      <c r="H1727" t="s">
        <v>1054</v>
      </c>
      <c r="I1727" t="s">
        <v>16</v>
      </c>
      <c r="J1727" t="s">
        <v>52</v>
      </c>
      <c r="K1727" t="s">
        <v>35</v>
      </c>
      <c r="L1727" s="6">
        <v>0</v>
      </c>
      <c r="M1727" s="6">
        <v>675</v>
      </c>
      <c r="N1727" s="6">
        <v>675</v>
      </c>
      <c r="O1727" s="6">
        <v>5093.76</v>
      </c>
      <c r="P1727" s="7">
        <v>0</v>
      </c>
      <c r="Q1727" s="6">
        <v>0</v>
      </c>
    </row>
    <row r="1728" spans="1:17">
      <c r="A1728">
        <v>1727</v>
      </c>
      <c r="B1728" s="5">
        <v>45873</v>
      </c>
      <c r="C1728" t="s">
        <v>916</v>
      </c>
      <c r="D1728" t="s">
        <v>917</v>
      </c>
      <c r="E1728" t="s">
        <v>918</v>
      </c>
      <c r="F1728">
        <v>3</v>
      </c>
      <c r="G1728" t="s">
        <v>1055</v>
      </c>
      <c r="H1728" t="s">
        <v>1056</v>
      </c>
      <c r="I1728" t="s">
        <v>16</v>
      </c>
      <c r="J1728" t="s">
        <v>52</v>
      </c>
      <c r="K1728" t="s">
        <v>35</v>
      </c>
      <c r="L1728" s="6">
        <v>0</v>
      </c>
      <c r="M1728" s="6">
        <v>220</v>
      </c>
      <c r="N1728" s="6">
        <v>220</v>
      </c>
      <c r="O1728" s="6">
        <v>5313.76</v>
      </c>
      <c r="P1728" s="7">
        <v>0</v>
      </c>
      <c r="Q1728" s="6">
        <v>0</v>
      </c>
    </row>
    <row r="1729" spans="1:17">
      <c r="A1729">
        <v>1728</v>
      </c>
      <c r="B1729" s="5">
        <v>45873</v>
      </c>
      <c r="C1729" t="s">
        <v>916</v>
      </c>
      <c r="D1729" t="s">
        <v>917</v>
      </c>
      <c r="E1729" t="s">
        <v>918</v>
      </c>
      <c r="F1729">
        <v>3</v>
      </c>
      <c r="G1729" t="s">
        <v>923</v>
      </c>
      <c r="H1729" t="s">
        <v>924</v>
      </c>
      <c r="I1729" t="s">
        <v>16</v>
      </c>
      <c r="J1729" t="s">
        <v>52</v>
      </c>
      <c r="K1729" t="s">
        <v>35</v>
      </c>
      <c r="L1729" s="6">
        <v>0</v>
      </c>
      <c r="M1729" s="6">
        <v>500</v>
      </c>
      <c r="N1729" s="6">
        <v>500</v>
      </c>
      <c r="O1729" s="6">
        <v>5813.76</v>
      </c>
      <c r="P1729" s="7">
        <v>0</v>
      </c>
      <c r="Q1729" s="6">
        <v>0</v>
      </c>
    </row>
    <row r="1730" spans="1:17">
      <c r="A1730">
        <v>1729</v>
      </c>
      <c r="B1730" s="5">
        <v>45873</v>
      </c>
      <c r="C1730" t="s">
        <v>916</v>
      </c>
      <c r="D1730" t="s">
        <v>917</v>
      </c>
      <c r="E1730" t="s">
        <v>918</v>
      </c>
      <c r="F1730">
        <v>3</v>
      </c>
      <c r="G1730" t="s">
        <v>923</v>
      </c>
      <c r="H1730" t="s">
        <v>924</v>
      </c>
      <c r="I1730" t="s">
        <v>16</v>
      </c>
      <c r="J1730" t="s">
        <v>52</v>
      </c>
      <c r="K1730" t="s">
        <v>35</v>
      </c>
      <c r="L1730" s="6">
        <v>0</v>
      </c>
      <c r="M1730" s="6">
        <v>500</v>
      </c>
      <c r="N1730" s="6">
        <v>500</v>
      </c>
      <c r="O1730" s="6">
        <v>6313.76</v>
      </c>
      <c r="P1730" s="7">
        <v>0</v>
      </c>
      <c r="Q1730" s="6">
        <v>0</v>
      </c>
    </row>
    <row r="1731" spans="1:17">
      <c r="A1731">
        <v>1730</v>
      </c>
      <c r="B1731" s="5">
        <v>45873</v>
      </c>
      <c r="C1731" t="s">
        <v>916</v>
      </c>
      <c r="D1731" t="s">
        <v>917</v>
      </c>
      <c r="E1731" t="s">
        <v>918</v>
      </c>
      <c r="F1731">
        <v>3</v>
      </c>
      <c r="G1731" t="s">
        <v>1057</v>
      </c>
      <c r="H1731" t="s">
        <v>1058</v>
      </c>
      <c r="I1731" t="s">
        <v>16</v>
      </c>
      <c r="J1731" t="s">
        <v>52</v>
      </c>
      <c r="K1731" t="s">
        <v>35</v>
      </c>
      <c r="L1731" s="6">
        <v>0</v>
      </c>
      <c r="M1731" s="6">
        <v>1000</v>
      </c>
      <c r="N1731" s="6">
        <v>1000</v>
      </c>
      <c r="O1731" s="6">
        <v>7313.76</v>
      </c>
      <c r="P1731" s="7">
        <v>0</v>
      </c>
      <c r="Q1731" s="6">
        <v>0</v>
      </c>
    </row>
    <row r="1732" spans="1:17">
      <c r="A1732">
        <v>1731</v>
      </c>
      <c r="B1732" s="5">
        <v>45873</v>
      </c>
      <c r="C1732" t="s">
        <v>916</v>
      </c>
      <c r="D1732" t="s">
        <v>917</v>
      </c>
      <c r="E1732" t="s">
        <v>918</v>
      </c>
      <c r="F1732">
        <v>3</v>
      </c>
      <c r="G1732" t="s">
        <v>923</v>
      </c>
      <c r="H1732" t="s">
        <v>924</v>
      </c>
      <c r="I1732" t="s">
        <v>16</v>
      </c>
      <c r="J1732" t="s">
        <v>52</v>
      </c>
      <c r="K1732" t="s">
        <v>35</v>
      </c>
      <c r="L1732" s="6">
        <v>0</v>
      </c>
      <c r="M1732" s="6">
        <v>500</v>
      </c>
      <c r="N1732" s="6">
        <v>500</v>
      </c>
      <c r="O1732" s="6">
        <v>7813.76</v>
      </c>
      <c r="P1732" s="7">
        <v>0</v>
      </c>
      <c r="Q1732" s="6">
        <v>0</v>
      </c>
    </row>
    <row r="1733" spans="1:17">
      <c r="A1733">
        <v>1732</v>
      </c>
      <c r="B1733" s="5">
        <v>45873</v>
      </c>
      <c r="C1733" t="s">
        <v>916</v>
      </c>
      <c r="D1733" t="s">
        <v>917</v>
      </c>
      <c r="E1733" t="s">
        <v>918</v>
      </c>
      <c r="F1733">
        <v>3</v>
      </c>
      <c r="G1733" t="s">
        <v>900</v>
      </c>
      <c r="I1733" t="s">
        <v>16</v>
      </c>
      <c r="J1733" t="s">
        <v>52</v>
      </c>
      <c r="K1733" t="s">
        <v>35</v>
      </c>
      <c r="L1733" s="6">
        <v>0</v>
      </c>
      <c r="M1733" s="6">
        <v>47.12</v>
      </c>
      <c r="N1733" s="6">
        <v>47.12</v>
      </c>
      <c r="O1733" s="6">
        <v>7860.88</v>
      </c>
      <c r="P1733" s="7">
        <v>0</v>
      </c>
      <c r="Q1733" s="6">
        <v>0</v>
      </c>
    </row>
    <row r="1734" spans="1:17">
      <c r="A1734">
        <v>1733</v>
      </c>
      <c r="B1734" s="5">
        <v>45873</v>
      </c>
      <c r="C1734" t="s">
        <v>916</v>
      </c>
      <c r="D1734" t="s">
        <v>917</v>
      </c>
      <c r="E1734" t="s">
        <v>918</v>
      </c>
      <c r="F1734">
        <v>3</v>
      </c>
      <c r="G1734" t="s">
        <v>900</v>
      </c>
      <c r="I1734" t="s">
        <v>16</v>
      </c>
      <c r="J1734" t="s">
        <v>52</v>
      </c>
      <c r="K1734" t="s">
        <v>35</v>
      </c>
      <c r="L1734" s="6">
        <v>0</v>
      </c>
      <c r="M1734" s="6">
        <v>1241.27</v>
      </c>
      <c r="N1734" s="6">
        <v>1241.27</v>
      </c>
      <c r="O1734" s="6">
        <v>9102.15</v>
      </c>
      <c r="P1734" s="7">
        <v>0</v>
      </c>
      <c r="Q1734" s="6">
        <v>0</v>
      </c>
    </row>
    <row r="1735" spans="1:17">
      <c r="A1735">
        <v>1734</v>
      </c>
      <c r="B1735" s="5">
        <v>45873</v>
      </c>
      <c r="C1735" t="s">
        <v>916</v>
      </c>
      <c r="D1735" t="s">
        <v>917</v>
      </c>
      <c r="E1735" t="s">
        <v>918</v>
      </c>
      <c r="F1735">
        <v>3</v>
      </c>
      <c r="G1735" t="s">
        <v>900</v>
      </c>
      <c r="I1735" t="s">
        <v>16</v>
      </c>
      <c r="J1735" t="s">
        <v>52</v>
      </c>
      <c r="K1735" t="s">
        <v>35</v>
      </c>
      <c r="L1735" s="6">
        <v>0</v>
      </c>
      <c r="M1735" s="6">
        <v>1450.51</v>
      </c>
      <c r="N1735" s="6">
        <v>1450.51</v>
      </c>
      <c r="O1735" s="6">
        <v>10552.66</v>
      </c>
      <c r="P1735" s="7">
        <v>0</v>
      </c>
      <c r="Q1735" s="6">
        <v>0</v>
      </c>
    </row>
    <row r="1736" spans="1:17">
      <c r="A1736">
        <v>1735</v>
      </c>
      <c r="B1736" s="5">
        <v>45873</v>
      </c>
      <c r="C1736" t="s">
        <v>916</v>
      </c>
      <c r="D1736" t="s">
        <v>917</v>
      </c>
      <c r="E1736" t="s">
        <v>918</v>
      </c>
      <c r="F1736">
        <v>3</v>
      </c>
      <c r="G1736" t="s">
        <v>1059</v>
      </c>
      <c r="H1736" t="s">
        <v>1060</v>
      </c>
      <c r="I1736" t="s">
        <v>16</v>
      </c>
      <c r="J1736" t="s">
        <v>52</v>
      </c>
      <c r="K1736" t="s">
        <v>35</v>
      </c>
      <c r="L1736" s="6">
        <v>0</v>
      </c>
      <c r="M1736" s="6">
        <v>1000</v>
      </c>
      <c r="N1736" s="6">
        <v>1000</v>
      </c>
      <c r="O1736" s="6">
        <v>11552.66</v>
      </c>
      <c r="P1736" s="7">
        <v>0</v>
      </c>
      <c r="Q1736" s="6">
        <v>0</v>
      </c>
    </row>
    <row r="1737" spans="1:17">
      <c r="A1737">
        <v>1736</v>
      </c>
      <c r="B1737" s="5">
        <v>45873</v>
      </c>
      <c r="C1737" t="s">
        <v>916</v>
      </c>
      <c r="D1737" t="s">
        <v>917</v>
      </c>
      <c r="E1737" t="s">
        <v>918</v>
      </c>
      <c r="F1737">
        <v>3</v>
      </c>
      <c r="G1737" t="s">
        <v>1061</v>
      </c>
      <c r="I1737" t="s">
        <v>15</v>
      </c>
      <c r="J1737" t="s">
        <v>52</v>
      </c>
      <c r="K1737" t="s">
        <v>35</v>
      </c>
      <c r="L1737" s="6">
        <v>0</v>
      </c>
      <c r="M1737" s="6">
        <v>5900</v>
      </c>
      <c r="N1737" s="6">
        <v>5900</v>
      </c>
      <c r="O1737" s="6">
        <v>17452.66</v>
      </c>
      <c r="P1737" s="7">
        <v>0</v>
      </c>
      <c r="Q1737" s="6">
        <v>0</v>
      </c>
    </row>
    <row r="1738" spans="1:17">
      <c r="A1738">
        <v>1737</v>
      </c>
      <c r="B1738" s="5">
        <v>45873</v>
      </c>
      <c r="C1738" t="s">
        <v>916</v>
      </c>
      <c r="D1738" t="s">
        <v>917</v>
      </c>
      <c r="E1738" t="s">
        <v>918</v>
      </c>
      <c r="F1738">
        <v>3</v>
      </c>
      <c r="G1738" t="s">
        <v>1061</v>
      </c>
      <c r="I1738" t="s">
        <v>15</v>
      </c>
      <c r="J1738" t="s">
        <v>52</v>
      </c>
      <c r="K1738" t="s">
        <v>35</v>
      </c>
      <c r="L1738" s="6">
        <v>0</v>
      </c>
      <c r="M1738" s="6">
        <v>1455</v>
      </c>
      <c r="N1738" s="6">
        <v>1455</v>
      </c>
      <c r="O1738" s="6">
        <v>18907.66</v>
      </c>
      <c r="P1738" s="7">
        <v>0</v>
      </c>
      <c r="Q1738" s="6">
        <v>0</v>
      </c>
    </row>
    <row r="1739" spans="1:17">
      <c r="A1739">
        <v>1738</v>
      </c>
      <c r="B1739" s="5">
        <v>45873</v>
      </c>
      <c r="C1739" t="s">
        <v>916</v>
      </c>
      <c r="D1739" t="s">
        <v>917</v>
      </c>
      <c r="E1739" t="s">
        <v>918</v>
      </c>
      <c r="F1739">
        <v>4</v>
      </c>
      <c r="G1739" t="s">
        <v>1061</v>
      </c>
      <c r="I1739" t="s">
        <v>15</v>
      </c>
      <c r="J1739" t="s">
        <v>52</v>
      </c>
      <c r="K1739" t="s">
        <v>35</v>
      </c>
      <c r="L1739" s="6">
        <v>0</v>
      </c>
      <c r="M1739" s="6">
        <v>102468</v>
      </c>
      <c r="N1739" s="6">
        <v>102468</v>
      </c>
      <c r="O1739" s="6">
        <v>121375.66</v>
      </c>
      <c r="P1739" s="7">
        <v>0</v>
      </c>
      <c r="Q1739" s="6">
        <v>0</v>
      </c>
    </row>
    <row r="1740" spans="1:17">
      <c r="A1740">
        <v>1739</v>
      </c>
      <c r="B1740" s="5">
        <v>45873</v>
      </c>
      <c r="C1740" t="s">
        <v>916</v>
      </c>
      <c r="D1740" t="s">
        <v>917</v>
      </c>
      <c r="E1740" t="s">
        <v>918</v>
      </c>
      <c r="F1740">
        <v>4</v>
      </c>
      <c r="G1740" t="s">
        <v>1062</v>
      </c>
      <c r="H1740" t="s">
        <v>66</v>
      </c>
      <c r="I1740" t="s">
        <v>22</v>
      </c>
      <c r="J1740" t="s">
        <v>67</v>
      </c>
      <c r="K1740" t="s">
        <v>34</v>
      </c>
      <c r="L1740" s="6">
        <v>29951</v>
      </c>
      <c r="M1740" s="6">
        <v>0</v>
      </c>
      <c r="N1740" s="6">
        <v>-29951</v>
      </c>
      <c r="O1740" s="6">
        <v>91424.66</v>
      </c>
      <c r="P1740" s="7">
        <v>0</v>
      </c>
      <c r="Q1740" s="6">
        <v>0</v>
      </c>
    </row>
    <row r="1741" spans="1:17">
      <c r="A1741">
        <v>1740</v>
      </c>
      <c r="B1741" s="5">
        <v>45873</v>
      </c>
      <c r="C1741" t="s">
        <v>916</v>
      </c>
      <c r="D1741" t="s">
        <v>917</v>
      </c>
      <c r="E1741" t="s">
        <v>918</v>
      </c>
      <c r="F1741">
        <v>4</v>
      </c>
      <c r="G1741" t="s">
        <v>1063</v>
      </c>
      <c r="H1741" t="s">
        <v>929</v>
      </c>
      <c r="I1741" t="s">
        <v>22</v>
      </c>
      <c r="J1741" t="s">
        <v>67</v>
      </c>
      <c r="K1741" t="s">
        <v>34</v>
      </c>
      <c r="L1741" s="6">
        <v>275</v>
      </c>
      <c r="M1741" s="6">
        <v>0</v>
      </c>
      <c r="N1741" s="6">
        <v>-275</v>
      </c>
      <c r="O1741" s="6">
        <v>91149.66</v>
      </c>
      <c r="P1741" s="7">
        <v>0</v>
      </c>
      <c r="Q1741" s="6">
        <v>0</v>
      </c>
    </row>
    <row r="1742" spans="1:17">
      <c r="A1742">
        <v>1741</v>
      </c>
      <c r="B1742" s="5">
        <v>45873</v>
      </c>
      <c r="C1742" t="s">
        <v>916</v>
      </c>
      <c r="D1742" t="s">
        <v>917</v>
      </c>
      <c r="E1742" t="s">
        <v>918</v>
      </c>
      <c r="F1742">
        <v>4</v>
      </c>
      <c r="G1742" t="s">
        <v>1064</v>
      </c>
      <c r="H1742" t="s">
        <v>66</v>
      </c>
      <c r="I1742" t="s">
        <v>22</v>
      </c>
      <c r="J1742" t="s">
        <v>67</v>
      </c>
      <c r="K1742" t="s">
        <v>34</v>
      </c>
      <c r="L1742" s="6">
        <v>4500</v>
      </c>
      <c r="M1742" s="6">
        <v>0</v>
      </c>
      <c r="N1742" s="6">
        <v>-4500</v>
      </c>
      <c r="O1742" s="6">
        <v>86649.66</v>
      </c>
      <c r="P1742" s="7">
        <v>0</v>
      </c>
      <c r="Q1742" s="6">
        <v>0</v>
      </c>
    </row>
    <row r="1743" spans="1:17">
      <c r="A1743">
        <v>1742</v>
      </c>
      <c r="B1743" s="5">
        <v>45873</v>
      </c>
      <c r="C1743" t="s">
        <v>916</v>
      </c>
      <c r="D1743" t="s">
        <v>917</v>
      </c>
      <c r="E1743" t="s">
        <v>918</v>
      </c>
      <c r="F1743">
        <v>4</v>
      </c>
      <c r="G1743" t="s">
        <v>1065</v>
      </c>
      <c r="H1743" t="s">
        <v>929</v>
      </c>
      <c r="I1743" t="s">
        <v>22</v>
      </c>
      <c r="J1743" t="s">
        <v>67</v>
      </c>
      <c r="K1743" t="s">
        <v>34</v>
      </c>
      <c r="L1743" s="6">
        <v>2200</v>
      </c>
      <c r="M1743" s="6">
        <v>0</v>
      </c>
      <c r="N1743" s="6">
        <v>-2200</v>
      </c>
      <c r="O1743" s="6">
        <v>84449.66</v>
      </c>
      <c r="P1743" s="7">
        <v>0</v>
      </c>
      <c r="Q1743" s="6">
        <v>0</v>
      </c>
    </row>
    <row r="1744" spans="1:17">
      <c r="A1744">
        <v>1743</v>
      </c>
      <c r="B1744" s="5">
        <v>45873</v>
      </c>
      <c r="C1744" t="s">
        <v>916</v>
      </c>
      <c r="D1744" t="s">
        <v>917</v>
      </c>
      <c r="E1744" t="s">
        <v>918</v>
      </c>
      <c r="F1744">
        <v>4</v>
      </c>
      <c r="G1744" t="s">
        <v>1066</v>
      </c>
      <c r="H1744" t="s">
        <v>929</v>
      </c>
      <c r="I1744" t="s">
        <v>22</v>
      </c>
      <c r="J1744" t="s">
        <v>67</v>
      </c>
      <c r="K1744" t="s">
        <v>34</v>
      </c>
      <c r="L1744" s="6">
        <v>1194.4000000000001</v>
      </c>
      <c r="M1744" s="6">
        <v>0</v>
      </c>
      <c r="N1744" s="6">
        <v>-1194.4000000000001</v>
      </c>
      <c r="O1744" s="6">
        <v>83255.259999999995</v>
      </c>
      <c r="P1744" s="7">
        <v>0</v>
      </c>
      <c r="Q1744" s="6">
        <v>0</v>
      </c>
    </row>
    <row r="1745" spans="1:17">
      <c r="A1745">
        <v>1744</v>
      </c>
      <c r="B1745" s="5">
        <v>45873</v>
      </c>
      <c r="C1745" t="s">
        <v>916</v>
      </c>
      <c r="D1745" t="s">
        <v>917</v>
      </c>
      <c r="E1745" t="s">
        <v>918</v>
      </c>
      <c r="F1745">
        <v>4</v>
      </c>
      <c r="G1745" t="s">
        <v>1067</v>
      </c>
      <c r="H1745" t="s">
        <v>66</v>
      </c>
      <c r="I1745" t="s">
        <v>22</v>
      </c>
      <c r="J1745" t="s">
        <v>67</v>
      </c>
      <c r="K1745" t="s">
        <v>34</v>
      </c>
      <c r="L1745" s="6">
        <v>2200</v>
      </c>
      <c r="M1745" s="6">
        <v>0</v>
      </c>
      <c r="N1745" s="6">
        <v>-2200</v>
      </c>
      <c r="O1745" s="6">
        <v>81055.259999999995</v>
      </c>
      <c r="P1745" s="7">
        <v>0</v>
      </c>
      <c r="Q1745" s="6">
        <v>0</v>
      </c>
    </row>
    <row r="1746" spans="1:17">
      <c r="A1746">
        <v>1745</v>
      </c>
      <c r="B1746" s="5">
        <v>45873</v>
      </c>
      <c r="C1746" t="s">
        <v>916</v>
      </c>
      <c r="D1746" t="s">
        <v>917</v>
      </c>
      <c r="E1746" t="s">
        <v>918</v>
      </c>
      <c r="F1746">
        <v>4</v>
      </c>
      <c r="G1746" t="s">
        <v>1068</v>
      </c>
      <c r="H1746" t="s">
        <v>66</v>
      </c>
      <c r="I1746" t="s">
        <v>22</v>
      </c>
      <c r="J1746" t="s">
        <v>67</v>
      </c>
      <c r="K1746" t="s">
        <v>34</v>
      </c>
      <c r="L1746" s="6">
        <v>1000</v>
      </c>
      <c r="M1746" s="6">
        <v>0</v>
      </c>
      <c r="N1746" s="6">
        <v>-1000</v>
      </c>
      <c r="O1746" s="6">
        <v>80055.259999999995</v>
      </c>
      <c r="P1746" s="7">
        <v>0</v>
      </c>
      <c r="Q1746" s="6">
        <v>0</v>
      </c>
    </row>
    <row r="1747" spans="1:17">
      <c r="A1747">
        <v>1746</v>
      </c>
      <c r="B1747" s="5">
        <v>45873</v>
      </c>
      <c r="C1747" t="s">
        <v>916</v>
      </c>
      <c r="D1747" t="s">
        <v>917</v>
      </c>
      <c r="E1747" t="s">
        <v>918</v>
      </c>
      <c r="F1747">
        <v>4</v>
      </c>
      <c r="G1747" t="s">
        <v>1069</v>
      </c>
      <c r="I1747" t="s">
        <v>17</v>
      </c>
      <c r="J1747" t="s">
        <v>64</v>
      </c>
      <c r="K1747" t="s">
        <v>34</v>
      </c>
      <c r="L1747" s="6">
        <v>40000</v>
      </c>
      <c r="M1747" s="6">
        <v>0</v>
      </c>
      <c r="N1747" s="6">
        <v>-40000</v>
      </c>
      <c r="O1747" s="6">
        <v>40055.26</v>
      </c>
      <c r="P1747" s="7">
        <v>0</v>
      </c>
      <c r="Q1747" s="6">
        <v>0</v>
      </c>
    </row>
    <row r="1748" spans="1:17">
      <c r="A1748">
        <v>1747</v>
      </c>
      <c r="B1748" s="5">
        <v>45873</v>
      </c>
      <c r="C1748" t="s">
        <v>916</v>
      </c>
      <c r="D1748" t="s">
        <v>917</v>
      </c>
      <c r="E1748" t="s">
        <v>918</v>
      </c>
      <c r="F1748">
        <v>4</v>
      </c>
      <c r="G1748" t="s">
        <v>1070</v>
      </c>
      <c r="I1748" t="s">
        <v>17</v>
      </c>
      <c r="J1748" t="s">
        <v>64</v>
      </c>
      <c r="K1748" t="s">
        <v>34</v>
      </c>
      <c r="L1748" s="6">
        <v>6000</v>
      </c>
      <c r="M1748" s="6">
        <v>0</v>
      </c>
      <c r="N1748" s="6">
        <v>-6000</v>
      </c>
      <c r="O1748" s="6">
        <v>34055.26</v>
      </c>
      <c r="P1748" s="7">
        <v>0</v>
      </c>
      <c r="Q1748" s="6">
        <v>0</v>
      </c>
    </row>
    <row r="1749" spans="1:17">
      <c r="A1749">
        <v>1748</v>
      </c>
      <c r="B1749" s="5">
        <v>45873</v>
      </c>
      <c r="C1749" t="s">
        <v>916</v>
      </c>
      <c r="D1749" t="s">
        <v>917</v>
      </c>
      <c r="E1749" t="s">
        <v>918</v>
      </c>
      <c r="F1749">
        <v>4</v>
      </c>
      <c r="G1749" t="s">
        <v>1071</v>
      </c>
      <c r="H1749" t="s">
        <v>929</v>
      </c>
      <c r="I1749" t="s">
        <v>22</v>
      </c>
      <c r="J1749" t="s">
        <v>67</v>
      </c>
      <c r="K1749" t="s">
        <v>34</v>
      </c>
      <c r="L1749" s="6">
        <v>562.77</v>
      </c>
      <c r="M1749" s="6">
        <v>0</v>
      </c>
      <c r="N1749" s="6">
        <v>-562.77</v>
      </c>
      <c r="O1749" s="6">
        <v>33492.49</v>
      </c>
      <c r="P1749" s="7">
        <v>0</v>
      </c>
      <c r="Q1749" s="6">
        <v>0</v>
      </c>
    </row>
    <row r="1750" spans="1:17">
      <c r="A1750">
        <v>1749</v>
      </c>
      <c r="B1750" s="5">
        <v>45873</v>
      </c>
      <c r="C1750" t="s">
        <v>916</v>
      </c>
      <c r="D1750" t="s">
        <v>917</v>
      </c>
      <c r="E1750" t="s">
        <v>918</v>
      </c>
      <c r="F1750">
        <v>4</v>
      </c>
      <c r="G1750" t="s">
        <v>1072</v>
      </c>
      <c r="H1750" t="s">
        <v>66</v>
      </c>
      <c r="I1750" t="s">
        <v>22</v>
      </c>
      <c r="J1750" t="s">
        <v>67</v>
      </c>
      <c r="K1750" t="s">
        <v>34</v>
      </c>
      <c r="L1750" s="6">
        <v>2562.35</v>
      </c>
      <c r="M1750" s="6">
        <v>0</v>
      </c>
      <c r="N1750" s="6">
        <v>-2562.35</v>
      </c>
      <c r="O1750" s="6">
        <v>30930.14</v>
      </c>
      <c r="P1750" s="7">
        <v>0</v>
      </c>
      <c r="Q1750" s="6">
        <v>0</v>
      </c>
    </row>
    <row r="1751" spans="1:17">
      <c r="A1751">
        <v>1750</v>
      </c>
      <c r="B1751" s="5">
        <v>45873</v>
      </c>
      <c r="C1751" t="s">
        <v>916</v>
      </c>
      <c r="D1751" t="s">
        <v>917</v>
      </c>
      <c r="E1751" t="s">
        <v>918</v>
      </c>
      <c r="F1751">
        <v>4</v>
      </c>
      <c r="G1751" t="s">
        <v>1073</v>
      </c>
      <c r="H1751" t="s">
        <v>929</v>
      </c>
      <c r="I1751" t="s">
        <v>22</v>
      </c>
      <c r="J1751" t="s">
        <v>67</v>
      </c>
      <c r="K1751" t="s">
        <v>34</v>
      </c>
      <c r="L1751" s="6">
        <v>548.33000000000004</v>
      </c>
      <c r="M1751" s="6">
        <v>0</v>
      </c>
      <c r="N1751" s="6">
        <v>-548.33000000000004</v>
      </c>
      <c r="O1751" s="6">
        <v>30381.81</v>
      </c>
      <c r="P1751" s="7">
        <v>0</v>
      </c>
      <c r="Q1751" s="6">
        <v>0</v>
      </c>
    </row>
    <row r="1752" spans="1:17">
      <c r="A1752">
        <v>1751</v>
      </c>
      <c r="B1752" s="5">
        <v>45873</v>
      </c>
      <c r="C1752" t="s">
        <v>916</v>
      </c>
      <c r="D1752" t="s">
        <v>917</v>
      </c>
      <c r="E1752" t="s">
        <v>918</v>
      </c>
      <c r="F1752">
        <v>4</v>
      </c>
      <c r="G1752" t="s">
        <v>1074</v>
      </c>
      <c r="H1752" t="s">
        <v>66</v>
      </c>
      <c r="I1752" t="s">
        <v>22</v>
      </c>
      <c r="J1752" t="s">
        <v>67</v>
      </c>
      <c r="K1752" t="s">
        <v>34</v>
      </c>
      <c r="L1752" s="6">
        <v>500</v>
      </c>
      <c r="M1752" s="6">
        <v>0</v>
      </c>
      <c r="N1752" s="6">
        <v>-500</v>
      </c>
      <c r="O1752" s="6">
        <v>29881.81</v>
      </c>
      <c r="P1752" s="7">
        <v>0</v>
      </c>
      <c r="Q1752" s="6">
        <v>0</v>
      </c>
    </row>
    <row r="1753" spans="1:17">
      <c r="A1753">
        <v>1752</v>
      </c>
      <c r="B1753" s="5">
        <v>45873</v>
      </c>
      <c r="C1753" t="s">
        <v>916</v>
      </c>
      <c r="D1753" t="s">
        <v>917</v>
      </c>
      <c r="E1753" t="s">
        <v>918</v>
      </c>
      <c r="F1753">
        <v>4</v>
      </c>
      <c r="G1753" t="s">
        <v>1075</v>
      </c>
      <c r="H1753" t="s">
        <v>66</v>
      </c>
      <c r="I1753" t="s">
        <v>22</v>
      </c>
      <c r="J1753" t="s">
        <v>67</v>
      </c>
      <c r="K1753" t="s">
        <v>34</v>
      </c>
      <c r="L1753" s="6">
        <v>1992.54</v>
      </c>
      <c r="M1753" s="6">
        <v>0</v>
      </c>
      <c r="N1753" s="6">
        <v>-1992.54</v>
      </c>
      <c r="O1753" s="6">
        <v>27889.27</v>
      </c>
      <c r="P1753" s="7">
        <v>0</v>
      </c>
      <c r="Q1753" s="6">
        <v>0</v>
      </c>
    </row>
    <row r="1754" spans="1:17">
      <c r="A1754">
        <v>1753</v>
      </c>
      <c r="B1754" s="5">
        <v>45873</v>
      </c>
      <c r="C1754" t="s">
        <v>916</v>
      </c>
      <c r="D1754" t="s">
        <v>917</v>
      </c>
      <c r="E1754" t="s">
        <v>918</v>
      </c>
      <c r="F1754">
        <v>4</v>
      </c>
      <c r="G1754" t="s">
        <v>1076</v>
      </c>
      <c r="H1754" t="s">
        <v>929</v>
      </c>
      <c r="I1754" t="s">
        <v>22</v>
      </c>
      <c r="J1754" t="s">
        <v>67</v>
      </c>
      <c r="K1754" t="s">
        <v>34</v>
      </c>
      <c r="L1754" s="6">
        <v>90</v>
      </c>
      <c r="M1754" s="6">
        <v>0</v>
      </c>
      <c r="N1754" s="6">
        <v>-90</v>
      </c>
      <c r="O1754" s="6">
        <v>27799.27</v>
      </c>
      <c r="P1754" s="7">
        <v>0</v>
      </c>
      <c r="Q1754" s="6">
        <v>0</v>
      </c>
    </row>
    <row r="1755" spans="1:17">
      <c r="A1755">
        <v>1754</v>
      </c>
      <c r="B1755" s="5">
        <v>45873</v>
      </c>
      <c r="C1755" t="s">
        <v>916</v>
      </c>
      <c r="D1755" t="s">
        <v>917</v>
      </c>
      <c r="E1755" t="s">
        <v>918</v>
      </c>
      <c r="F1755">
        <v>4</v>
      </c>
      <c r="G1755" t="s">
        <v>1077</v>
      </c>
      <c r="H1755" t="s">
        <v>929</v>
      </c>
      <c r="I1755" t="s">
        <v>22</v>
      </c>
      <c r="J1755" t="s">
        <v>67</v>
      </c>
      <c r="K1755" t="s">
        <v>34</v>
      </c>
      <c r="L1755" s="6">
        <v>449.58</v>
      </c>
      <c r="M1755" s="6">
        <v>0</v>
      </c>
      <c r="N1755" s="6">
        <v>-449.58</v>
      </c>
      <c r="O1755" s="6">
        <v>27349.69</v>
      </c>
      <c r="P1755" s="7">
        <v>0</v>
      </c>
      <c r="Q1755" s="6">
        <v>0</v>
      </c>
    </row>
    <row r="1756" spans="1:17">
      <c r="A1756">
        <v>1755</v>
      </c>
      <c r="B1756" s="5">
        <v>45873</v>
      </c>
      <c r="C1756" t="s">
        <v>916</v>
      </c>
      <c r="D1756" t="s">
        <v>917</v>
      </c>
      <c r="E1756" t="s">
        <v>918</v>
      </c>
      <c r="F1756">
        <v>4</v>
      </c>
      <c r="G1756" t="s">
        <v>1078</v>
      </c>
      <c r="H1756" t="s">
        <v>66</v>
      </c>
      <c r="I1756" t="s">
        <v>22</v>
      </c>
      <c r="J1756" t="s">
        <v>67</v>
      </c>
      <c r="K1756" t="s">
        <v>34</v>
      </c>
      <c r="L1756" s="6">
        <v>200</v>
      </c>
      <c r="M1756" s="6">
        <v>0</v>
      </c>
      <c r="N1756" s="6">
        <v>-200</v>
      </c>
      <c r="O1756" s="6">
        <v>27149.69</v>
      </c>
      <c r="P1756" s="7">
        <v>0</v>
      </c>
      <c r="Q1756" s="6">
        <v>0</v>
      </c>
    </row>
    <row r="1757" spans="1:17">
      <c r="A1757">
        <v>1756</v>
      </c>
      <c r="B1757" s="5">
        <v>45873</v>
      </c>
      <c r="C1757" t="s">
        <v>916</v>
      </c>
      <c r="D1757" t="s">
        <v>917</v>
      </c>
      <c r="E1757" t="s">
        <v>918</v>
      </c>
      <c r="F1757">
        <v>4</v>
      </c>
      <c r="G1757" t="s">
        <v>1079</v>
      </c>
      <c r="H1757" t="s">
        <v>929</v>
      </c>
      <c r="I1757" t="s">
        <v>22</v>
      </c>
      <c r="J1757" t="s">
        <v>67</v>
      </c>
      <c r="K1757" t="s">
        <v>34</v>
      </c>
      <c r="L1757" s="6">
        <v>635.61</v>
      </c>
      <c r="M1757" s="6">
        <v>0</v>
      </c>
      <c r="N1757" s="6">
        <v>-635.61</v>
      </c>
      <c r="O1757" s="6">
        <v>26514.080000000002</v>
      </c>
      <c r="P1757" s="7">
        <v>0</v>
      </c>
      <c r="Q1757" s="6">
        <v>0</v>
      </c>
    </row>
    <row r="1758" spans="1:17">
      <c r="A1758">
        <v>1757</v>
      </c>
      <c r="B1758" s="5">
        <v>45873</v>
      </c>
      <c r="C1758" t="s">
        <v>916</v>
      </c>
      <c r="D1758" t="s">
        <v>917</v>
      </c>
      <c r="E1758" t="s">
        <v>918</v>
      </c>
      <c r="F1758">
        <v>4</v>
      </c>
      <c r="G1758" t="s">
        <v>1080</v>
      </c>
      <c r="H1758" t="s">
        <v>66</v>
      </c>
      <c r="I1758" t="s">
        <v>22</v>
      </c>
      <c r="J1758" t="s">
        <v>67</v>
      </c>
      <c r="K1758" t="s">
        <v>34</v>
      </c>
      <c r="L1758" s="6">
        <v>101.02</v>
      </c>
      <c r="M1758" s="6">
        <v>0</v>
      </c>
      <c r="N1758" s="6">
        <v>-101.02</v>
      </c>
      <c r="O1758" s="6">
        <v>26413.06</v>
      </c>
      <c r="P1758" s="7">
        <v>0</v>
      </c>
      <c r="Q1758" s="6">
        <v>0</v>
      </c>
    </row>
    <row r="1759" spans="1:17">
      <c r="A1759">
        <v>1758</v>
      </c>
      <c r="B1759" s="5">
        <v>45873</v>
      </c>
      <c r="C1759" t="s">
        <v>916</v>
      </c>
      <c r="D1759" t="s">
        <v>917</v>
      </c>
      <c r="E1759" t="s">
        <v>918</v>
      </c>
      <c r="F1759">
        <v>4</v>
      </c>
      <c r="G1759" t="s">
        <v>1081</v>
      </c>
      <c r="H1759" t="s">
        <v>66</v>
      </c>
      <c r="I1759" t="s">
        <v>22</v>
      </c>
      <c r="J1759" t="s">
        <v>67</v>
      </c>
      <c r="K1759" t="s">
        <v>34</v>
      </c>
      <c r="L1759" s="6">
        <v>1000</v>
      </c>
      <c r="M1759" s="6">
        <v>0</v>
      </c>
      <c r="N1759" s="6">
        <v>-1000</v>
      </c>
      <c r="O1759" s="6">
        <v>25413.06</v>
      </c>
      <c r="P1759" s="7">
        <v>0</v>
      </c>
      <c r="Q1759" s="6">
        <v>0</v>
      </c>
    </row>
    <row r="1760" spans="1:17">
      <c r="A1760">
        <v>1759</v>
      </c>
      <c r="B1760" s="5">
        <v>45873</v>
      </c>
      <c r="C1760" t="s">
        <v>916</v>
      </c>
      <c r="D1760" t="s">
        <v>917</v>
      </c>
      <c r="E1760" t="s">
        <v>918</v>
      </c>
      <c r="F1760">
        <v>4</v>
      </c>
      <c r="G1760" t="s">
        <v>1082</v>
      </c>
      <c r="H1760" t="s">
        <v>929</v>
      </c>
      <c r="I1760" t="s">
        <v>22</v>
      </c>
      <c r="J1760" t="s">
        <v>67</v>
      </c>
      <c r="K1760" t="s">
        <v>34</v>
      </c>
      <c r="L1760" s="6">
        <v>100</v>
      </c>
      <c r="M1760" s="6">
        <v>0</v>
      </c>
      <c r="N1760" s="6">
        <v>-100</v>
      </c>
      <c r="O1760" s="6">
        <v>25313.06</v>
      </c>
      <c r="P1760" s="7">
        <v>0</v>
      </c>
      <c r="Q1760" s="6">
        <v>0</v>
      </c>
    </row>
    <row r="1761" spans="1:17">
      <c r="A1761">
        <v>1760</v>
      </c>
      <c r="B1761" s="5">
        <v>45873</v>
      </c>
      <c r="C1761" t="s">
        <v>916</v>
      </c>
      <c r="D1761" t="s">
        <v>917</v>
      </c>
      <c r="E1761" t="s">
        <v>918</v>
      </c>
      <c r="F1761">
        <v>4</v>
      </c>
      <c r="G1761" t="s">
        <v>1083</v>
      </c>
      <c r="H1761" t="s">
        <v>929</v>
      </c>
      <c r="I1761" t="s">
        <v>22</v>
      </c>
      <c r="J1761" t="s">
        <v>67</v>
      </c>
      <c r="K1761" t="s">
        <v>34</v>
      </c>
      <c r="L1761" s="6">
        <v>207</v>
      </c>
      <c r="M1761" s="6">
        <v>0</v>
      </c>
      <c r="N1761" s="6">
        <v>-207</v>
      </c>
      <c r="O1761" s="6">
        <v>25106.06</v>
      </c>
      <c r="P1761" s="7">
        <v>0</v>
      </c>
      <c r="Q1761" s="6">
        <v>0</v>
      </c>
    </row>
    <row r="1762" spans="1:17">
      <c r="A1762">
        <v>1761</v>
      </c>
      <c r="B1762" s="5">
        <v>45873</v>
      </c>
      <c r="C1762" t="s">
        <v>916</v>
      </c>
      <c r="D1762" t="s">
        <v>917</v>
      </c>
      <c r="E1762" t="s">
        <v>918</v>
      </c>
      <c r="F1762">
        <v>4</v>
      </c>
      <c r="G1762" t="s">
        <v>1084</v>
      </c>
      <c r="H1762" t="s">
        <v>66</v>
      </c>
      <c r="I1762" t="s">
        <v>22</v>
      </c>
      <c r="J1762" t="s">
        <v>67</v>
      </c>
      <c r="K1762" t="s">
        <v>34</v>
      </c>
      <c r="L1762" s="6">
        <v>223.53</v>
      </c>
      <c r="M1762" s="6">
        <v>0</v>
      </c>
      <c r="N1762" s="6">
        <v>-223.53</v>
      </c>
      <c r="O1762" s="6">
        <v>24882.53</v>
      </c>
      <c r="P1762" s="7">
        <v>0</v>
      </c>
      <c r="Q1762" s="6">
        <v>0</v>
      </c>
    </row>
    <row r="1763" spans="1:17">
      <c r="A1763">
        <v>1762</v>
      </c>
      <c r="B1763" s="5">
        <v>45873</v>
      </c>
      <c r="C1763" t="s">
        <v>916</v>
      </c>
      <c r="D1763" t="s">
        <v>917</v>
      </c>
      <c r="E1763" t="s">
        <v>918</v>
      </c>
      <c r="F1763">
        <v>4</v>
      </c>
      <c r="G1763" t="s">
        <v>1085</v>
      </c>
      <c r="H1763" t="s">
        <v>929</v>
      </c>
      <c r="I1763" t="s">
        <v>22</v>
      </c>
      <c r="J1763" t="s">
        <v>67</v>
      </c>
      <c r="K1763" t="s">
        <v>34</v>
      </c>
      <c r="L1763" s="6">
        <v>100</v>
      </c>
      <c r="M1763" s="6">
        <v>0</v>
      </c>
      <c r="N1763" s="6">
        <v>-100</v>
      </c>
      <c r="O1763" s="6">
        <v>24782.53</v>
      </c>
      <c r="P1763" s="7">
        <v>0</v>
      </c>
      <c r="Q1763" s="6">
        <v>0</v>
      </c>
    </row>
    <row r="1764" spans="1:17">
      <c r="A1764">
        <v>1763</v>
      </c>
      <c r="B1764" s="5">
        <v>45873</v>
      </c>
      <c r="C1764" t="s">
        <v>916</v>
      </c>
      <c r="D1764" t="s">
        <v>917</v>
      </c>
      <c r="E1764" t="s">
        <v>918</v>
      </c>
      <c r="F1764">
        <v>4</v>
      </c>
      <c r="G1764" t="s">
        <v>1086</v>
      </c>
      <c r="H1764" t="s">
        <v>66</v>
      </c>
      <c r="I1764" t="s">
        <v>22</v>
      </c>
      <c r="J1764" t="s">
        <v>67</v>
      </c>
      <c r="K1764" t="s">
        <v>34</v>
      </c>
      <c r="L1764" s="6">
        <v>1500</v>
      </c>
      <c r="M1764" s="6">
        <v>0</v>
      </c>
      <c r="N1764" s="6">
        <v>-1500</v>
      </c>
      <c r="O1764" s="6">
        <v>23282.53</v>
      </c>
      <c r="P1764" s="7">
        <v>0</v>
      </c>
      <c r="Q1764" s="6">
        <v>0</v>
      </c>
    </row>
    <row r="1765" spans="1:17">
      <c r="A1765">
        <v>1764</v>
      </c>
      <c r="B1765" s="5">
        <v>45873</v>
      </c>
      <c r="C1765" t="s">
        <v>916</v>
      </c>
      <c r="D1765" t="s">
        <v>917</v>
      </c>
      <c r="E1765" t="s">
        <v>918</v>
      </c>
      <c r="F1765">
        <v>4</v>
      </c>
      <c r="G1765" t="s">
        <v>1087</v>
      </c>
      <c r="H1765" t="s">
        <v>1088</v>
      </c>
      <c r="I1765" t="s">
        <v>16</v>
      </c>
      <c r="J1765" t="s">
        <v>52</v>
      </c>
      <c r="K1765" t="s">
        <v>35</v>
      </c>
      <c r="L1765" s="6">
        <v>0</v>
      </c>
      <c r="M1765" s="6">
        <v>888</v>
      </c>
      <c r="N1765" s="6">
        <v>888</v>
      </c>
      <c r="O1765" s="6">
        <v>24170.53</v>
      </c>
      <c r="P1765" s="7">
        <v>0</v>
      </c>
      <c r="Q1765" s="6">
        <v>0</v>
      </c>
    </row>
    <row r="1766" spans="1:17">
      <c r="A1766">
        <v>1765</v>
      </c>
      <c r="B1766" s="5">
        <v>45873</v>
      </c>
      <c r="C1766" t="s">
        <v>916</v>
      </c>
      <c r="D1766" t="s">
        <v>917</v>
      </c>
      <c r="E1766" t="s">
        <v>918</v>
      </c>
      <c r="F1766">
        <v>4</v>
      </c>
      <c r="G1766" t="s">
        <v>1089</v>
      </c>
      <c r="H1766" t="s">
        <v>1090</v>
      </c>
      <c r="I1766" t="s">
        <v>16</v>
      </c>
      <c r="J1766" t="s">
        <v>52</v>
      </c>
      <c r="K1766" t="s">
        <v>35</v>
      </c>
      <c r="L1766" s="6">
        <v>0</v>
      </c>
      <c r="M1766" s="6">
        <v>600</v>
      </c>
      <c r="N1766" s="6">
        <v>600</v>
      </c>
      <c r="O1766" s="6">
        <v>24770.53</v>
      </c>
      <c r="P1766" s="7">
        <v>0</v>
      </c>
      <c r="Q1766" s="6">
        <v>0</v>
      </c>
    </row>
    <row r="1767" spans="1:17">
      <c r="A1767">
        <v>1766</v>
      </c>
      <c r="B1767" s="5">
        <v>45873</v>
      </c>
      <c r="C1767" t="s">
        <v>916</v>
      </c>
      <c r="D1767" t="s">
        <v>917</v>
      </c>
      <c r="E1767" t="s">
        <v>918</v>
      </c>
      <c r="F1767">
        <v>4</v>
      </c>
      <c r="G1767" t="s">
        <v>1091</v>
      </c>
      <c r="H1767" t="s">
        <v>929</v>
      </c>
      <c r="I1767" t="s">
        <v>22</v>
      </c>
      <c r="J1767" t="s">
        <v>67</v>
      </c>
      <c r="K1767" t="s">
        <v>34</v>
      </c>
      <c r="L1767" s="6">
        <v>7552</v>
      </c>
      <c r="M1767" s="6">
        <v>0</v>
      </c>
      <c r="N1767" s="6">
        <v>-7552</v>
      </c>
      <c r="O1767" s="6">
        <v>17218.53</v>
      </c>
      <c r="P1767" s="7">
        <v>0</v>
      </c>
      <c r="Q1767" s="6">
        <v>0</v>
      </c>
    </row>
    <row r="1768" spans="1:17">
      <c r="A1768">
        <v>1767</v>
      </c>
      <c r="B1768" s="5">
        <v>45873</v>
      </c>
      <c r="C1768" t="s">
        <v>916</v>
      </c>
      <c r="D1768" t="s">
        <v>917</v>
      </c>
      <c r="E1768" t="s">
        <v>918</v>
      </c>
      <c r="F1768">
        <v>4</v>
      </c>
      <c r="G1768" t="s">
        <v>1092</v>
      </c>
      <c r="H1768" t="s">
        <v>66</v>
      </c>
      <c r="I1768" t="s">
        <v>22</v>
      </c>
      <c r="J1768" t="s">
        <v>67</v>
      </c>
      <c r="K1768" t="s">
        <v>34</v>
      </c>
      <c r="L1768" s="6">
        <v>6.58</v>
      </c>
      <c r="M1768" s="6">
        <v>0</v>
      </c>
      <c r="N1768" s="6">
        <v>-6.58</v>
      </c>
      <c r="O1768" s="6">
        <v>17211.95</v>
      </c>
      <c r="P1768" s="7">
        <v>0</v>
      </c>
      <c r="Q1768" s="6">
        <v>0</v>
      </c>
    </row>
    <row r="1769" spans="1:17">
      <c r="A1769">
        <v>1768</v>
      </c>
      <c r="B1769" s="5">
        <v>45873</v>
      </c>
      <c r="C1769" t="s">
        <v>916</v>
      </c>
      <c r="D1769" t="s">
        <v>917</v>
      </c>
      <c r="E1769" t="s">
        <v>918</v>
      </c>
      <c r="F1769">
        <v>4</v>
      </c>
      <c r="G1769" t="s">
        <v>1093</v>
      </c>
      <c r="H1769" t="s">
        <v>929</v>
      </c>
      <c r="I1769" t="s">
        <v>22</v>
      </c>
      <c r="J1769" t="s">
        <v>67</v>
      </c>
      <c r="K1769" t="s">
        <v>34</v>
      </c>
      <c r="L1769" s="6">
        <v>180</v>
      </c>
      <c r="M1769" s="6">
        <v>0</v>
      </c>
      <c r="N1769" s="6">
        <v>-180</v>
      </c>
      <c r="O1769" s="6">
        <v>17031.95</v>
      </c>
      <c r="P1769" s="7">
        <v>0</v>
      </c>
      <c r="Q1769" s="6">
        <v>0</v>
      </c>
    </row>
    <row r="1770" spans="1:17">
      <c r="A1770">
        <v>1769</v>
      </c>
      <c r="B1770" s="5">
        <v>45873</v>
      </c>
      <c r="C1770" t="s">
        <v>916</v>
      </c>
      <c r="D1770" t="s">
        <v>917</v>
      </c>
      <c r="E1770" t="s">
        <v>918</v>
      </c>
      <c r="F1770">
        <v>4</v>
      </c>
      <c r="G1770" t="s">
        <v>1094</v>
      </c>
      <c r="H1770" t="s">
        <v>929</v>
      </c>
      <c r="I1770" t="s">
        <v>22</v>
      </c>
      <c r="J1770" t="s">
        <v>67</v>
      </c>
      <c r="K1770" t="s">
        <v>34</v>
      </c>
      <c r="L1770" s="6">
        <v>200</v>
      </c>
      <c r="M1770" s="6">
        <v>0</v>
      </c>
      <c r="N1770" s="6">
        <v>-200</v>
      </c>
      <c r="O1770" s="6">
        <v>16831.95</v>
      </c>
      <c r="P1770" s="7">
        <v>0</v>
      </c>
      <c r="Q1770" s="6">
        <v>0</v>
      </c>
    </row>
    <row r="1771" spans="1:17">
      <c r="A1771">
        <v>1770</v>
      </c>
      <c r="B1771" s="5">
        <v>45873</v>
      </c>
      <c r="C1771" t="s">
        <v>916</v>
      </c>
      <c r="D1771" t="s">
        <v>917</v>
      </c>
      <c r="E1771" t="s">
        <v>918</v>
      </c>
      <c r="F1771">
        <v>4</v>
      </c>
      <c r="G1771" t="s">
        <v>1095</v>
      </c>
      <c r="H1771" t="s">
        <v>1096</v>
      </c>
      <c r="I1771" t="s">
        <v>16</v>
      </c>
      <c r="J1771" t="s">
        <v>52</v>
      </c>
      <c r="K1771" t="s">
        <v>35</v>
      </c>
      <c r="L1771" s="6">
        <v>0</v>
      </c>
      <c r="M1771" s="6">
        <v>100</v>
      </c>
      <c r="N1771" s="6">
        <v>100</v>
      </c>
      <c r="O1771" s="6">
        <v>16931.95</v>
      </c>
      <c r="P1771" s="7">
        <v>0</v>
      </c>
      <c r="Q1771" s="6">
        <v>0</v>
      </c>
    </row>
    <row r="1772" spans="1:17">
      <c r="A1772">
        <v>1771</v>
      </c>
      <c r="B1772" s="5">
        <v>45873</v>
      </c>
      <c r="C1772" t="s">
        <v>916</v>
      </c>
      <c r="D1772" t="s">
        <v>917</v>
      </c>
      <c r="E1772" t="s">
        <v>918</v>
      </c>
      <c r="F1772">
        <v>4</v>
      </c>
      <c r="G1772" t="s">
        <v>1006</v>
      </c>
      <c r="H1772" t="s">
        <v>1007</v>
      </c>
      <c r="I1772" t="s">
        <v>16</v>
      </c>
      <c r="J1772" t="s">
        <v>52</v>
      </c>
      <c r="K1772" t="s">
        <v>35</v>
      </c>
      <c r="L1772" s="6">
        <v>0</v>
      </c>
      <c r="M1772" s="6">
        <v>150</v>
      </c>
      <c r="N1772" s="6">
        <v>150</v>
      </c>
      <c r="O1772" s="6">
        <v>17081.95</v>
      </c>
      <c r="P1772" s="7">
        <v>0</v>
      </c>
      <c r="Q1772" s="6">
        <v>0</v>
      </c>
    </row>
    <row r="1773" spans="1:17">
      <c r="A1773">
        <v>1772</v>
      </c>
      <c r="B1773" s="5">
        <v>45873</v>
      </c>
      <c r="C1773" t="s">
        <v>916</v>
      </c>
      <c r="D1773" t="s">
        <v>917</v>
      </c>
      <c r="E1773" t="s">
        <v>918</v>
      </c>
      <c r="F1773">
        <v>4</v>
      </c>
      <c r="G1773" t="s">
        <v>1097</v>
      </c>
      <c r="H1773" t="s">
        <v>1098</v>
      </c>
      <c r="I1773" t="s">
        <v>16</v>
      </c>
      <c r="J1773" t="s">
        <v>52</v>
      </c>
      <c r="K1773" t="s">
        <v>35</v>
      </c>
      <c r="L1773" s="6">
        <v>0</v>
      </c>
      <c r="M1773" s="6">
        <v>150</v>
      </c>
      <c r="N1773" s="6">
        <v>150</v>
      </c>
      <c r="O1773" s="6">
        <v>17231.95</v>
      </c>
      <c r="P1773" s="7">
        <v>0</v>
      </c>
      <c r="Q1773" s="6">
        <v>0</v>
      </c>
    </row>
    <row r="1774" spans="1:17">
      <c r="A1774">
        <v>1773</v>
      </c>
      <c r="B1774" s="5">
        <v>45873</v>
      </c>
      <c r="C1774" t="s">
        <v>916</v>
      </c>
      <c r="D1774" t="s">
        <v>917</v>
      </c>
      <c r="E1774" t="s">
        <v>918</v>
      </c>
      <c r="F1774">
        <v>4</v>
      </c>
      <c r="G1774" t="s">
        <v>1099</v>
      </c>
      <c r="H1774" t="s">
        <v>1100</v>
      </c>
      <c r="I1774" t="s">
        <v>16</v>
      </c>
      <c r="J1774" t="s">
        <v>52</v>
      </c>
      <c r="K1774" t="s">
        <v>35</v>
      </c>
      <c r="L1774" s="6">
        <v>0</v>
      </c>
      <c r="M1774" s="6">
        <v>500</v>
      </c>
      <c r="N1774" s="6">
        <v>500</v>
      </c>
      <c r="O1774" s="6">
        <v>17731.95</v>
      </c>
      <c r="P1774" s="7">
        <v>0</v>
      </c>
      <c r="Q1774" s="6">
        <v>0</v>
      </c>
    </row>
    <row r="1775" spans="1:17">
      <c r="A1775">
        <v>1774</v>
      </c>
      <c r="B1775" s="5">
        <v>45873</v>
      </c>
      <c r="C1775" t="s">
        <v>916</v>
      </c>
      <c r="D1775" t="s">
        <v>917</v>
      </c>
      <c r="E1775" t="s">
        <v>918</v>
      </c>
      <c r="F1775">
        <v>4</v>
      </c>
      <c r="G1775" t="s">
        <v>1022</v>
      </c>
      <c r="H1775" t="s">
        <v>1023</v>
      </c>
      <c r="I1775" t="s">
        <v>16</v>
      </c>
      <c r="J1775" t="s">
        <v>52</v>
      </c>
      <c r="K1775" t="s">
        <v>35</v>
      </c>
      <c r="L1775" s="6">
        <v>0</v>
      </c>
      <c r="M1775" s="6">
        <v>600</v>
      </c>
      <c r="N1775" s="6">
        <v>600</v>
      </c>
      <c r="O1775" s="6">
        <v>18331.95</v>
      </c>
      <c r="P1775" s="7">
        <v>0</v>
      </c>
      <c r="Q1775" s="6">
        <v>0</v>
      </c>
    </row>
    <row r="1776" spans="1:17">
      <c r="A1776">
        <v>1775</v>
      </c>
      <c r="B1776" s="5">
        <v>45873</v>
      </c>
      <c r="C1776" t="s">
        <v>916</v>
      </c>
      <c r="D1776" t="s">
        <v>917</v>
      </c>
      <c r="E1776" t="s">
        <v>918</v>
      </c>
      <c r="F1776">
        <v>4</v>
      </c>
      <c r="G1776" t="s">
        <v>1014</v>
      </c>
      <c r="H1776" t="s">
        <v>1015</v>
      </c>
      <c r="I1776" t="s">
        <v>16</v>
      </c>
      <c r="J1776" t="s">
        <v>52</v>
      </c>
      <c r="K1776" t="s">
        <v>35</v>
      </c>
      <c r="L1776" s="6">
        <v>0</v>
      </c>
      <c r="M1776" s="6">
        <v>706</v>
      </c>
      <c r="N1776" s="6">
        <v>706</v>
      </c>
      <c r="O1776" s="6">
        <v>19037.95</v>
      </c>
      <c r="P1776" s="7">
        <v>0</v>
      </c>
      <c r="Q1776" s="6">
        <v>0</v>
      </c>
    </row>
    <row r="1777" spans="1:17">
      <c r="A1777">
        <v>1776</v>
      </c>
      <c r="B1777" s="5">
        <v>45873</v>
      </c>
      <c r="C1777" t="s">
        <v>916</v>
      </c>
      <c r="D1777" t="s">
        <v>917</v>
      </c>
      <c r="E1777" t="s">
        <v>918</v>
      </c>
      <c r="F1777">
        <v>4</v>
      </c>
      <c r="G1777" t="s">
        <v>1101</v>
      </c>
      <c r="H1777" t="s">
        <v>1102</v>
      </c>
      <c r="I1777" t="s">
        <v>16</v>
      </c>
      <c r="J1777" t="s">
        <v>52</v>
      </c>
      <c r="K1777" t="s">
        <v>35</v>
      </c>
      <c r="L1777" s="6">
        <v>0</v>
      </c>
      <c r="M1777" s="6">
        <v>1000</v>
      </c>
      <c r="N1777" s="6">
        <v>1000</v>
      </c>
      <c r="O1777" s="6">
        <v>20037.95</v>
      </c>
      <c r="P1777" s="7">
        <v>0</v>
      </c>
      <c r="Q1777" s="6">
        <v>0</v>
      </c>
    </row>
    <row r="1778" spans="1:17">
      <c r="A1778">
        <v>1777</v>
      </c>
      <c r="B1778" s="5">
        <v>45873</v>
      </c>
      <c r="C1778" t="s">
        <v>916</v>
      </c>
      <c r="D1778" t="s">
        <v>917</v>
      </c>
      <c r="E1778" t="s">
        <v>918</v>
      </c>
      <c r="F1778">
        <v>4</v>
      </c>
      <c r="G1778" t="s">
        <v>1018</v>
      </c>
      <c r="H1778" t="s">
        <v>1019</v>
      </c>
      <c r="I1778" t="s">
        <v>16</v>
      </c>
      <c r="J1778" t="s">
        <v>52</v>
      </c>
      <c r="K1778" t="s">
        <v>35</v>
      </c>
      <c r="L1778" s="6">
        <v>0</v>
      </c>
      <c r="M1778" s="6">
        <v>1000</v>
      </c>
      <c r="N1778" s="6">
        <v>1000</v>
      </c>
      <c r="O1778" s="6">
        <v>21037.95</v>
      </c>
      <c r="P1778" s="7">
        <v>0</v>
      </c>
      <c r="Q1778" s="6">
        <v>0</v>
      </c>
    </row>
    <row r="1779" spans="1:17">
      <c r="A1779">
        <v>1778</v>
      </c>
      <c r="B1779" s="5">
        <v>45873</v>
      </c>
      <c r="C1779" t="s">
        <v>916</v>
      </c>
      <c r="D1779" t="s">
        <v>917</v>
      </c>
      <c r="E1779" t="s">
        <v>918</v>
      </c>
      <c r="F1779">
        <v>4</v>
      </c>
      <c r="G1779" t="s">
        <v>1103</v>
      </c>
      <c r="H1779" t="s">
        <v>1104</v>
      </c>
      <c r="I1779" t="s">
        <v>16</v>
      </c>
      <c r="J1779" t="s">
        <v>52</v>
      </c>
      <c r="K1779" t="s">
        <v>35</v>
      </c>
      <c r="L1779" s="6">
        <v>0</v>
      </c>
      <c r="M1779" s="6">
        <v>1000</v>
      </c>
      <c r="N1779" s="6">
        <v>1000</v>
      </c>
      <c r="O1779" s="6">
        <v>22037.95</v>
      </c>
      <c r="P1779" s="7">
        <v>0</v>
      </c>
      <c r="Q1779" s="6">
        <v>0</v>
      </c>
    </row>
    <row r="1780" spans="1:17">
      <c r="A1780">
        <v>1779</v>
      </c>
      <c r="B1780" s="5">
        <v>45873</v>
      </c>
      <c r="C1780" t="s">
        <v>916</v>
      </c>
      <c r="D1780" t="s">
        <v>917</v>
      </c>
      <c r="E1780" t="s">
        <v>918</v>
      </c>
      <c r="F1780">
        <v>4</v>
      </c>
      <c r="G1780" t="s">
        <v>1105</v>
      </c>
      <c r="I1780" t="s">
        <v>16</v>
      </c>
      <c r="J1780" t="s">
        <v>52</v>
      </c>
      <c r="K1780" t="s">
        <v>35</v>
      </c>
      <c r="L1780" s="6">
        <v>0</v>
      </c>
      <c r="M1780" s="6">
        <v>19027</v>
      </c>
      <c r="N1780" s="6">
        <v>19027</v>
      </c>
      <c r="O1780" s="6">
        <v>41064.949999999997</v>
      </c>
      <c r="P1780" s="7">
        <v>0</v>
      </c>
      <c r="Q1780" s="6">
        <v>0</v>
      </c>
    </row>
    <row r="1781" spans="1:17">
      <c r="A1781">
        <v>1780</v>
      </c>
      <c r="B1781" s="5">
        <v>45873</v>
      </c>
      <c r="C1781" t="s">
        <v>916</v>
      </c>
      <c r="D1781" t="s">
        <v>917</v>
      </c>
      <c r="E1781" t="s">
        <v>918</v>
      </c>
      <c r="F1781">
        <v>4</v>
      </c>
      <c r="G1781" t="s">
        <v>1106</v>
      </c>
      <c r="I1781" t="s">
        <v>16</v>
      </c>
      <c r="J1781" t="s">
        <v>52</v>
      </c>
      <c r="K1781" t="s">
        <v>35</v>
      </c>
      <c r="L1781" s="6">
        <v>0</v>
      </c>
      <c r="M1781" s="6">
        <v>23394</v>
      </c>
      <c r="N1781" s="6">
        <v>23394</v>
      </c>
      <c r="O1781" s="6">
        <v>64458.95</v>
      </c>
      <c r="P1781" s="7">
        <v>0</v>
      </c>
      <c r="Q1781" s="6">
        <v>0</v>
      </c>
    </row>
    <row r="1782" spans="1:17">
      <c r="A1782">
        <v>1781</v>
      </c>
      <c r="B1782" s="5">
        <v>45873</v>
      </c>
      <c r="C1782" t="s">
        <v>916</v>
      </c>
      <c r="D1782" t="s">
        <v>917</v>
      </c>
      <c r="E1782" t="s">
        <v>918</v>
      </c>
      <c r="F1782">
        <v>4</v>
      </c>
      <c r="G1782" t="s">
        <v>1107</v>
      </c>
      <c r="I1782" t="s">
        <v>16</v>
      </c>
      <c r="J1782" t="s">
        <v>52</v>
      </c>
      <c r="K1782" t="s">
        <v>35</v>
      </c>
      <c r="L1782" s="6">
        <v>0</v>
      </c>
      <c r="M1782" s="6">
        <v>26105</v>
      </c>
      <c r="N1782" s="6">
        <v>26105</v>
      </c>
      <c r="O1782" s="6">
        <v>90563.95</v>
      </c>
      <c r="P1782" s="7">
        <v>0</v>
      </c>
      <c r="Q1782" s="6">
        <v>0</v>
      </c>
    </row>
    <row r="1783" spans="1:17">
      <c r="A1783">
        <v>1782</v>
      </c>
      <c r="B1783" s="5">
        <v>45874</v>
      </c>
      <c r="C1783" t="s">
        <v>916</v>
      </c>
      <c r="D1783" t="s">
        <v>917</v>
      </c>
      <c r="E1783" t="s">
        <v>918</v>
      </c>
      <c r="F1783">
        <v>4</v>
      </c>
      <c r="G1783" t="s">
        <v>1108</v>
      </c>
      <c r="I1783" t="s">
        <v>17</v>
      </c>
      <c r="J1783" t="s">
        <v>64</v>
      </c>
      <c r="K1783" t="s">
        <v>34</v>
      </c>
      <c r="L1783" s="6">
        <v>50000</v>
      </c>
      <c r="M1783" s="6">
        <v>0</v>
      </c>
      <c r="N1783" s="6">
        <v>-50000</v>
      </c>
      <c r="O1783" s="6">
        <v>40563.949999999997</v>
      </c>
      <c r="P1783" s="7">
        <v>0</v>
      </c>
      <c r="Q1783" s="6">
        <v>0</v>
      </c>
    </row>
    <row r="1784" spans="1:17">
      <c r="A1784">
        <v>1783</v>
      </c>
      <c r="B1784" s="5">
        <v>45874</v>
      </c>
      <c r="C1784" t="s">
        <v>916</v>
      </c>
      <c r="D1784" t="s">
        <v>917</v>
      </c>
      <c r="E1784" t="s">
        <v>918</v>
      </c>
      <c r="F1784">
        <v>4</v>
      </c>
      <c r="G1784" t="s">
        <v>1109</v>
      </c>
      <c r="H1784" t="s">
        <v>929</v>
      </c>
      <c r="I1784" t="s">
        <v>22</v>
      </c>
      <c r="J1784" t="s">
        <v>67</v>
      </c>
      <c r="K1784" t="s">
        <v>34</v>
      </c>
      <c r="L1784" s="6">
        <v>2728</v>
      </c>
      <c r="M1784" s="6">
        <v>0</v>
      </c>
      <c r="N1784" s="6">
        <v>-2728</v>
      </c>
      <c r="O1784" s="6">
        <v>37835.949999999997</v>
      </c>
      <c r="P1784" s="7">
        <v>0</v>
      </c>
      <c r="Q1784" s="6">
        <v>0</v>
      </c>
    </row>
    <row r="1785" spans="1:17">
      <c r="A1785">
        <v>1784</v>
      </c>
      <c r="B1785" s="5">
        <v>45874</v>
      </c>
      <c r="C1785" t="s">
        <v>916</v>
      </c>
      <c r="D1785" t="s">
        <v>917</v>
      </c>
      <c r="E1785" t="s">
        <v>918</v>
      </c>
      <c r="F1785">
        <v>4</v>
      </c>
      <c r="G1785" t="s">
        <v>1110</v>
      </c>
      <c r="H1785" t="s">
        <v>929</v>
      </c>
      <c r="I1785" t="s">
        <v>22</v>
      </c>
      <c r="J1785" t="s">
        <v>67</v>
      </c>
      <c r="K1785" t="s">
        <v>34</v>
      </c>
      <c r="L1785" s="6">
        <v>932.61</v>
      </c>
      <c r="M1785" s="6">
        <v>0</v>
      </c>
      <c r="N1785" s="6">
        <v>-932.61</v>
      </c>
      <c r="O1785" s="6">
        <v>36903.339999999997</v>
      </c>
      <c r="P1785" s="7">
        <v>0</v>
      </c>
      <c r="Q1785" s="6">
        <v>0</v>
      </c>
    </row>
    <row r="1786" spans="1:17">
      <c r="A1786">
        <v>1785</v>
      </c>
      <c r="B1786" s="5">
        <v>45874</v>
      </c>
      <c r="C1786" t="s">
        <v>916</v>
      </c>
      <c r="D1786" t="s">
        <v>917</v>
      </c>
      <c r="E1786" t="s">
        <v>918</v>
      </c>
      <c r="F1786">
        <v>4</v>
      </c>
      <c r="G1786" t="s">
        <v>1111</v>
      </c>
      <c r="H1786" t="s">
        <v>929</v>
      </c>
      <c r="I1786" t="s">
        <v>22</v>
      </c>
      <c r="J1786" t="s">
        <v>67</v>
      </c>
      <c r="K1786" t="s">
        <v>34</v>
      </c>
      <c r="L1786" s="6">
        <v>1095</v>
      </c>
      <c r="M1786" s="6">
        <v>0</v>
      </c>
      <c r="N1786" s="6">
        <v>-1095</v>
      </c>
      <c r="O1786" s="6">
        <v>35808.339999999997</v>
      </c>
      <c r="P1786" s="7">
        <v>0</v>
      </c>
      <c r="Q1786" s="6">
        <v>0</v>
      </c>
    </row>
    <row r="1787" spans="1:17">
      <c r="A1787">
        <v>1786</v>
      </c>
      <c r="B1787" s="5">
        <v>45874</v>
      </c>
      <c r="C1787" t="s">
        <v>916</v>
      </c>
      <c r="D1787" t="s">
        <v>917</v>
      </c>
      <c r="E1787" t="s">
        <v>918</v>
      </c>
      <c r="F1787">
        <v>4</v>
      </c>
      <c r="G1787" t="s">
        <v>1112</v>
      </c>
      <c r="H1787" t="s">
        <v>66</v>
      </c>
      <c r="I1787" t="s">
        <v>22</v>
      </c>
      <c r="J1787" t="s">
        <v>67</v>
      </c>
      <c r="K1787" t="s">
        <v>34</v>
      </c>
      <c r="L1787" s="6">
        <v>1691.75</v>
      </c>
      <c r="M1787" s="6">
        <v>0</v>
      </c>
      <c r="N1787" s="6">
        <v>-1691.75</v>
      </c>
      <c r="O1787" s="6">
        <v>34116.589999999997</v>
      </c>
      <c r="P1787" s="7">
        <v>0</v>
      </c>
      <c r="Q1787" s="6">
        <v>0</v>
      </c>
    </row>
    <row r="1788" spans="1:17">
      <c r="A1788">
        <v>1787</v>
      </c>
      <c r="B1788" s="5">
        <v>45874</v>
      </c>
      <c r="C1788" t="s">
        <v>916</v>
      </c>
      <c r="D1788" t="s">
        <v>917</v>
      </c>
      <c r="E1788" t="s">
        <v>918</v>
      </c>
      <c r="F1788">
        <v>4</v>
      </c>
      <c r="G1788" t="s">
        <v>1113</v>
      </c>
      <c r="H1788" t="s">
        <v>1114</v>
      </c>
      <c r="I1788" t="s">
        <v>16</v>
      </c>
      <c r="J1788" t="s">
        <v>52</v>
      </c>
      <c r="K1788" t="s">
        <v>35</v>
      </c>
      <c r="L1788" s="6">
        <v>0</v>
      </c>
      <c r="M1788" s="6">
        <v>1000</v>
      </c>
      <c r="N1788" s="6">
        <v>1000</v>
      </c>
      <c r="O1788" s="6">
        <v>35116.589999999997</v>
      </c>
      <c r="P1788" s="7">
        <v>0</v>
      </c>
      <c r="Q1788" s="6">
        <v>0</v>
      </c>
    </row>
    <row r="1789" spans="1:17">
      <c r="A1789">
        <v>1788</v>
      </c>
      <c r="B1789" s="5">
        <v>45874</v>
      </c>
      <c r="C1789" t="s">
        <v>916</v>
      </c>
      <c r="D1789" t="s">
        <v>917</v>
      </c>
      <c r="E1789" t="s">
        <v>918</v>
      </c>
      <c r="F1789">
        <v>4</v>
      </c>
      <c r="G1789" t="s">
        <v>1115</v>
      </c>
      <c r="I1789" t="s">
        <v>17</v>
      </c>
      <c r="J1789" t="s">
        <v>64</v>
      </c>
      <c r="K1789" t="s">
        <v>34</v>
      </c>
      <c r="L1789" s="6">
        <v>35000</v>
      </c>
      <c r="M1789" s="6">
        <v>0</v>
      </c>
      <c r="N1789" s="6">
        <v>-35000</v>
      </c>
      <c r="O1789" s="6">
        <v>116.59</v>
      </c>
      <c r="P1789" s="7">
        <v>0</v>
      </c>
      <c r="Q1789" s="6">
        <v>0</v>
      </c>
    </row>
    <row r="1790" spans="1:17">
      <c r="A1790">
        <v>1789</v>
      </c>
      <c r="B1790" s="5">
        <v>45874</v>
      </c>
      <c r="C1790" t="s">
        <v>916</v>
      </c>
      <c r="D1790" t="s">
        <v>917</v>
      </c>
      <c r="E1790" t="s">
        <v>918</v>
      </c>
      <c r="F1790">
        <v>4</v>
      </c>
      <c r="G1790" t="s">
        <v>900</v>
      </c>
      <c r="I1790" t="s">
        <v>16</v>
      </c>
      <c r="J1790" t="s">
        <v>52</v>
      </c>
      <c r="K1790" t="s">
        <v>35</v>
      </c>
      <c r="L1790" s="6">
        <v>0</v>
      </c>
      <c r="M1790" s="6">
        <v>4948.12</v>
      </c>
      <c r="N1790" s="6">
        <v>4948.12</v>
      </c>
      <c r="O1790" s="6">
        <v>5064.71</v>
      </c>
      <c r="P1790" s="7">
        <v>0</v>
      </c>
      <c r="Q1790" s="6">
        <v>0</v>
      </c>
    </row>
    <row r="1791" spans="1:17">
      <c r="A1791">
        <v>1790</v>
      </c>
      <c r="B1791" s="5">
        <v>45874</v>
      </c>
      <c r="C1791" t="s">
        <v>916</v>
      </c>
      <c r="D1791" t="s">
        <v>917</v>
      </c>
      <c r="E1791" t="s">
        <v>918</v>
      </c>
      <c r="F1791">
        <v>4</v>
      </c>
      <c r="G1791" t="s">
        <v>1116</v>
      </c>
      <c r="I1791" t="s">
        <v>15</v>
      </c>
      <c r="J1791" t="s">
        <v>52</v>
      </c>
      <c r="K1791" t="s">
        <v>35</v>
      </c>
      <c r="L1791" s="6">
        <v>0</v>
      </c>
      <c r="M1791" s="6">
        <v>128248</v>
      </c>
      <c r="N1791" s="6">
        <v>128248</v>
      </c>
      <c r="O1791" s="6">
        <v>133312.71</v>
      </c>
      <c r="P1791" s="7">
        <v>0</v>
      </c>
      <c r="Q1791" s="6">
        <v>0</v>
      </c>
    </row>
    <row r="1792" spans="1:17">
      <c r="A1792">
        <v>1791</v>
      </c>
      <c r="B1792" s="5">
        <v>45874</v>
      </c>
      <c r="C1792" t="s">
        <v>916</v>
      </c>
      <c r="D1792" t="s">
        <v>917</v>
      </c>
      <c r="E1792" t="s">
        <v>918</v>
      </c>
      <c r="F1792">
        <v>4</v>
      </c>
      <c r="G1792" t="s">
        <v>1117</v>
      </c>
      <c r="H1792" t="s">
        <v>929</v>
      </c>
      <c r="I1792" t="s">
        <v>22</v>
      </c>
      <c r="J1792" t="s">
        <v>67</v>
      </c>
      <c r="K1792" t="s">
        <v>34</v>
      </c>
      <c r="L1792" s="6">
        <v>500</v>
      </c>
      <c r="M1792" s="6">
        <v>0</v>
      </c>
      <c r="N1792" s="6">
        <v>-500</v>
      </c>
      <c r="O1792" s="6">
        <v>132812.71</v>
      </c>
      <c r="P1792" s="7">
        <v>0</v>
      </c>
      <c r="Q1792" s="6">
        <v>0</v>
      </c>
    </row>
    <row r="1793" spans="1:17">
      <c r="A1793">
        <v>1792</v>
      </c>
      <c r="B1793" s="5">
        <v>45874</v>
      </c>
      <c r="C1793" t="s">
        <v>916</v>
      </c>
      <c r="D1793" t="s">
        <v>917</v>
      </c>
      <c r="E1793" t="s">
        <v>918</v>
      </c>
      <c r="F1793">
        <v>4</v>
      </c>
      <c r="G1793" t="s">
        <v>1118</v>
      </c>
      <c r="H1793" t="s">
        <v>66</v>
      </c>
      <c r="I1793" t="s">
        <v>22</v>
      </c>
      <c r="J1793" t="s">
        <v>67</v>
      </c>
      <c r="K1793" t="s">
        <v>34</v>
      </c>
      <c r="L1793" s="6">
        <v>514</v>
      </c>
      <c r="M1793" s="6">
        <v>0</v>
      </c>
      <c r="N1793" s="6">
        <v>-514</v>
      </c>
      <c r="O1793" s="6">
        <v>132298.71</v>
      </c>
      <c r="P1793" s="7">
        <v>0</v>
      </c>
      <c r="Q1793" s="6">
        <v>0</v>
      </c>
    </row>
    <row r="1794" spans="1:17">
      <c r="A1794">
        <v>1793</v>
      </c>
      <c r="B1794" s="5">
        <v>45874</v>
      </c>
      <c r="C1794" t="s">
        <v>916</v>
      </c>
      <c r="D1794" t="s">
        <v>917</v>
      </c>
      <c r="E1794" t="s">
        <v>918</v>
      </c>
      <c r="F1794">
        <v>4</v>
      </c>
      <c r="G1794" t="s">
        <v>1119</v>
      </c>
      <c r="H1794" t="s">
        <v>66</v>
      </c>
      <c r="I1794" t="s">
        <v>22</v>
      </c>
      <c r="J1794" t="s">
        <v>67</v>
      </c>
      <c r="K1794" t="s">
        <v>34</v>
      </c>
      <c r="L1794" s="6">
        <v>280.41000000000003</v>
      </c>
      <c r="M1794" s="6">
        <v>0</v>
      </c>
      <c r="N1794" s="6">
        <v>-280.41000000000003</v>
      </c>
      <c r="O1794" s="6">
        <v>132018.29999999999</v>
      </c>
      <c r="P1794" s="7">
        <v>0</v>
      </c>
      <c r="Q1794" s="6">
        <v>0</v>
      </c>
    </row>
    <row r="1795" spans="1:17">
      <c r="A1795">
        <v>1794</v>
      </c>
      <c r="B1795" s="5">
        <v>45874</v>
      </c>
      <c r="C1795" t="s">
        <v>916</v>
      </c>
      <c r="D1795" t="s">
        <v>917</v>
      </c>
      <c r="E1795" t="s">
        <v>918</v>
      </c>
      <c r="F1795">
        <v>4</v>
      </c>
      <c r="G1795" t="s">
        <v>1120</v>
      </c>
      <c r="H1795" t="s">
        <v>929</v>
      </c>
      <c r="I1795" t="s">
        <v>22</v>
      </c>
      <c r="J1795" t="s">
        <v>67</v>
      </c>
      <c r="K1795" t="s">
        <v>34</v>
      </c>
      <c r="L1795" s="6">
        <v>56</v>
      </c>
      <c r="M1795" s="6">
        <v>0</v>
      </c>
      <c r="N1795" s="6">
        <v>-56</v>
      </c>
      <c r="O1795" s="6">
        <v>131962.29999999999</v>
      </c>
      <c r="P1795" s="7">
        <v>0</v>
      </c>
      <c r="Q1795" s="6">
        <v>0</v>
      </c>
    </row>
    <row r="1796" spans="1:17">
      <c r="A1796">
        <v>1795</v>
      </c>
      <c r="B1796" s="5">
        <v>45874</v>
      </c>
      <c r="C1796" t="s">
        <v>916</v>
      </c>
      <c r="D1796" t="s">
        <v>917</v>
      </c>
      <c r="E1796" t="s">
        <v>918</v>
      </c>
      <c r="F1796">
        <v>4</v>
      </c>
      <c r="G1796" t="s">
        <v>1121</v>
      </c>
      <c r="H1796" t="s">
        <v>66</v>
      </c>
      <c r="I1796" t="s">
        <v>22</v>
      </c>
      <c r="J1796" t="s">
        <v>67</v>
      </c>
      <c r="K1796" t="s">
        <v>34</v>
      </c>
      <c r="L1796" s="6">
        <v>1000</v>
      </c>
      <c r="M1796" s="6">
        <v>0</v>
      </c>
      <c r="N1796" s="6">
        <v>-1000</v>
      </c>
      <c r="O1796" s="6">
        <v>130962.3</v>
      </c>
      <c r="P1796" s="7">
        <v>0</v>
      </c>
      <c r="Q1796" s="6">
        <v>0</v>
      </c>
    </row>
    <row r="1797" spans="1:17">
      <c r="A1797">
        <v>1796</v>
      </c>
      <c r="B1797" s="5">
        <v>45874</v>
      </c>
      <c r="C1797" t="s">
        <v>916</v>
      </c>
      <c r="D1797" t="s">
        <v>917</v>
      </c>
      <c r="E1797" t="s">
        <v>918</v>
      </c>
      <c r="F1797">
        <v>4</v>
      </c>
      <c r="G1797" t="s">
        <v>1122</v>
      </c>
      <c r="H1797" t="s">
        <v>929</v>
      </c>
      <c r="I1797" t="s">
        <v>22</v>
      </c>
      <c r="J1797" t="s">
        <v>67</v>
      </c>
      <c r="K1797" t="s">
        <v>34</v>
      </c>
      <c r="L1797" s="6">
        <v>96</v>
      </c>
      <c r="M1797" s="6">
        <v>0</v>
      </c>
      <c r="N1797" s="6">
        <v>-96</v>
      </c>
      <c r="O1797" s="6">
        <v>130866.3</v>
      </c>
      <c r="P1797" s="7">
        <v>0</v>
      </c>
      <c r="Q1797" s="6">
        <v>0</v>
      </c>
    </row>
    <row r="1798" spans="1:17">
      <c r="A1798">
        <v>1797</v>
      </c>
      <c r="B1798" s="5">
        <v>45874</v>
      </c>
      <c r="C1798" t="s">
        <v>916</v>
      </c>
      <c r="D1798" t="s">
        <v>917</v>
      </c>
      <c r="E1798" t="s">
        <v>918</v>
      </c>
      <c r="F1798">
        <v>4</v>
      </c>
      <c r="G1798" t="s">
        <v>1123</v>
      </c>
      <c r="H1798" t="s">
        <v>66</v>
      </c>
      <c r="I1798" t="s">
        <v>22</v>
      </c>
      <c r="J1798" t="s">
        <v>67</v>
      </c>
      <c r="K1798" t="s">
        <v>34</v>
      </c>
      <c r="L1798" s="6">
        <v>1700</v>
      </c>
      <c r="M1798" s="6">
        <v>0</v>
      </c>
      <c r="N1798" s="6">
        <v>-1700</v>
      </c>
      <c r="O1798" s="6">
        <v>129166.3</v>
      </c>
      <c r="P1798" s="7">
        <v>0</v>
      </c>
      <c r="Q1798" s="6">
        <v>0</v>
      </c>
    </row>
    <row r="1799" spans="1:17">
      <c r="A1799">
        <v>1798</v>
      </c>
      <c r="B1799" s="5">
        <v>45874</v>
      </c>
      <c r="C1799" t="s">
        <v>916</v>
      </c>
      <c r="D1799" t="s">
        <v>917</v>
      </c>
      <c r="E1799" t="s">
        <v>918</v>
      </c>
      <c r="F1799">
        <v>5</v>
      </c>
      <c r="G1799" t="s">
        <v>1124</v>
      </c>
      <c r="H1799" t="s">
        <v>929</v>
      </c>
      <c r="I1799" t="s">
        <v>22</v>
      </c>
      <c r="J1799" t="s">
        <v>67</v>
      </c>
      <c r="K1799" t="s">
        <v>34</v>
      </c>
      <c r="L1799" s="6">
        <v>350</v>
      </c>
      <c r="M1799" s="6">
        <v>0</v>
      </c>
      <c r="N1799" s="6">
        <v>-350</v>
      </c>
      <c r="O1799" s="6">
        <v>128816.3</v>
      </c>
      <c r="P1799" s="7">
        <v>0</v>
      </c>
      <c r="Q1799" s="6">
        <v>0</v>
      </c>
    </row>
    <row r="1800" spans="1:17">
      <c r="A1800">
        <v>1799</v>
      </c>
      <c r="B1800" s="5">
        <v>45874</v>
      </c>
      <c r="C1800" t="s">
        <v>916</v>
      </c>
      <c r="D1800" t="s">
        <v>917</v>
      </c>
      <c r="E1800" t="s">
        <v>918</v>
      </c>
      <c r="F1800">
        <v>5</v>
      </c>
      <c r="G1800" t="s">
        <v>1125</v>
      </c>
      <c r="H1800" t="s">
        <v>929</v>
      </c>
      <c r="I1800" t="s">
        <v>22</v>
      </c>
      <c r="J1800" t="s">
        <v>67</v>
      </c>
      <c r="K1800" t="s">
        <v>34</v>
      </c>
      <c r="L1800" s="6">
        <v>23.4</v>
      </c>
      <c r="M1800" s="6">
        <v>0</v>
      </c>
      <c r="N1800" s="6">
        <v>-23.4</v>
      </c>
      <c r="O1800" s="6">
        <v>128792.9</v>
      </c>
      <c r="P1800" s="7">
        <v>0</v>
      </c>
      <c r="Q1800" s="6">
        <v>0</v>
      </c>
    </row>
    <row r="1801" spans="1:17">
      <c r="A1801">
        <v>1800</v>
      </c>
      <c r="B1801" s="5">
        <v>45874</v>
      </c>
      <c r="C1801" t="s">
        <v>916</v>
      </c>
      <c r="D1801" t="s">
        <v>917</v>
      </c>
      <c r="E1801" t="s">
        <v>918</v>
      </c>
      <c r="F1801">
        <v>5</v>
      </c>
      <c r="G1801" t="s">
        <v>1126</v>
      </c>
      <c r="H1801" t="s">
        <v>66</v>
      </c>
      <c r="I1801" t="s">
        <v>22</v>
      </c>
      <c r="J1801" t="s">
        <v>67</v>
      </c>
      <c r="K1801" t="s">
        <v>34</v>
      </c>
      <c r="L1801" s="6">
        <v>980</v>
      </c>
      <c r="M1801" s="6">
        <v>0</v>
      </c>
      <c r="N1801" s="6">
        <v>-980</v>
      </c>
      <c r="O1801" s="6">
        <v>127812.9</v>
      </c>
      <c r="P1801" s="7">
        <v>0</v>
      </c>
      <c r="Q1801" s="6">
        <v>0</v>
      </c>
    </row>
    <row r="1802" spans="1:17">
      <c r="A1802">
        <v>1801</v>
      </c>
      <c r="B1802" s="5">
        <v>45874</v>
      </c>
      <c r="C1802" t="s">
        <v>916</v>
      </c>
      <c r="D1802" t="s">
        <v>917</v>
      </c>
      <c r="E1802" t="s">
        <v>918</v>
      </c>
      <c r="F1802">
        <v>5</v>
      </c>
      <c r="G1802" t="s">
        <v>1127</v>
      </c>
      <c r="H1802" t="s">
        <v>929</v>
      </c>
      <c r="I1802" t="s">
        <v>22</v>
      </c>
      <c r="J1802" t="s">
        <v>67</v>
      </c>
      <c r="K1802" t="s">
        <v>34</v>
      </c>
      <c r="L1802" s="6">
        <v>500</v>
      </c>
      <c r="M1802" s="6">
        <v>0</v>
      </c>
      <c r="N1802" s="6">
        <v>-500</v>
      </c>
      <c r="O1802" s="6">
        <v>127312.9</v>
      </c>
      <c r="P1802" s="7">
        <v>0</v>
      </c>
      <c r="Q1802" s="6">
        <v>0</v>
      </c>
    </row>
    <row r="1803" spans="1:17">
      <c r="A1803">
        <v>1802</v>
      </c>
      <c r="B1803" s="5">
        <v>45874</v>
      </c>
      <c r="C1803" t="s">
        <v>916</v>
      </c>
      <c r="D1803" t="s">
        <v>917</v>
      </c>
      <c r="E1803" t="s">
        <v>918</v>
      </c>
      <c r="F1803">
        <v>5</v>
      </c>
      <c r="G1803" t="s">
        <v>1128</v>
      </c>
      <c r="H1803" t="s">
        <v>929</v>
      </c>
      <c r="I1803" t="s">
        <v>22</v>
      </c>
      <c r="J1803" t="s">
        <v>67</v>
      </c>
      <c r="K1803" t="s">
        <v>34</v>
      </c>
      <c r="L1803" s="6">
        <v>500</v>
      </c>
      <c r="M1803" s="6">
        <v>0</v>
      </c>
      <c r="N1803" s="6">
        <v>-500</v>
      </c>
      <c r="O1803" s="6">
        <v>126812.9</v>
      </c>
      <c r="P1803" s="7">
        <v>0</v>
      </c>
      <c r="Q1803" s="6">
        <v>0</v>
      </c>
    </row>
    <row r="1804" spans="1:17">
      <c r="A1804">
        <v>1803</v>
      </c>
      <c r="B1804" s="5">
        <v>45874</v>
      </c>
      <c r="C1804" t="s">
        <v>916</v>
      </c>
      <c r="D1804" t="s">
        <v>917</v>
      </c>
      <c r="E1804" t="s">
        <v>918</v>
      </c>
      <c r="F1804">
        <v>5</v>
      </c>
      <c r="G1804" t="s">
        <v>1129</v>
      </c>
      <c r="H1804" t="s">
        <v>929</v>
      </c>
      <c r="I1804" t="s">
        <v>22</v>
      </c>
      <c r="J1804" t="s">
        <v>67</v>
      </c>
      <c r="K1804" t="s">
        <v>34</v>
      </c>
      <c r="L1804" s="6">
        <v>300</v>
      </c>
      <c r="M1804" s="6">
        <v>0</v>
      </c>
      <c r="N1804" s="6">
        <v>-300</v>
      </c>
      <c r="O1804" s="6">
        <v>126512.9</v>
      </c>
      <c r="P1804" s="7">
        <v>0</v>
      </c>
      <c r="Q1804" s="6">
        <v>0</v>
      </c>
    </row>
    <row r="1805" spans="1:17">
      <c r="A1805">
        <v>1804</v>
      </c>
      <c r="B1805" s="5">
        <v>45874</v>
      </c>
      <c r="C1805" t="s">
        <v>916</v>
      </c>
      <c r="D1805" t="s">
        <v>917</v>
      </c>
      <c r="E1805" t="s">
        <v>918</v>
      </c>
      <c r="F1805">
        <v>5</v>
      </c>
      <c r="G1805" t="s">
        <v>1130</v>
      </c>
      <c r="H1805" t="s">
        <v>929</v>
      </c>
      <c r="I1805" t="s">
        <v>22</v>
      </c>
      <c r="J1805" t="s">
        <v>67</v>
      </c>
      <c r="K1805" t="s">
        <v>34</v>
      </c>
      <c r="L1805" s="6">
        <v>478</v>
      </c>
      <c r="M1805" s="6">
        <v>0</v>
      </c>
      <c r="N1805" s="6">
        <v>-478</v>
      </c>
      <c r="O1805" s="6">
        <v>126034.9</v>
      </c>
      <c r="P1805" s="7">
        <v>0</v>
      </c>
      <c r="Q1805" s="6">
        <v>0</v>
      </c>
    </row>
    <row r="1806" spans="1:17">
      <c r="A1806">
        <v>1805</v>
      </c>
      <c r="B1806" s="5">
        <v>45874</v>
      </c>
      <c r="C1806" t="s">
        <v>916</v>
      </c>
      <c r="D1806" t="s">
        <v>917</v>
      </c>
      <c r="E1806" t="s">
        <v>918</v>
      </c>
      <c r="F1806">
        <v>5</v>
      </c>
      <c r="G1806" t="s">
        <v>1131</v>
      </c>
      <c r="H1806" t="s">
        <v>66</v>
      </c>
      <c r="I1806" t="s">
        <v>22</v>
      </c>
      <c r="J1806" t="s">
        <v>67</v>
      </c>
      <c r="K1806" t="s">
        <v>34</v>
      </c>
      <c r="L1806" s="6">
        <v>200</v>
      </c>
      <c r="M1806" s="6">
        <v>0</v>
      </c>
      <c r="N1806" s="6">
        <v>-200</v>
      </c>
      <c r="O1806" s="6">
        <v>125834.9</v>
      </c>
      <c r="P1806" s="7">
        <v>0</v>
      </c>
      <c r="Q1806" s="6">
        <v>0</v>
      </c>
    </row>
    <row r="1807" spans="1:17">
      <c r="A1807">
        <v>1806</v>
      </c>
      <c r="B1807" s="5">
        <v>45874</v>
      </c>
      <c r="C1807" t="s">
        <v>916</v>
      </c>
      <c r="D1807" t="s">
        <v>917</v>
      </c>
      <c r="E1807" t="s">
        <v>918</v>
      </c>
      <c r="F1807">
        <v>5</v>
      </c>
      <c r="G1807" t="s">
        <v>1132</v>
      </c>
      <c r="H1807" t="s">
        <v>929</v>
      </c>
      <c r="I1807" t="s">
        <v>22</v>
      </c>
      <c r="J1807" t="s">
        <v>67</v>
      </c>
      <c r="K1807" t="s">
        <v>34</v>
      </c>
      <c r="L1807" s="6">
        <v>54.59</v>
      </c>
      <c r="M1807" s="6">
        <v>0</v>
      </c>
      <c r="N1807" s="6">
        <v>-54.59</v>
      </c>
      <c r="O1807" s="6">
        <v>125780.31</v>
      </c>
      <c r="P1807" s="7">
        <v>0</v>
      </c>
      <c r="Q1807" s="6">
        <v>0</v>
      </c>
    </row>
    <row r="1808" spans="1:17">
      <c r="A1808">
        <v>1807</v>
      </c>
      <c r="B1808" s="5">
        <v>45874</v>
      </c>
      <c r="C1808" t="s">
        <v>916</v>
      </c>
      <c r="D1808" t="s">
        <v>917</v>
      </c>
      <c r="E1808" t="s">
        <v>918</v>
      </c>
      <c r="F1808">
        <v>5</v>
      </c>
      <c r="G1808" t="s">
        <v>1133</v>
      </c>
      <c r="H1808" t="s">
        <v>929</v>
      </c>
      <c r="I1808" t="s">
        <v>22</v>
      </c>
      <c r="J1808" t="s">
        <v>67</v>
      </c>
      <c r="K1808" t="s">
        <v>34</v>
      </c>
      <c r="L1808" s="6">
        <v>635.61</v>
      </c>
      <c r="M1808" s="6">
        <v>0</v>
      </c>
      <c r="N1808" s="6">
        <v>-635.61</v>
      </c>
      <c r="O1808" s="6">
        <v>125144.7</v>
      </c>
      <c r="P1808" s="7">
        <v>0</v>
      </c>
      <c r="Q1808" s="6">
        <v>0</v>
      </c>
    </row>
    <row r="1809" spans="1:17">
      <c r="A1809">
        <v>1808</v>
      </c>
      <c r="B1809" s="5">
        <v>45874</v>
      </c>
      <c r="C1809" t="s">
        <v>916</v>
      </c>
      <c r="D1809" t="s">
        <v>917</v>
      </c>
      <c r="E1809" t="s">
        <v>918</v>
      </c>
      <c r="F1809">
        <v>5</v>
      </c>
      <c r="G1809" t="s">
        <v>1134</v>
      </c>
      <c r="H1809" t="s">
        <v>66</v>
      </c>
      <c r="I1809" t="s">
        <v>22</v>
      </c>
      <c r="J1809" t="s">
        <v>67</v>
      </c>
      <c r="K1809" t="s">
        <v>34</v>
      </c>
      <c r="L1809" s="6">
        <v>25000</v>
      </c>
      <c r="M1809" s="6">
        <v>0</v>
      </c>
      <c r="N1809" s="6">
        <v>-25000</v>
      </c>
      <c r="O1809" s="6">
        <v>100144.7</v>
      </c>
      <c r="P1809" s="7">
        <v>0</v>
      </c>
      <c r="Q1809" s="6">
        <v>0</v>
      </c>
    </row>
    <row r="1810" spans="1:17">
      <c r="A1810">
        <v>1809</v>
      </c>
      <c r="B1810" s="5">
        <v>45874</v>
      </c>
      <c r="C1810" t="s">
        <v>916</v>
      </c>
      <c r="D1810" t="s">
        <v>917</v>
      </c>
      <c r="E1810" t="s">
        <v>918</v>
      </c>
      <c r="F1810">
        <v>5</v>
      </c>
      <c r="G1810" t="s">
        <v>1135</v>
      </c>
      <c r="H1810" t="s">
        <v>66</v>
      </c>
      <c r="I1810" t="s">
        <v>22</v>
      </c>
      <c r="J1810" t="s">
        <v>67</v>
      </c>
      <c r="K1810" t="s">
        <v>34</v>
      </c>
      <c r="L1810" s="6">
        <v>7500</v>
      </c>
      <c r="M1810" s="6">
        <v>0</v>
      </c>
      <c r="N1810" s="6">
        <v>-7500</v>
      </c>
      <c r="O1810" s="6">
        <v>92644.7</v>
      </c>
      <c r="P1810" s="7">
        <v>0</v>
      </c>
      <c r="Q1810" s="6">
        <v>0</v>
      </c>
    </row>
    <row r="1811" spans="1:17">
      <c r="A1811">
        <v>1810</v>
      </c>
      <c r="B1811" s="5">
        <v>45874</v>
      </c>
      <c r="C1811" t="s">
        <v>916</v>
      </c>
      <c r="D1811" t="s">
        <v>917</v>
      </c>
      <c r="E1811" t="s">
        <v>918</v>
      </c>
      <c r="F1811">
        <v>5</v>
      </c>
      <c r="G1811" t="s">
        <v>1136</v>
      </c>
      <c r="H1811" t="s">
        <v>66</v>
      </c>
      <c r="I1811" t="s">
        <v>22</v>
      </c>
      <c r="J1811" t="s">
        <v>67</v>
      </c>
      <c r="K1811" t="s">
        <v>34</v>
      </c>
      <c r="L1811" s="6">
        <v>5415.37</v>
      </c>
      <c r="M1811" s="6">
        <v>0</v>
      </c>
      <c r="N1811" s="6">
        <v>-5415.37</v>
      </c>
      <c r="O1811" s="6">
        <v>87229.33</v>
      </c>
      <c r="P1811" s="7">
        <v>0</v>
      </c>
      <c r="Q1811" s="6">
        <v>0</v>
      </c>
    </row>
    <row r="1812" spans="1:17">
      <c r="A1812">
        <v>1811</v>
      </c>
      <c r="B1812" s="5">
        <v>45874</v>
      </c>
      <c r="C1812" t="s">
        <v>916</v>
      </c>
      <c r="D1812" t="s">
        <v>917</v>
      </c>
      <c r="E1812" t="s">
        <v>918</v>
      </c>
      <c r="F1812">
        <v>5</v>
      </c>
      <c r="G1812" t="s">
        <v>1137</v>
      </c>
      <c r="H1812" t="s">
        <v>66</v>
      </c>
      <c r="I1812" t="s">
        <v>22</v>
      </c>
      <c r="J1812" t="s">
        <v>67</v>
      </c>
      <c r="K1812" t="s">
        <v>34</v>
      </c>
      <c r="L1812" s="6">
        <v>12500</v>
      </c>
      <c r="M1812" s="6">
        <v>0</v>
      </c>
      <c r="N1812" s="6">
        <v>-12500</v>
      </c>
      <c r="O1812" s="6">
        <v>74729.33</v>
      </c>
      <c r="P1812" s="7">
        <v>0</v>
      </c>
      <c r="Q1812" s="6">
        <v>0</v>
      </c>
    </row>
    <row r="1813" spans="1:17">
      <c r="A1813">
        <v>1812</v>
      </c>
      <c r="B1813" s="5">
        <v>45874</v>
      </c>
      <c r="C1813" t="s">
        <v>916</v>
      </c>
      <c r="D1813" t="s">
        <v>917</v>
      </c>
      <c r="E1813" t="s">
        <v>918</v>
      </c>
      <c r="F1813">
        <v>5</v>
      </c>
      <c r="G1813" t="s">
        <v>1138</v>
      </c>
      <c r="H1813" t="s">
        <v>66</v>
      </c>
      <c r="I1813" t="s">
        <v>22</v>
      </c>
      <c r="J1813" t="s">
        <v>67</v>
      </c>
      <c r="K1813" t="s">
        <v>34</v>
      </c>
      <c r="L1813" s="6">
        <v>10800</v>
      </c>
      <c r="M1813" s="6">
        <v>0</v>
      </c>
      <c r="N1813" s="6">
        <v>-10800</v>
      </c>
      <c r="O1813" s="6">
        <v>63929.33</v>
      </c>
      <c r="P1813" s="7">
        <v>0</v>
      </c>
      <c r="Q1813" s="6">
        <v>0</v>
      </c>
    </row>
    <row r="1814" spans="1:17">
      <c r="A1814">
        <v>1813</v>
      </c>
      <c r="B1814" s="5">
        <v>45874</v>
      </c>
      <c r="C1814" t="s">
        <v>916</v>
      </c>
      <c r="D1814" t="s">
        <v>917</v>
      </c>
      <c r="E1814" t="s">
        <v>918</v>
      </c>
      <c r="F1814">
        <v>5</v>
      </c>
      <c r="G1814" t="s">
        <v>1139</v>
      </c>
      <c r="I1814" t="s">
        <v>17</v>
      </c>
      <c r="J1814" t="s">
        <v>64</v>
      </c>
      <c r="K1814" t="s">
        <v>34</v>
      </c>
      <c r="L1814" s="6">
        <v>15000</v>
      </c>
      <c r="M1814" s="6">
        <v>0</v>
      </c>
      <c r="N1814" s="6">
        <v>-15000</v>
      </c>
      <c r="O1814" s="6">
        <v>48929.33</v>
      </c>
      <c r="P1814" s="7">
        <v>0</v>
      </c>
      <c r="Q1814" s="6">
        <v>0</v>
      </c>
    </row>
    <row r="1815" spans="1:17">
      <c r="A1815">
        <v>1814</v>
      </c>
      <c r="B1815" s="5">
        <v>45874</v>
      </c>
      <c r="C1815" t="s">
        <v>916</v>
      </c>
      <c r="D1815" t="s">
        <v>917</v>
      </c>
      <c r="E1815" t="s">
        <v>918</v>
      </c>
      <c r="F1815">
        <v>5</v>
      </c>
      <c r="G1815" t="s">
        <v>1140</v>
      </c>
      <c r="I1815" t="s">
        <v>17</v>
      </c>
      <c r="J1815" t="s">
        <v>64</v>
      </c>
      <c r="K1815" t="s">
        <v>34</v>
      </c>
      <c r="L1815" s="6">
        <v>35000</v>
      </c>
      <c r="M1815" s="6">
        <v>0</v>
      </c>
      <c r="N1815" s="6">
        <v>-35000</v>
      </c>
      <c r="O1815" s="6">
        <v>13929.33</v>
      </c>
      <c r="P1815" s="7">
        <v>0</v>
      </c>
      <c r="Q1815" s="6">
        <v>0</v>
      </c>
    </row>
    <row r="1816" spans="1:17">
      <c r="A1816">
        <v>1815</v>
      </c>
      <c r="B1816" s="5">
        <v>45874</v>
      </c>
      <c r="C1816" t="s">
        <v>916</v>
      </c>
      <c r="D1816" t="s">
        <v>917</v>
      </c>
      <c r="E1816" t="s">
        <v>918</v>
      </c>
      <c r="F1816">
        <v>5</v>
      </c>
      <c r="G1816" t="s">
        <v>1141</v>
      </c>
      <c r="H1816" t="s">
        <v>1142</v>
      </c>
      <c r="I1816" t="s">
        <v>18</v>
      </c>
      <c r="J1816" t="s">
        <v>345</v>
      </c>
      <c r="K1816" t="s">
        <v>34</v>
      </c>
      <c r="L1816" s="6">
        <v>5000</v>
      </c>
      <c r="M1816" s="6">
        <v>0</v>
      </c>
      <c r="N1816" s="6">
        <v>-5000</v>
      </c>
      <c r="O1816" s="6">
        <v>8929.33</v>
      </c>
      <c r="P1816" s="7">
        <v>0</v>
      </c>
      <c r="Q1816" s="6">
        <v>0</v>
      </c>
    </row>
    <row r="1817" spans="1:17">
      <c r="A1817">
        <v>1816</v>
      </c>
      <c r="B1817" s="5">
        <v>45874</v>
      </c>
      <c r="C1817" t="s">
        <v>916</v>
      </c>
      <c r="D1817" t="s">
        <v>917</v>
      </c>
      <c r="E1817" t="s">
        <v>918</v>
      </c>
      <c r="F1817">
        <v>5</v>
      </c>
      <c r="G1817" t="s">
        <v>346</v>
      </c>
      <c r="I1817" t="s">
        <v>14</v>
      </c>
      <c r="J1817" t="s">
        <v>46</v>
      </c>
      <c r="K1817" t="s">
        <v>34</v>
      </c>
      <c r="L1817" s="6">
        <v>40</v>
      </c>
      <c r="M1817" s="6">
        <v>0</v>
      </c>
      <c r="N1817" s="6">
        <v>-40</v>
      </c>
      <c r="O1817" s="6">
        <v>8889.33</v>
      </c>
      <c r="P1817" s="7">
        <v>0.15</v>
      </c>
      <c r="Q1817" s="6">
        <v>5.22</v>
      </c>
    </row>
    <row r="1818" spans="1:17">
      <c r="A1818">
        <v>1817</v>
      </c>
      <c r="B1818" s="5">
        <v>45874</v>
      </c>
      <c r="C1818" t="s">
        <v>916</v>
      </c>
      <c r="D1818" t="s">
        <v>917</v>
      </c>
      <c r="E1818" t="s">
        <v>918</v>
      </c>
      <c r="F1818">
        <v>5</v>
      </c>
      <c r="G1818" t="s">
        <v>1012</v>
      </c>
      <c r="H1818" t="s">
        <v>1013</v>
      </c>
      <c r="I1818" t="s">
        <v>16</v>
      </c>
      <c r="J1818" t="s">
        <v>52</v>
      </c>
      <c r="K1818" t="s">
        <v>35</v>
      </c>
      <c r="L1818" s="6">
        <v>0</v>
      </c>
      <c r="M1818" s="6">
        <v>200</v>
      </c>
      <c r="N1818" s="6">
        <v>200</v>
      </c>
      <c r="O1818" s="6">
        <v>9089.33</v>
      </c>
      <c r="P1818" s="7">
        <v>0</v>
      </c>
      <c r="Q1818" s="6">
        <v>0</v>
      </c>
    </row>
    <row r="1819" spans="1:17">
      <c r="A1819">
        <v>1818</v>
      </c>
      <c r="B1819" s="5">
        <v>45874</v>
      </c>
      <c r="C1819" t="s">
        <v>916</v>
      </c>
      <c r="D1819" t="s">
        <v>917</v>
      </c>
      <c r="E1819" t="s">
        <v>918</v>
      </c>
      <c r="F1819">
        <v>5</v>
      </c>
      <c r="G1819" t="s">
        <v>1099</v>
      </c>
      <c r="H1819" t="s">
        <v>1100</v>
      </c>
      <c r="I1819" t="s">
        <v>16</v>
      </c>
      <c r="J1819" t="s">
        <v>52</v>
      </c>
      <c r="K1819" t="s">
        <v>35</v>
      </c>
      <c r="L1819" s="6">
        <v>0</v>
      </c>
      <c r="M1819" s="6">
        <v>200</v>
      </c>
      <c r="N1819" s="6">
        <v>200</v>
      </c>
      <c r="O1819" s="6">
        <v>9289.33</v>
      </c>
      <c r="P1819" s="7">
        <v>0</v>
      </c>
      <c r="Q1819" s="6">
        <v>0</v>
      </c>
    </row>
    <row r="1820" spans="1:17">
      <c r="A1820">
        <v>1819</v>
      </c>
      <c r="B1820" s="5">
        <v>45874</v>
      </c>
      <c r="C1820" t="s">
        <v>916</v>
      </c>
      <c r="D1820" t="s">
        <v>917</v>
      </c>
      <c r="E1820" t="s">
        <v>918</v>
      </c>
      <c r="F1820">
        <v>5</v>
      </c>
      <c r="G1820" t="s">
        <v>1099</v>
      </c>
      <c r="H1820" t="s">
        <v>1100</v>
      </c>
      <c r="I1820" t="s">
        <v>16</v>
      </c>
      <c r="J1820" t="s">
        <v>52</v>
      </c>
      <c r="K1820" t="s">
        <v>35</v>
      </c>
      <c r="L1820" s="6">
        <v>0</v>
      </c>
      <c r="M1820" s="6">
        <v>250</v>
      </c>
      <c r="N1820" s="6">
        <v>250</v>
      </c>
      <c r="O1820" s="6">
        <v>9539.33</v>
      </c>
      <c r="P1820" s="7">
        <v>0</v>
      </c>
      <c r="Q1820" s="6">
        <v>0</v>
      </c>
    </row>
    <row r="1821" spans="1:17">
      <c r="A1821">
        <v>1820</v>
      </c>
      <c r="B1821" s="5">
        <v>45874</v>
      </c>
      <c r="C1821" t="s">
        <v>916</v>
      </c>
      <c r="D1821" t="s">
        <v>917</v>
      </c>
      <c r="E1821" t="s">
        <v>918</v>
      </c>
      <c r="F1821">
        <v>5</v>
      </c>
      <c r="G1821" t="s">
        <v>1099</v>
      </c>
      <c r="H1821" t="s">
        <v>1100</v>
      </c>
      <c r="I1821" t="s">
        <v>16</v>
      </c>
      <c r="J1821" t="s">
        <v>52</v>
      </c>
      <c r="K1821" t="s">
        <v>35</v>
      </c>
      <c r="L1821" s="6">
        <v>0</v>
      </c>
      <c r="M1821" s="6">
        <v>300</v>
      </c>
      <c r="N1821" s="6">
        <v>300</v>
      </c>
      <c r="O1821" s="6">
        <v>9839.33</v>
      </c>
      <c r="P1821" s="7">
        <v>0</v>
      </c>
      <c r="Q1821" s="6">
        <v>0</v>
      </c>
    </row>
    <row r="1822" spans="1:17">
      <c r="A1822">
        <v>1821</v>
      </c>
      <c r="B1822" s="5">
        <v>45874</v>
      </c>
      <c r="C1822" t="s">
        <v>916</v>
      </c>
      <c r="D1822" t="s">
        <v>917</v>
      </c>
      <c r="E1822" t="s">
        <v>918</v>
      </c>
      <c r="F1822">
        <v>5</v>
      </c>
      <c r="G1822" t="s">
        <v>1143</v>
      </c>
      <c r="H1822" t="s">
        <v>1144</v>
      </c>
      <c r="I1822" t="s">
        <v>16</v>
      </c>
      <c r="J1822" t="s">
        <v>52</v>
      </c>
      <c r="K1822" t="s">
        <v>35</v>
      </c>
      <c r="L1822" s="6">
        <v>0</v>
      </c>
      <c r="M1822" s="6">
        <v>500</v>
      </c>
      <c r="N1822" s="6">
        <v>500</v>
      </c>
      <c r="O1822" s="6">
        <v>10339.33</v>
      </c>
      <c r="P1822" s="7">
        <v>0</v>
      </c>
      <c r="Q1822" s="6">
        <v>0</v>
      </c>
    </row>
    <row r="1823" spans="1:17">
      <c r="A1823">
        <v>1822</v>
      </c>
      <c r="B1823" s="5">
        <v>45874</v>
      </c>
      <c r="C1823" t="s">
        <v>916</v>
      </c>
      <c r="D1823" t="s">
        <v>917</v>
      </c>
      <c r="E1823" t="s">
        <v>918</v>
      </c>
      <c r="F1823">
        <v>5</v>
      </c>
      <c r="G1823" t="s">
        <v>1014</v>
      </c>
      <c r="H1823" t="s">
        <v>1015</v>
      </c>
      <c r="I1823" t="s">
        <v>16</v>
      </c>
      <c r="J1823" t="s">
        <v>52</v>
      </c>
      <c r="K1823" t="s">
        <v>35</v>
      </c>
      <c r="L1823" s="6">
        <v>0</v>
      </c>
      <c r="M1823" s="6">
        <v>934</v>
      </c>
      <c r="N1823" s="6">
        <v>934</v>
      </c>
      <c r="O1823" s="6">
        <v>11273.33</v>
      </c>
      <c r="P1823" s="7">
        <v>0</v>
      </c>
      <c r="Q1823" s="6">
        <v>0</v>
      </c>
    </row>
    <row r="1824" spans="1:17">
      <c r="A1824">
        <v>1823</v>
      </c>
      <c r="B1824" s="5">
        <v>45874</v>
      </c>
      <c r="C1824" t="s">
        <v>916</v>
      </c>
      <c r="D1824" t="s">
        <v>917</v>
      </c>
      <c r="E1824" t="s">
        <v>918</v>
      </c>
      <c r="F1824">
        <v>5</v>
      </c>
      <c r="G1824" t="s">
        <v>1145</v>
      </c>
      <c r="H1824" t="s">
        <v>1146</v>
      </c>
      <c r="I1824" t="s">
        <v>16</v>
      </c>
      <c r="J1824" t="s">
        <v>52</v>
      </c>
      <c r="K1824" t="s">
        <v>35</v>
      </c>
      <c r="L1824" s="6">
        <v>0</v>
      </c>
      <c r="M1824" s="6">
        <v>1000</v>
      </c>
      <c r="N1824" s="6">
        <v>1000</v>
      </c>
      <c r="O1824" s="6">
        <v>12273.33</v>
      </c>
      <c r="P1824" s="7">
        <v>0</v>
      </c>
      <c r="Q1824" s="6">
        <v>0</v>
      </c>
    </row>
    <row r="1825" spans="1:17">
      <c r="A1825">
        <v>1824</v>
      </c>
      <c r="B1825" s="5">
        <v>45874</v>
      </c>
      <c r="C1825" t="s">
        <v>916</v>
      </c>
      <c r="D1825" t="s">
        <v>917</v>
      </c>
      <c r="E1825" t="s">
        <v>918</v>
      </c>
      <c r="F1825">
        <v>5</v>
      </c>
      <c r="G1825" t="s">
        <v>1147</v>
      </c>
      <c r="H1825" t="s">
        <v>1148</v>
      </c>
      <c r="I1825" t="s">
        <v>16</v>
      </c>
      <c r="J1825" t="s">
        <v>52</v>
      </c>
      <c r="K1825" t="s">
        <v>35</v>
      </c>
      <c r="L1825" s="6">
        <v>0</v>
      </c>
      <c r="M1825" s="6">
        <v>1500</v>
      </c>
      <c r="N1825" s="6">
        <v>1500</v>
      </c>
      <c r="O1825" s="6">
        <v>13773.33</v>
      </c>
      <c r="P1825" s="7">
        <v>0</v>
      </c>
      <c r="Q1825" s="6">
        <v>0</v>
      </c>
    </row>
    <row r="1826" spans="1:17">
      <c r="A1826">
        <v>1825</v>
      </c>
      <c r="B1826" s="5">
        <v>45874</v>
      </c>
      <c r="C1826" t="s">
        <v>916</v>
      </c>
      <c r="D1826" t="s">
        <v>917</v>
      </c>
      <c r="E1826" t="s">
        <v>918</v>
      </c>
      <c r="F1826">
        <v>5</v>
      </c>
      <c r="G1826" t="s">
        <v>1022</v>
      </c>
      <c r="H1826" t="s">
        <v>1023</v>
      </c>
      <c r="I1826" t="s">
        <v>16</v>
      </c>
      <c r="J1826" t="s">
        <v>52</v>
      </c>
      <c r="K1826" t="s">
        <v>35</v>
      </c>
      <c r="L1826" s="6">
        <v>0</v>
      </c>
      <c r="M1826" s="6">
        <v>1650</v>
      </c>
      <c r="N1826" s="6">
        <v>1650</v>
      </c>
      <c r="O1826" s="6">
        <v>15423.33</v>
      </c>
      <c r="P1826" s="7">
        <v>0</v>
      </c>
      <c r="Q1826" s="6">
        <v>0</v>
      </c>
    </row>
    <row r="1827" spans="1:17">
      <c r="A1827">
        <v>1826</v>
      </c>
      <c r="B1827" s="5">
        <v>45874</v>
      </c>
      <c r="C1827" t="s">
        <v>916</v>
      </c>
      <c r="D1827" t="s">
        <v>917</v>
      </c>
      <c r="E1827" t="s">
        <v>918</v>
      </c>
      <c r="F1827">
        <v>5</v>
      </c>
      <c r="G1827" t="s">
        <v>1014</v>
      </c>
      <c r="H1827" t="s">
        <v>1015</v>
      </c>
      <c r="I1827" t="s">
        <v>16</v>
      </c>
      <c r="J1827" t="s">
        <v>52</v>
      </c>
      <c r="K1827" t="s">
        <v>35</v>
      </c>
      <c r="L1827" s="6">
        <v>0</v>
      </c>
      <c r="M1827" s="6">
        <v>1795</v>
      </c>
      <c r="N1827" s="6">
        <v>1795</v>
      </c>
      <c r="O1827" s="6">
        <v>17218.330000000002</v>
      </c>
      <c r="P1827" s="7">
        <v>0</v>
      </c>
      <c r="Q1827" s="6">
        <v>0</v>
      </c>
    </row>
    <row r="1828" spans="1:17">
      <c r="A1828">
        <v>1827</v>
      </c>
      <c r="B1828" s="5">
        <v>45874</v>
      </c>
      <c r="C1828" t="s">
        <v>916</v>
      </c>
      <c r="D1828" t="s">
        <v>917</v>
      </c>
      <c r="E1828" t="s">
        <v>918</v>
      </c>
      <c r="F1828">
        <v>5</v>
      </c>
      <c r="G1828" t="s">
        <v>1014</v>
      </c>
      <c r="H1828" t="s">
        <v>1015</v>
      </c>
      <c r="I1828" t="s">
        <v>16</v>
      </c>
      <c r="J1828" t="s">
        <v>52</v>
      </c>
      <c r="K1828" t="s">
        <v>35</v>
      </c>
      <c r="L1828" s="6">
        <v>0</v>
      </c>
      <c r="M1828" s="6">
        <v>2154</v>
      </c>
      <c r="N1828" s="6">
        <v>2154</v>
      </c>
      <c r="O1828" s="6">
        <v>19372.330000000002</v>
      </c>
      <c r="P1828" s="7">
        <v>0</v>
      </c>
      <c r="Q1828" s="6">
        <v>0</v>
      </c>
    </row>
    <row r="1829" spans="1:17">
      <c r="A1829">
        <v>1828</v>
      </c>
      <c r="B1829" s="5">
        <v>45874</v>
      </c>
      <c r="C1829" t="s">
        <v>916</v>
      </c>
      <c r="D1829" t="s">
        <v>917</v>
      </c>
      <c r="E1829" t="s">
        <v>918</v>
      </c>
      <c r="F1829">
        <v>5</v>
      </c>
      <c r="G1829" t="s">
        <v>1147</v>
      </c>
      <c r="H1829" t="s">
        <v>1148</v>
      </c>
      <c r="I1829" t="s">
        <v>16</v>
      </c>
      <c r="J1829" t="s">
        <v>52</v>
      </c>
      <c r="K1829" t="s">
        <v>35</v>
      </c>
      <c r="L1829" s="6">
        <v>0</v>
      </c>
      <c r="M1829" s="6">
        <v>2500</v>
      </c>
      <c r="N1829" s="6">
        <v>2500</v>
      </c>
      <c r="O1829" s="6">
        <v>21872.33</v>
      </c>
      <c r="P1829" s="7">
        <v>0</v>
      </c>
      <c r="Q1829" s="6">
        <v>0</v>
      </c>
    </row>
    <row r="1830" spans="1:17">
      <c r="A1830">
        <v>1829</v>
      </c>
      <c r="B1830" s="5">
        <v>45874</v>
      </c>
      <c r="C1830" t="s">
        <v>916</v>
      </c>
      <c r="D1830" t="s">
        <v>917</v>
      </c>
      <c r="E1830" t="s">
        <v>918</v>
      </c>
      <c r="F1830">
        <v>5</v>
      </c>
      <c r="G1830" t="s">
        <v>1149</v>
      </c>
      <c r="H1830" t="s">
        <v>1150</v>
      </c>
      <c r="I1830" t="s">
        <v>16</v>
      </c>
      <c r="J1830" t="s">
        <v>52</v>
      </c>
      <c r="K1830" t="s">
        <v>35</v>
      </c>
      <c r="L1830" s="6">
        <v>0</v>
      </c>
      <c r="M1830" s="6">
        <v>6070</v>
      </c>
      <c r="N1830" s="6">
        <v>6070</v>
      </c>
      <c r="O1830" s="6">
        <v>27942.33</v>
      </c>
      <c r="P1830" s="7">
        <v>0</v>
      </c>
      <c r="Q1830" s="6">
        <v>0</v>
      </c>
    </row>
    <row r="1831" spans="1:17">
      <c r="A1831">
        <v>1830</v>
      </c>
      <c r="B1831" s="5">
        <v>45874</v>
      </c>
      <c r="C1831" t="s">
        <v>916</v>
      </c>
      <c r="D1831" t="s">
        <v>917</v>
      </c>
      <c r="E1831" t="s">
        <v>918</v>
      </c>
      <c r="F1831">
        <v>5</v>
      </c>
      <c r="G1831" t="s">
        <v>1151</v>
      </c>
      <c r="I1831" t="s">
        <v>16</v>
      </c>
      <c r="J1831" t="s">
        <v>52</v>
      </c>
      <c r="K1831" t="s">
        <v>35</v>
      </c>
      <c r="L1831" s="6">
        <v>0</v>
      </c>
      <c r="M1831" s="6">
        <v>15342.05</v>
      </c>
      <c r="N1831" s="6">
        <v>15342.05</v>
      </c>
      <c r="O1831" s="6">
        <v>43284.38</v>
      </c>
      <c r="P1831" s="7">
        <v>0</v>
      </c>
      <c r="Q1831" s="6">
        <v>0</v>
      </c>
    </row>
    <row r="1832" spans="1:17">
      <c r="A1832">
        <v>1831</v>
      </c>
      <c r="B1832" s="5">
        <v>45875</v>
      </c>
      <c r="C1832" t="s">
        <v>916</v>
      </c>
      <c r="D1832" t="s">
        <v>917</v>
      </c>
      <c r="E1832" t="s">
        <v>918</v>
      </c>
      <c r="F1832">
        <v>5</v>
      </c>
      <c r="G1832" t="s">
        <v>1152</v>
      </c>
      <c r="I1832" t="s">
        <v>17</v>
      </c>
      <c r="J1832" t="s">
        <v>64</v>
      </c>
      <c r="K1832" t="s">
        <v>34</v>
      </c>
      <c r="L1832" s="6">
        <v>40000</v>
      </c>
      <c r="M1832" s="6">
        <v>0</v>
      </c>
      <c r="N1832" s="6">
        <v>-40000</v>
      </c>
      <c r="O1832" s="6">
        <v>3284.38</v>
      </c>
      <c r="P1832" s="7">
        <v>0</v>
      </c>
      <c r="Q1832" s="6">
        <v>0</v>
      </c>
    </row>
    <row r="1833" spans="1:17">
      <c r="A1833">
        <v>1832</v>
      </c>
      <c r="B1833" s="5">
        <v>45875</v>
      </c>
      <c r="C1833" t="s">
        <v>916</v>
      </c>
      <c r="D1833" t="s">
        <v>917</v>
      </c>
      <c r="E1833" t="s">
        <v>918</v>
      </c>
      <c r="F1833">
        <v>5</v>
      </c>
      <c r="G1833" t="s">
        <v>1153</v>
      </c>
      <c r="H1833" t="s">
        <v>1154</v>
      </c>
      <c r="I1833" t="s">
        <v>16</v>
      </c>
      <c r="J1833" t="s">
        <v>52</v>
      </c>
      <c r="K1833" t="s">
        <v>35</v>
      </c>
      <c r="L1833" s="6">
        <v>0</v>
      </c>
      <c r="M1833" s="6">
        <v>200</v>
      </c>
      <c r="N1833" s="6">
        <v>200</v>
      </c>
      <c r="O1833" s="6">
        <v>3484.38</v>
      </c>
      <c r="P1833" s="7">
        <v>0</v>
      </c>
      <c r="Q1833" s="6">
        <v>0</v>
      </c>
    </row>
    <row r="1834" spans="1:17">
      <c r="A1834">
        <v>1833</v>
      </c>
      <c r="B1834" s="5">
        <v>45875</v>
      </c>
      <c r="C1834" t="s">
        <v>916</v>
      </c>
      <c r="D1834" t="s">
        <v>917</v>
      </c>
      <c r="E1834" t="s">
        <v>918</v>
      </c>
      <c r="F1834">
        <v>5</v>
      </c>
      <c r="G1834" t="s">
        <v>1155</v>
      </c>
      <c r="H1834" t="s">
        <v>1156</v>
      </c>
      <c r="I1834" t="s">
        <v>16</v>
      </c>
      <c r="J1834" t="s">
        <v>52</v>
      </c>
      <c r="K1834" t="s">
        <v>35</v>
      </c>
      <c r="L1834" s="6">
        <v>0</v>
      </c>
      <c r="M1834" s="6">
        <v>200</v>
      </c>
      <c r="N1834" s="6">
        <v>200</v>
      </c>
      <c r="O1834" s="6">
        <v>3684.38</v>
      </c>
      <c r="P1834" s="7">
        <v>0</v>
      </c>
      <c r="Q1834" s="6">
        <v>0</v>
      </c>
    </row>
    <row r="1835" spans="1:17">
      <c r="A1835">
        <v>1834</v>
      </c>
      <c r="B1835" s="5">
        <v>45875</v>
      </c>
      <c r="C1835" t="s">
        <v>916</v>
      </c>
      <c r="D1835" t="s">
        <v>917</v>
      </c>
      <c r="E1835" t="s">
        <v>918</v>
      </c>
      <c r="F1835">
        <v>5</v>
      </c>
      <c r="G1835" t="s">
        <v>1157</v>
      </c>
      <c r="H1835" t="s">
        <v>1158</v>
      </c>
      <c r="I1835" t="s">
        <v>16</v>
      </c>
      <c r="J1835" t="s">
        <v>52</v>
      </c>
      <c r="K1835" t="s">
        <v>35</v>
      </c>
      <c r="L1835" s="6">
        <v>0</v>
      </c>
      <c r="M1835" s="6">
        <v>1000</v>
      </c>
      <c r="N1835" s="6">
        <v>1000</v>
      </c>
      <c r="O1835" s="6">
        <v>4684.38</v>
      </c>
      <c r="P1835" s="7">
        <v>0</v>
      </c>
      <c r="Q1835" s="6">
        <v>0</v>
      </c>
    </row>
    <row r="1836" spans="1:17">
      <c r="A1836">
        <v>1835</v>
      </c>
      <c r="B1836" s="5">
        <v>45875</v>
      </c>
      <c r="C1836" t="s">
        <v>916</v>
      </c>
      <c r="D1836" t="s">
        <v>917</v>
      </c>
      <c r="E1836" t="s">
        <v>918</v>
      </c>
      <c r="F1836">
        <v>5</v>
      </c>
      <c r="G1836" t="s">
        <v>1159</v>
      </c>
      <c r="H1836" t="s">
        <v>1160</v>
      </c>
      <c r="I1836" t="s">
        <v>16</v>
      </c>
      <c r="J1836" t="s">
        <v>52</v>
      </c>
      <c r="K1836" t="s">
        <v>35</v>
      </c>
      <c r="L1836" s="6">
        <v>0</v>
      </c>
      <c r="M1836" s="6">
        <v>450</v>
      </c>
      <c r="N1836" s="6">
        <v>450</v>
      </c>
      <c r="O1836" s="6">
        <v>5134.38</v>
      </c>
      <c r="P1836" s="7">
        <v>0</v>
      </c>
      <c r="Q1836" s="6">
        <v>0</v>
      </c>
    </row>
    <row r="1837" spans="1:17">
      <c r="A1837">
        <v>1836</v>
      </c>
      <c r="B1837" s="5">
        <v>45875</v>
      </c>
      <c r="C1837" t="s">
        <v>916</v>
      </c>
      <c r="D1837" t="s">
        <v>917</v>
      </c>
      <c r="E1837" t="s">
        <v>918</v>
      </c>
      <c r="F1837">
        <v>5</v>
      </c>
      <c r="G1837" t="s">
        <v>1161</v>
      </c>
      <c r="I1837" t="s">
        <v>15</v>
      </c>
      <c r="J1837" t="s">
        <v>52</v>
      </c>
      <c r="K1837" t="s">
        <v>35</v>
      </c>
      <c r="L1837" s="6">
        <v>0</v>
      </c>
      <c r="M1837" s="6">
        <v>56486</v>
      </c>
      <c r="N1837" s="6">
        <v>56486</v>
      </c>
      <c r="O1837" s="6">
        <v>61620.38</v>
      </c>
      <c r="P1837" s="7">
        <v>0</v>
      </c>
      <c r="Q1837" s="6">
        <v>0</v>
      </c>
    </row>
    <row r="1838" spans="1:17">
      <c r="A1838">
        <v>1837</v>
      </c>
      <c r="B1838" s="5">
        <v>45875</v>
      </c>
      <c r="C1838" t="s">
        <v>916</v>
      </c>
      <c r="D1838" t="s">
        <v>917</v>
      </c>
      <c r="E1838" t="s">
        <v>918</v>
      </c>
      <c r="F1838">
        <v>5</v>
      </c>
      <c r="G1838" t="s">
        <v>900</v>
      </c>
      <c r="I1838" t="s">
        <v>16</v>
      </c>
      <c r="J1838" t="s">
        <v>52</v>
      </c>
      <c r="K1838" t="s">
        <v>35</v>
      </c>
      <c r="L1838" s="6">
        <v>0</v>
      </c>
      <c r="M1838" s="6">
        <v>9750.16</v>
      </c>
      <c r="N1838" s="6">
        <v>9750.16</v>
      </c>
      <c r="O1838" s="6">
        <v>71370.539999999994</v>
      </c>
      <c r="P1838" s="7">
        <v>0</v>
      </c>
      <c r="Q1838" s="6">
        <v>0</v>
      </c>
    </row>
    <row r="1839" spans="1:17">
      <c r="A1839">
        <v>1838</v>
      </c>
      <c r="B1839" s="5">
        <v>45875</v>
      </c>
      <c r="C1839" t="s">
        <v>916</v>
      </c>
      <c r="D1839" t="s">
        <v>917</v>
      </c>
      <c r="E1839" t="s">
        <v>918</v>
      </c>
      <c r="F1839">
        <v>5</v>
      </c>
      <c r="G1839" t="s">
        <v>1162</v>
      </c>
      <c r="H1839" t="s">
        <v>66</v>
      </c>
      <c r="I1839" t="s">
        <v>22</v>
      </c>
      <c r="J1839" t="s">
        <v>67</v>
      </c>
      <c r="K1839" t="s">
        <v>34</v>
      </c>
      <c r="L1839" s="6">
        <v>15000</v>
      </c>
      <c r="M1839" s="6">
        <v>0</v>
      </c>
      <c r="N1839" s="6">
        <v>-15000</v>
      </c>
      <c r="O1839" s="6">
        <v>56370.54</v>
      </c>
      <c r="P1839" s="7">
        <v>0</v>
      </c>
      <c r="Q1839" s="6">
        <v>0</v>
      </c>
    </row>
    <row r="1840" spans="1:17">
      <c r="A1840">
        <v>1839</v>
      </c>
      <c r="B1840" s="5">
        <v>45875</v>
      </c>
      <c r="C1840" t="s">
        <v>916</v>
      </c>
      <c r="D1840" t="s">
        <v>917</v>
      </c>
      <c r="E1840" t="s">
        <v>918</v>
      </c>
      <c r="F1840">
        <v>5</v>
      </c>
      <c r="G1840" t="s">
        <v>1163</v>
      </c>
      <c r="H1840" t="s">
        <v>1164</v>
      </c>
      <c r="I1840" t="s">
        <v>16</v>
      </c>
      <c r="J1840" t="s">
        <v>52</v>
      </c>
      <c r="K1840" t="s">
        <v>35</v>
      </c>
      <c r="L1840" s="6">
        <v>0</v>
      </c>
      <c r="M1840" s="6">
        <v>1000</v>
      </c>
      <c r="N1840" s="6">
        <v>1000</v>
      </c>
      <c r="O1840" s="6">
        <v>57370.54</v>
      </c>
      <c r="P1840" s="7">
        <v>0</v>
      </c>
      <c r="Q1840" s="6">
        <v>0</v>
      </c>
    </row>
    <row r="1841" spans="1:17">
      <c r="A1841">
        <v>1840</v>
      </c>
      <c r="B1841" s="5">
        <v>45875</v>
      </c>
      <c r="C1841" t="s">
        <v>916</v>
      </c>
      <c r="D1841" t="s">
        <v>917</v>
      </c>
      <c r="E1841" t="s">
        <v>918</v>
      </c>
      <c r="F1841">
        <v>5</v>
      </c>
      <c r="G1841" t="s">
        <v>911</v>
      </c>
      <c r="H1841" t="s">
        <v>912</v>
      </c>
      <c r="I1841" t="s">
        <v>16</v>
      </c>
      <c r="J1841" t="s">
        <v>52</v>
      </c>
      <c r="K1841" t="s">
        <v>35</v>
      </c>
      <c r="L1841" s="6">
        <v>0</v>
      </c>
      <c r="M1841" s="6">
        <v>500</v>
      </c>
      <c r="N1841" s="6">
        <v>500</v>
      </c>
      <c r="O1841" s="6">
        <v>57870.54</v>
      </c>
      <c r="P1841" s="7">
        <v>0</v>
      </c>
      <c r="Q1841" s="6">
        <v>0</v>
      </c>
    </row>
    <row r="1842" spans="1:17">
      <c r="A1842">
        <v>1841</v>
      </c>
      <c r="B1842" s="5">
        <v>45875</v>
      </c>
      <c r="C1842" t="s">
        <v>916</v>
      </c>
      <c r="D1842" t="s">
        <v>917</v>
      </c>
      <c r="E1842" t="s">
        <v>918</v>
      </c>
      <c r="F1842">
        <v>5</v>
      </c>
      <c r="G1842" t="s">
        <v>1165</v>
      </c>
      <c r="H1842" t="s">
        <v>1166</v>
      </c>
      <c r="I1842" t="s">
        <v>16</v>
      </c>
      <c r="J1842" t="s">
        <v>52</v>
      </c>
      <c r="K1842" t="s">
        <v>35</v>
      </c>
      <c r="L1842" s="6">
        <v>0</v>
      </c>
      <c r="M1842" s="6">
        <v>100</v>
      </c>
      <c r="N1842" s="6">
        <v>100</v>
      </c>
      <c r="O1842" s="6">
        <v>57970.54</v>
      </c>
      <c r="P1842" s="7">
        <v>0</v>
      </c>
      <c r="Q1842" s="6">
        <v>0</v>
      </c>
    </row>
    <row r="1843" spans="1:17">
      <c r="A1843">
        <v>1842</v>
      </c>
      <c r="B1843" s="5">
        <v>45875</v>
      </c>
      <c r="C1843" t="s">
        <v>916</v>
      </c>
      <c r="D1843" t="s">
        <v>917</v>
      </c>
      <c r="E1843" t="s">
        <v>918</v>
      </c>
      <c r="F1843">
        <v>5</v>
      </c>
      <c r="G1843" t="s">
        <v>1167</v>
      </c>
      <c r="H1843" t="s">
        <v>929</v>
      </c>
      <c r="I1843" t="s">
        <v>22</v>
      </c>
      <c r="J1843" t="s">
        <v>67</v>
      </c>
      <c r="K1843" t="s">
        <v>34</v>
      </c>
      <c r="L1843" s="6">
        <v>5089.7</v>
      </c>
      <c r="M1843" s="6">
        <v>0</v>
      </c>
      <c r="N1843" s="6">
        <v>-5089.7</v>
      </c>
      <c r="O1843" s="6">
        <v>52880.84</v>
      </c>
      <c r="P1843" s="7">
        <v>0</v>
      </c>
      <c r="Q1843" s="6">
        <v>0</v>
      </c>
    </row>
    <row r="1844" spans="1:17">
      <c r="A1844">
        <v>1843</v>
      </c>
      <c r="B1844" s="5">
        <v>45875</v>
      </c>
      <c r="C1844" t="s">
        <v>916</v>
      </c>
      <c r="D1844" t="s">
        <v>917</v>
      </c>
      <c r="E1844" t="s">
        <v>918</v>
      </c>
      <c r="F1844">
        <v>5</v>
      </c>
      <c r="G1844" t="s">
        <v>1168</v>
      </c>
      <c r="H1844" t="s">
        <v>66</v>
      </c>
      <c r="I1844" t="s">
        <v>22</v>
      </c>
      <c r="J1844" t="s">
        <v>67</v>
      </c>
      <c r="K1844" t="s">
        <v>34</v>
      </c>
      <c r="L1844" s="6">
        <v>2600</v>
      </c>
      <c r="M1844" s="6">
        <v>0</v>
      </c>
      <c r="N1844" s="6">
        <v>-2600</v>
      </c>
      <c r="O1844" s="6">
        <v>50280.84</v>
      </c>
      <c r="P1844" s="7">
        <v>0</v>
      </c>
      <c r="Q1844" s="6">
        <v>0</v>
      </c>
    </row>
    <row r="1845" spans="1:17">
      <c r="A1845">
        <v>1844</v>
      </c>
      <c r="B1845" s="5">
        <v>45875</v>
      </c>
      <c r="C1845" t="s">
        <v>916</v>
      </c>
      <c r="D1845" t="s">
        <v>917</v>
      </c>
      <c r="E1845" t="s">
        <v>918</v>
      </c>
      <c r="F1845">
        <v>5</v>
      </c>
      <c r="G1845" t="s">
        <v>1169</v>
      </c>
      <c r="H1845" t="s">
        <v>929</v>
      </c>
      <c r="I1845" t="s">
        <v>22</v>
      </c>
      <c r="J1845" t="s">
        <v>67</v>
      </c>
      <c r="K1845" t="s">
        <v>34</v>
      </c>
      <c r="L1845" s="6">
        <v>1178</v>
      </c>
      <c r="M1845" s="6">
        <v>0</v>
      </c>
      <c r="N1845" s="6">
        <v>-1178</v>
      </c>
      <c r="O1845" s="6">
        <v>49102.84</v>
      </c>
      <c r="P1845" s="7">
        <v>0</v>
      </c>
      <c r="Q1845" s="6">
        <v>0</v>
      </c>
    </row>
    <row r="1846" spans="1:17">
      <c r="A1846">
        <v>1845</v>
      </c>
      <c r="B1846" s="5">
        <v>45875</v>
      </c>
      <c r="C1846" t="s">
        <v>916</v>
      </c>
      <c r="D1846" t="s">
        <v>917</v>
      </c>
      <c r="E1846" t="s">
        <v>918</v>
      </c>
      <c r="F1846">
        <v>5</v>
      </c>
      <c r="G1846" t="s">
        <v>1170</v>
      </c>
      <c r="H1846" t="s">
        <v>929</v>
      </c>
      <c r="I1846" t="s">
        <v>22</v>
      </c>
      <c r="J1846" t="s">
        <v>67</v>
      </c>
      <c r="K1846" t="s">
        <v>34</v>
      </c>
      <c r="L1846" s="6">
        <v>1009.24</v>
      </c>
      <c r="M1846" s="6">
        <v>0</v>
      </c>
      <c r="N1846" s="6">
        <v>-1009.24</v>
      </c>
      <c r="O1846" s="6">
        <v>48093.599999999999</v>
      </c>
      <c r="P1846" s="7">
        <v>0</v>
      </c>
      <c r="Q1846" s="6">
        <v>0</v>
      </c>
    </row>
    <row r="1847" spans="1:17">
      <c r="A1847">
        <v>1846</v>
      </c>
      <c r="B1847" s="5">
        <v>45875</v>
      </c>
      <c r="C1847" t="s">
        <v>916</v>
      </c>
      <c r="D1847" t="s">
        <v>917</v>
      </c>
      <c r="E1847" t="s">
        <v>918</v>
      </c>
      <c r="F1847">
        <v>5</v>
      </c>
      <c r="G1847" t="s">
        <v>1171</v>
      </c>
      <c r="H1847" t="s">
        <v>66</v>
      </c>
      <c r="I1847" t="s">
        <v>22</v>
      </c>
      <c r="J1847" t="s">
        <v>67</v>
      </c>
      <c r="K1847" t="s">
        <v>34</v>
      </c>
      <c r="L1847" s="6">
        <v>100</v>
      </c>
      <c r="M1847" s="6">
        <v>0</v>
      </c>
      <c r="N1847" s="6">
        <v>-100</v>
      </c>
      <c r="O1847" s="6">
        <v>47993.599999999999</v>
      </c>
      <c r="P1847" s="7">
        <v>0</v>
      </c>
      <c r="Q1847" s="6">
        <v>0</v>
      </c>
    </row>
    <row r="1848" spans="1:17">
      <c r="A1848">
        <v>1847</v>
      </c>
      <c r="B1848" s="5">
        <v>45875</v>
      </c>
      <c r="C1848" t="s">
        <v>916</v>
      </c>
      <c r="D1848" t="s">
        <v>917</v>
      </c>
      <c r="E1848" t="s">
        <v>918</v>
      </c>
      <c r="F1848">
        <v>5</v>
      </c>
      <c r="G1848" t="s">
        <v>1172</v>
      </c>
      <c r="H1848" t="s">
        <v>929</v>
      </c>
      <c r="I1848" t="s">
        <v>22</v>
      </c>
      <c r="J1848" t="s">
        <v>67</v>
      </c>
      <c r="K1848" t="s">
        <v>34</v>
      </c>
      <c r="L1848" s="6">
        <v>975</v>
      </c>
      <c r="M1848" s="6">
        <v>0</v>
      </c>
      <c r="N1848" s="6">
        <v>-975</v>
      </c>
      <c r="O1848" s="6">
        <v>47018.6</v>
      </c>
      <c r="P1848" s="7">
        <v>0</v>
      </c>
      <c r="Q1848" s="6">
        <v>0</v>
      </c>
    </row>
    <row r="1849" spans="1:17">
      <c r="A1849">
        <v>1848</v>
      </c>
      <c r="B1849" s="5">
        <v>45875</v>
      </c>
      <c r="C1849" t="s">
        <v>916</v>
      </c>
      <c r="D1849" t="s">
        <v>917</v>
      </c>
      <c r="E1849" t="s">
        <v>918</v>
      </c>
      <c r="F1849">
        <v>6</v>
      </c>
      <c r="G1849" t="s">
        <v>1173</v>
      </c>
      <c r="H1849" t="s">
        <v>66</v>
      </c>
      <c r="I1849" t="s">
        <v>22</v>
      </c>
      <c r="J1849" t="s">
        <v>67</v>
      </c>
      <c r="K1849" t="s">
        <v>34</v>
      </c>
      <c r="L1849" s="6">
        <v>1124.58</v>
      </c>
      <c r="M1849" s="6">
        <v>0</v>
      </c>
      <c r="N1849" s="6">
        <v>-1124.58</v>
      </c>
      <c r="O1849" s="6">
        <v>45894.02</v>
      </c>
      <c r="P1849" s="7">
        <v>0</v>
      </c>
      <c r="Q1849" s="6">
        <v>0</v>
      </c>
    </row>
    <row r="1850" spans="1:17">
      <c r="A1850">
        <v>1849</v>
      </c>
      <c r="B1850" s="5">
        <v>45875</v>
      </c>
      <c r="C1850" t="s">
        <v>916</v>
      </c>
      <c r="D1850" t="s">
        <v>917</v>
      </c>
      <c r="E1850" t="s">
        <v>918</v>
      </c>
      <c r="F1850">
        <v>6</v>
      </c>
      <c r="G1850" t="s">
        <v>1174</v>
      </c>
      <c r="H1850" t="s">
        <v>929</v>
      </c>
      <c r="I1850" t="s">
        <v>22</v>
      </c>
      <c r="J1850" t="s">
        <v>67</v>
      </c>
      <c r="K1850" t="s">
        <v>34</v>
      </c>
      <c r="L1850" s="6">
        <v>357.66</v>
      </c>
      <c r="M1850" s="6">
        <v>0</v>
      </c>
      <c r="N1850" s="6">
        <v>-357.66</v>
      </c>
      <c r="O1850" s="6">
        <v>45536.36</v>
      </c>
      <c r="P1850" s="7">
        <v>0</v>
      </c>
      <c r="Q1850" s="6">
        <v>0</v>
      </c>
    </row>
    <row r="1851" spans="1:17">
      <c r="A1851">
        <v>1850</v>
      </c>
      <c r="B1851" s="5">
        <v>45875</v>
      </c>
      <c r="C1851" t="s">
        <v>916</v>
      </c>
      <c r="D1851" t="s">
        <v>917</v>
      </c>
      <c r="E1851" t="s">
        <v>918</v>
      </c>
      <c r="F1851">
        <v>6</v>
      </c>
      <c r="G1851" t="s">
        <v>1175</v>
      </c>
      <c r="H1851" t="s">
        <v>929</v>
      </c>
      <c r="I1851" t="s">
        <v>22</v>
      </c>
      <c r="J1851" t="s">
        <v>67</v>
      </c>
      <c r="K1851" t="s">
        <v>34</v>
      </c>
      <c r="L1851" s="6">
        <v>22.62</v>
      </c>
      <c r="M1851" s="6">
        <v>0</v>
      </c>
      <c r="N1851" s="6">
        <v>-22.62</v>
      </c>
      <c r="O1851" s="6">
        <v>45513.74</v>
      </c>
      <c r="P1851" s="7">
        <v>0</v>
      </c>
      <c r="Q1851" s="6">
        <v>0</v>
      </c>
    </row>
    <row r="1852" spans="1:17">
      <c r="A1852">
        <v>1851</v>
      </c>
      <c r="B1852" s="5">
        <v>45875</v>
      </c>
      <c r="C1852" t="s">
        <v>916</v>
      </c>
      <c r="D1852" t="s">
        <v>917</v>
      </c>
      <c r="E1852" t="s">
        <v>918</v>
      </c>
      <c r="F1852">
        <v>6</v>
      </c>
      <c r="G1852" t="s">
        <v>1176</v>
      </c>
      <c r="H1852" t="s">
        <v>929</v>
      </c>
      <c r="I1852" t="s">
        <v>22</v>
      </c>
      <c r="J1852" t="s">
        <v>67</v>
      </c>
      <c r="K1852" t="s">
        <v>34</v>
      </c>
      <c r="L1852" s="6">
        <v>800</v>
      </c>
      <c r="M1852" s="6">
        <v>0</v>
      </c>
      <c r="N1852" s="6">
        <v>-800</v>
      </c>
      <c r="O1852" s="6">
        <v>44713.74</v>
      </c>
      <c r="P1852" s="7">
        <v>0</v>
      </c>
      <c r="Q1852" s="6">
        <v>0</v>
      </c>
    </row>
    <row r="1853" spans="1:17">
      <c r="A1853">
        <v>1852</v>
      </c>
      <c r="B1853" s="5">
        <v>45875</v>
      </c>
      <c r="C1853" t="s">
        <v>916</v>
      </c>
      <c r="D1853" t="s">
        <v>917</v>
      </c>
      <c r="E1853" t="s">
        <v>918</v>
      </c>
      <c r="F1853">
        <v>6</v>
      </c>
      <c r="G1853" t="s">
        <v>1177</v>
      </c>
      <c r="H1853" t="s">
        <v>929</v>
      </c>
      <c r="I1853" t="s">
        <v>22</v>
      </c>
      <c r="J1853" t="s">
        <v>67</v>
      </c>
      <c r="K1853" t="s">
        <v>34</v>
      </c>
      <c r="L1853" s="6">
        <v>60</v>
      </c>
      <c r="M1853" s="6">
        <v>0</v>
      </c>
      <c r="N1853" s="6">
        <v>-60</v>
      </c>
      <c r="O1853" s="6">
        <v>44653.74</v>
      </c>
      <c r="P1853" s="7">
        <v>0</v>
      </c>
      <c r="Q1853" s="6">
        <v>0</v>
      </c>
    </row>
    <row r="1854" spans="1:17">
      <c r="A1854">
        <v>1853</v>
      </c>
      <c r="B1854" s="5">
        <v>45875</v>
      </c>
      <c r="C1854" t="s">
        <v>916</v>
      </c>
      <c r="D1854" t="s">
        <v>917</v>
      </c>
      <c r="E1854" t="s">
        <v>918</v>
      </c>
      <c r="F1854">
        <v>6</v>
      </c>
      <c r="G1854" t="s">
        <v>1178</v>
      </c>
      <c r="H1854" t="s">
        <v>929</v>
      </c>
      <c r="I1854" t="s">
        <v>22</v>
      </c>
      <c r="J1854" t="s">
        <v>67</v>
      </c>
      <c r="K1854" t="s">
        <v>34</v>
      </c>
      <c r="L1854" s="6">
        <v>600</v>
      </c>
      <c r="M1854" s="6">
        <v>0</v>
      </c>
      <c r="N1854" s="6">
        <v>-600</v>
      </c>
      <c r="O1854" s="6">
        <v>44053.74</v>
      </c>
      <c r="P1854" s="7">
        <v>0</v>
      </c>
      <c r="Q1854" s="6">
        <v>0</v>
      </c>
    </row>
    <row r="1855" spans="1:17">
      <c r="A1855">
        <v>1854</v>
      </c>
      <c r="B1855" s="5">
        <v>45875</v>
      </c>
      <c r="C1855" t="s">
        <v>916</v>
      </c>
      <c r="D1855" t="s">
        <v>917</v>
      </c>
      <c r="E1855" t="s">
        <v>918</v>
      </c>
      <c r="F1855">
        <v>6</v>
      </c>
      <c r="G1855" t="s">
        <v>1179</v>
      </c>
      <c r="H1855" t="s">
        <v>66</v>
      </c>
      <c r="I1855" t="s">
        <v>22</v>
      </c>
      <c r="J1855" t="s">
        <v>67</v>
      </c>
      <c r="K1855" t="s">
        <v>34</v>
      </c>
      <c r="L1855" s="6">
        <v>200</v>
      </c>
      <c r="M1855" s="6">
        <v>0</v>
      </c>
      <c r="N1855" s="6">
        <v>-200</v>
      </c>
      <c r="O1855" s="6">
        <v>43853.74</v>
      </c>
      <c r="P1855" s="7">
        <v>0</v>
      </c>
      <c r="Q1855" s="6">
        <v>0</v>
      </c>
    </row>
    <row r="1856" spans="1:17">
      <c r="A1856">
        <v>1855</v>
      </c>
      <c r="B1856" s="5">
        <v>45875</v>
      </c>
      <c r="C1856" t="s">
        <v>916</v>
      </c>
      <c r="D1856" t="s">
        <v>917</v>
      </c>
      <c r="E1856" t="s">
        <v>918</v>
      </c>
      <c r="F1856">
        <v>6</v>
      </c>
      <c r="G1856" t="s">
        <v>1180</v>
      </c>
      <c r="H1856" t="s">
        <v>929</v>
      </c>
      <c r="I1856" t="s">
        <v>22</v>
      </c>
      <c r="J1856" t="s">
        <v>67</v>
      </c>
      <c r="K1856" t="s">
        <v>34</v>
      </c>
      <c r="L1856" s="6">
        <v>100</v>
      </c>
      <c r="M1856" s="6">
        <v>0</v>
      </c>
      <c r="N1856" s="6">
        <v>-100</v>
      </c>
      <c r="O1856" s="6">
        <v>43753.74</v>
      </c>
      <c r="P1856" s="7">
        <v>0</v>
      </c>
      <c r="Q1856" s="6">
        <v>0</v>
      </c>
    </row>
    <row r="1857" spans="1:17">
      <c r="A1857">
        <v>1856</v>
      </c>
      <c r="B1857" s="5">
        <v>45875</v>
      </c>
      <c r="C1857" t="s">
        <v>916</v>
      </c>
      <c r="D1857" t="s">
        <v>917</v>
      </c>
      <c r="E1857" t="s">
        <v>918</v>
      </c>
      <c r="F1857">
        <v>6</v>
      </c>
      <c r="G1857" t="s">
        <v>1181</v>
      </c>
      <c r="H1857" t="s">
        <v>66</v>
      </c>
      <c r="I1857" t="s">
        <v>22</v>
      </c>
      <c r="J1857" t="s">
        <v>67</v>
      </c>
      <c r="K1857" t="s">
        <v>34</v>
      </c>
      <c r="L1857" s="6">
        <v>500</v>
      </c>
      <c r="M1857" s="6">
        <v>0</v>
      </c>
      <c r="N1857" s="6">
        <v>-500</v>
      </c>
      <c r="O1857" s="6">
        <v>43253.74</v>
      </c>
      <c r="P1857" s="7">
        <v>0</v>
      </c>
      <c r="Q1857" s="6">
        <v>0</v>
      </c>
    </row>
    <row r="1858" spans="1:17">
      <c r="A1858">
        <v>1857</v>
      </c>
      <c r="B1858" s="5">
        <v>45875</v>
      </c>
      <c r="C1858" t="s">
        <v>916</v>
      </c>
      <c r="D1858" t="s">
        <v>917</v>
      </c>
      <c r="E1858" t="s">
        <v>918</v>
      </c>
      <c r="F1858">
        <v>6</v>
      </c>
      <c r="G1858" t="s">
        <v>1182</v>
      </c>
      <c r="H1858" t="s">
        <v>1183</v>
      </c>
      <c r="I1858" t="s">
        <v>18</v>
      </c>
      <c r="J1858" t="s">
        <v>345</v>
      </c>
      <c r="K1858" t="s">
        <v>34</v>
      </c>
      <c r="L1858" s="6">
        <v>500</v>
      </c>
      <c r="M1858" s="6">
        <v>0</v>
      </c>
      <c r="N1858" s="6">
        <v>-500</v>
      </c>
      <c r="O1858" s="6">
        <v>42753.74</v>
      </c>
      <c r="P1858" s="7">
        <v>0</v>
      </c>
      <c r="Q1858" s="6">
        <v>0</v>
      </c>
    </row>
    <row r="1859" spans="1:17">
      <c r="A1859">
        <v>1858</v>
      </c>
      <c r="B1859" s="5">
        <v>45875</v>
      </c>
      <c r="C1859" t="s">
        <v>916</v>
      </c>
      <c r="D1859" t="s">
        <v>917</v>
      </c>
      <c r="E1859" t="s">
        <v>918</v>
      </c>
      <c r="F1859">
        <v>6</v>
      </c>
      <c r="G1859" t="s">
        <v>346</v>
      </c>
      <c r="I1859" t="s">
        <v>14</v>
      </c>
      <c r="J1859" t="s">
        <v>46</v>
      </c>
      <c r="K1859" t="s">
        <v>34</v>
      </c>
      <c r="L1859" s="6">
        <v>40</v>
      </c>
      <c r="M1859" s="6">
        <v>0</v>
      </c>
      <c r="N1859" s="6">
        <v>-40</v>
      </c>
      <c r="O1859" s="6">
        <v>42713.74</v>
      </c>
      <c r="P1859" s="7">
        <v>0.15</v>
      </c>
      <c r="Q1859" s="6">
        <v>5.22</v>
      </c>
    </row>
    <row r="1860" spans="1:17">
      <c r="A1860">
        <v>1859</v>
      </c>
      <c r="B1860" s="5">
        <v>45875</v>
      </c>
      <c r="C1860" t="s">
        <v>916</v>
      </c>
      <c r="D1860" t="s">
        <v>917</v>
      </c>
      <c r="E1860" t="s">
        <v>918</v>
      </c>
      <c r="F1860">
        <v>6</v>
      </c>
      <c r="G1860" t="s">
        <v>1184</v>
      </c>
      <c r="H1860" t="s">
        <v>1185</v>
      </c>
      <c r="I1860" t="s">
        <v>18</v>
      </c>
      <c r="J1860" t="s">
        <v>345</v>
      </c>
      <c r="K1860" t="s">
        <v>34</v>
      </c>
      <c r="L1860" s="6">
        <v>720.81</v>
      </c>
      <c r="M1860" s="6">
        <v>0</v>
      </c>
      <c r="N1860" s="6">
        <v>-720.81</v>
      </c>
      <c r="O1860" s="6">
        <v>41992.93</v>
      </c>
      <c r="P1860" s="7">
        <v>0</v>
      </c>
      <c r="Q1860" s="6">
        <v>0</v>
      </c>
    </row>
    <row r="1861" spans="1:17">
      <c r="A1861">
        <v>1860</v>
      </c>
      <c r="B1861" s="5">
        <v>45875</v>
      </c>
      <c r="C1861" t="s">
        <v>916</v>
      </c>
      <c r="D1861" t="s">
        <v>917</v>
      </c>
      <c r="E1861" t="s">
        <v>918</v>
      </c>
      <c r="F1861">
        <v>6</v>
      </c>
      <c r="G1861" t="s">
        <v>346</v>
      </c>
      <c r="I1861" t="s">
        <v>14</v>
      </c>
      <c r="J1861" t="s">
        <v>46</v>
      </c>
      <c r="K1861" t="s">
        <v>34</v>
      </c>
      <c r="L1861" s="6">
        <v>40</v>
      </c>
      <c r="M1861" s="6">
        <v>0</v>
      </c>
      <c r="N1861" s="6">
        <v>-40</v>
      </c>
      <c r="O1861" s="6">
        <v>41952.93</v>
      </c>
      <c r="P1861" s="7">
        <v>0.15</v>
      </c>
      <c r="Q1861" s="6">
        <v>5.22</v>
      </c>
    </row>
    <row r="1862" spans="1:17">
      <c r="A1862">
        <v>1861</v>
      </c>
      <c r="B1862" s="5">
        <v>45875</v>
      </c>
      <c r="C1862" t="s">
        <v>916</v>
      </c>
      <c r="D1862" t="s">
        <v>917</v>
      </c>
      <c r="E1862" t="s">
        <v>918</v>
      </c>
      <c r="F1862">
        <v>6</v>
      </c>
      <c r="G1862" t="s">
        <v>1186</v>
      </c>
      <c r="H1862" t="s">
        <v>66</v>
      </c>
      <c r="I1862" t="s">
        <v>22</v>
      </c>
      <c r="J1862" t="s">
        <v>67</v>
      </c>
      <c r="K1862" t="s">
        <v>34</v>
      </c>
      <c r="L1862" s="6">
        <v>3517</v>
      </c>
      <c r="M1862" s="6">
        <v>0</v>
      </c>
      <c r="N1862" s="6">
        <v>-3517</v>
      </c>
      <c r="O1862" s="6">
        <v>38435.93</v>
      </c>
      <c r="P1862" s="7">
        <v>0</v>
      </c>
      <c r="Q1862" s="6">
        <v>0</v>
      </c>
    </row>
    <row r="1863" spans="1:17">
      <c r="A1863">
        <v>1862</v>
      </c>
      <c r="B1863" s="5">
        <v>45875</v>
      </c>
      <c r="C1863" t="s">
        <v>916</v>
      </c>
      <c r="D1863" t="s">
        <v>917</v>
      </c>
      <c r="E1863" t="s">
        <v>918</v>
      </c>
      <c r="F1863">
        <v>6</v>
      </c>
      <c r="G1863" t="s">
        <v>1187</v>
      </c>
      <c r="H1863" t="s">
        <v>66</v>
      </c>
      <c r="I1863" t="s">
        <v>22</v>
      </c>
      <c r="J1863" t="s">
        <v>67</v>
      </c>
      <c r="K1863" t="s">
        <v>34</v>
      </c>
      <c r="L1863" s="6">
        <v>500</v>
      </c>
      <c r="M1863" s="6">
        <v>0</v>
      </c>
      <c r="N1863" s="6">
        <v>-500</v>
      </c>
      <c r="O1863" s="6">
        <v>37935.93</v>
      </c>
      <c r="P1863" s="7">
        <v>0</v>
      </c>
      <c r="Q1863" s="6">
        <v>0</v>
      </c>
    </row>
    <row r="1864" spans="1:17">
      <c r="A1864">
        <v>1863</v>
      </c>
      <c r="B1864" s="5">
        <v>45875</v>
      </c>
      <c r="C1864" t="s">
        <v>916</v>
      </c>
      <c r="D1864" t="s">
        <v>917</v>
      </c>
      <c r="E1864" t="s">
        <v>918</v>
      </c>
      <c r="F1864">
        <v>6</v>
      </c>
      <c r="G1864" t="s">
        <v>1188</v>
      </c>
      <c r="H1864" t="s">
        <v>929</v>
      </c>
      <c r="I1864" t="s">
        <v>22</v>
      </c>
      <c r="J1864" t="s">
        <v>67</v>
      </c>
      <c r="K1864" t="s">
        <v>34</v>
      </c>
      <c r="L1864" s="6">
        <v>178.83</v>
      </c>
      <c r="M1864" s="6">
        <v>0</v>
      </c>
      <c r="N1864" s="6">
        <v>-178.83</v>
      </c>
      <c r="O1864" s="6">
        <v>37757.1</v>
      </c>
      <c r="P1864" s="7">
        <v>0</v>
      </c>
      <c r="Q1864" s="6">
        <v>0</v>
      </c>
    </row>
    <row r="1865" spans="1:17">
      <c r="A1865">
        <v>1864</v>
      </c>
      <c r="B1865" s="5">
        <v>45875</v>
      </c>
      <c r="C1865" t="s">
        <v>916</v>
      </c>
      <c r="D1865" t="s">
        <v>917</v>
      </c>
      <c r="E1865" t="s">
        <v>918</v>
      </c>
      <c r="F1865">
        <v>6</v>
      </c>
      <c r="G1865" t="s">
        <v>1189</v>
      </c>
      <c r="I1865" t="s">
        <v>17</v>
      </c>
      <c r="J1865" t="s">
        <v>64</v>
      </c>
      <c r="K1865" t="s">
        <v>34</v>
      </c>
      <c r="L1865" s="6">
        <v>6000</v>
      </c>
      <c r="M1865" s="6">
        <v>0</v>
      </c>
      <c r="N1865" s="6">
        <v>-6000</v>
      </c>
      <c r="O1865" s="6">
        <v>31757.1</v>
      </c>
      <c r="P1865" s="7">
        <v>0</v>
      </c>
      <c r="Q1865" s="6">
        <v>0</v>
      </c>
    </row>
    <row r="1866" spans="1:17">
      <c r="A1866">
        <v>1865</v>
      </c>
      <c r="B1866" s="5">
        <v>45875</v>
      </c>
      <c r="C1866" t="s">
        <v>916</v>
      </c>
      <c r="D1866" t="s">
        <v>917</v>
      </c>
      <c r="E1866" t="s">
        <v>918</v>
      </c>
      <c r="F1866">
        <v>6</v>
      </c>
      <c r="G1866" t="s">
        <v>1190</v>
      </c>
      <c r="I1866" t="s">
        <v>17</v>
      </c>
      <c r="J1866" t="s">
        <v>64</v>
      </c>
      <c r="K1866" t="s">
        <v>34</v>
      </c>
      <c r="L1866" s="6">
        <v>3000</v>
      </c>
      <c r="M1866" s="6">
        <v>0</v>
      </c>
      <c r="N1866" s="6">
        <v>-3000</v>
      </c>
      <c r="O1866" s="6">
        <v>28757.1</v>
      </c>
      <c r="P1866" s="7">
        <v>0</v>
      </c>
      <c r="Q1866" s="6">
        <v>0</v>
      </c>
    </row>
    <row r="1867" spans="1:17">
      <c r="A1867">
        <v>1866</v>
      </c>
      <c r="B1867" s="5">
        <v>45875</v>
      </c>
      <c r="C1867" t="s">
        <v>916</v>
      </c>
      <c r="D1867" t="s">
        <v>917</v>
      </c>
      <c r="E1867" t="s">
        <v>918</v>
      </c>
      <c r="F1867">
        <v>6</v>
      </c>
      <c r="G1867" t="s">
        <v>1191</v>
      </c>
      <c r="H1867" t="s">
        <v>66</v>
      </c>
      <c r="I1867" t="s">
        <v>22</v>
      </c>
      <c r="J1867" t="s">
        <v>67</v>
      </c>
      <c r="K1867" t="s">
        <v>34</v>
      </c>
      <c r="L1867" s="6">
        <v>4</v>
      </c>
      <c r="M1867" s="6">
        <v>0</v>
      </c>
      <c r="N1867" s="6">
        <v>-4</v>
      </c>
      <c r="O1867" s="6">
        <v>28753.1</v>
      </c>
      <c r="P1867" s="7">
        <v>0</v>
      </c>
      <c r="Q1867" s="6">
        <v>0</v>
      </c>
    </row>
    <row r="1868" spans="1:17">
      <c r="A1868">
        <v>1867</v>
      </c>
      <c r="B1868" s="5">
        <v>45875</v>
      </c>
      <c r="C1868" t="s">
        <v>916</v>
      </c>
      <c r="D1868" t="s">
        <v>917</v>
      </c>
      <c r="E1868" t="s">
        <v>918</v>
      </c>
      <c r="F1868">
        <v>6</v>
      </c>
      <c r="G1868" t="s">
        <v>1192</v>
      </c>
      <c r="H1868" t="s">
        <v>66</v>
      </c>
      <c r="I1868" t="s">
        <v>22</v>
      </c>
      <c r="J1868" t="s">
        <v>67</v>
      </c>
      <c r="K1868" t="s">
        <v>34</v>
      </c>
      <c r="L1868" s="6">
        <v>6</v>
      </c>
      <c r="M1868" s="6">
        <v>0</v>
      </c>
      <c r="N1868" s="6">
        <v>-6</v>
      </c>
      <c r="O1868" s="6">
        <v>28747.1</v>
      </c>
      <c r="P1868" s="7">
        <v>0</v>
      </c>
      <c r="Q1868" s="6">
        <v>0</v>
      </c>
    </row>
    <row r="1869" spans="1:17">
      <c r="A1869">
        <v>1868</v>
      </c>
      <c r="B1869" s="5">
        <v>45875</v>
      </c>
      <c r="C1869" t="s">
        <v>916</v>
      </c>
      <c r="D1869" t="s">
        <v>917</v>
      </c>
      <c r="E1869" t="s">
        <v>918</v>
      </c>
      <c r="F1869">
        <v>6</v>
      </c>
      <c r="G1869" t="s">
        <v>1193</v>
      </c>
      <c r="H1869" t="s">
        <v>929</v>
      </c>
      <c r="I1869" t="s">
        <v>22</v>
      </c>
      <c r="J1869" t="s">
        <v>67</v>
      </c>
      <c r="K1869" t="s">
        <v>34</v>
      </c>
      <c r="L1869" s="6">
        <v>16.649999999999999</v>
      </c>
      <c r="M1869" s="6">
        <v>0</v>
      </c>
      <c r="N1869" s="6">
        <v>-16.649999999999999</v>
      </c>
      <c r="O1869" s="6">
        <v>28730.45</v>
      </c>
      <c r="P1869" s="7">
        <v>0</v>
      </c>
      <c r="Q1869" s="6">
        <v>0</v>
      </c>
    </row>
    <row r="1870" spans="1:17">
      <c r="A1870">
        <v>1869</v>
      </c>
      <c r="B1870" s="5">
        <v>45875</v>
      </c>
      <c r="C1870" t="s">
        <v>916</v>
      </c>
      <c r="D1870" t="s">
        <v>917</v>
      </c>
      <c r="E1870" t="s">
        <v>918</v>
      </c>
      <c r="F1870">
        <v>6</v>
      </c>
      <c r="G1870" t="s">
        <v>1194</v>
      </c>
      <c r="H1870" t="s">
        <v>66</v>
      </c>
      <c r="I1870" t="s">
        <v>22</v>
      </c>
      <c r="J1870" t="s">
        <v>67</v>
      </c>
      <c r="K1870" t="s">
        <v>34</v>
      </c>
      <c r="L1870" s="6">
        <v>50</v>
      </c>
      <c r="M1870" s="6">
        <v>0</v>
      </c>
      <c r="N1870" s="6">
        <v>-50</v>
      </c>
      <c r="O1870" s="6">
        <v>28680.45</v>
      </c>
      <c r="P1870" s="7">
        <v>0</v>
      </c>
      <c r="Q1870" s="6">
        <v>0</v>
      </c>
    </row>
    <row r="1871" spans="1:17">
      <c r="A1871">
        <v>1870</v>
      </c>
      <c r="B1871" s="5">
        <v>45875</v>
      </c>
      <c r="C1871" t="s">
        <v>916</v>
      </c>
      <c r="D1871" t="s">
        <v>917</v>
      </c>
      <c r="E1871" t="s">
        <v>918</v>
      </c>
      <c r="F1871">
        <v>6</v>
      </c>
      <c r="G1871" t="s">
        <v>1195</v>
      </c>
      <c r="H1871" t="s">
        <v>929</v>
      </c>
      <c r="I1871" t="s">
        <v>22</v>
      </c>
      <c r="J1871" t="s">
        <v>67</v>
      </c>
      <c r="K1871" t="s">
        <v>34</v>
      </c>
      <c r="L1871" s="6">
        <v>102.1</v>
      </c>
      <c r="M1871" s="6">
        <v>0</v>
      </c>
      <c r="N1871" s="6">
        <v>-102.1</v>
      </c>
      <c r="O1871" s="6">
        <v>28578.35</v>
      </c>
      <c r="P1871" s="7">
        <v>0</v>
      </c>
      <c r="Q1871" s="6">
        <v>0</v>
      </c>
    </row>
    <row r="1872" spans="1:17">
      <c r="A1872">
        <v>1871</v>
      </c>
      <c r="B1872" s="5">
        <v>45875</v>
      </c>
      <c r="C1872" t="s">
        <v>916</v>
      </c>
      <c r="D1872" t="s">
        <v>917</v>
      </c>
      <c r="E1872" t="s">
        <v>918</v>
      </c>
      <c r="F1872">
        <v>6</v>
      </c>
      <c r="G1872" t="s">
        <v>1196</v>
      </c>
      <c r="H1872" t="s">
        <v>66</v>
      </c>
      <c r="I1872" t="s">
        <v>22</v>
      </c>
      <c r="J1872" t="s">
        <v>67</v>
      </c>
      <c r="K1872" t="s">
        <v>34</v>
      </c>
      <c r="L1872" s="6">
        <v>103</v>
      </c>
      <c r="M1872" s="6">
        <v>0</v>
      </c>
      <c r="N1872" s="6">
        <v>-103</v>
      </c>
      <c r="O1872" s="6">
        <v>28475.35</v>
      </c>
      <c r="P1872" s="7">
        <v>0</v>
      </c>
      <c r="Q1872" s="6">
        <v>0</v>
      </c>
    </row>
    <row r="1873" spans="1:17">
      <c r="A1873">
        <v>1872</v>
      </c>
      <c r="B1873" s="5">
        <v>45875</v>
      </c>
      <c r="C1873" t="s">
        <v>916</v>
      </c>
      <c r="D1873" t="s">
        <v>917</v>
      </c>
      <c r="E1873" t="s">
        <v>918</v>
      </c>
      <c r="F1873">
        <v>6</v>
      </c>
      <c r="G1873" t="s">
        <v>1197</v>
      </c>
      <c r="H1873" t="s">
        <v>929</v>
      </c>
      <c r="I1873" t="s">
        <v>22</v>
      </c>
      <c r="J1873" t="s">
        <v>67</v>
      </c>
      <c r="K1873" t="s">
        <v>34</v>
      </c>
      <c r="L1873" s="6">
        <v>162.05000000000001</v>
      </c>
      <c r="M1873" s="6">
        <v>0</v>
      </c>
      <c r="N1873" s="6">
        <v>-162.05000000000001</v>
      </c>
      <c r="O1873" s="6">
        <v>28313.3</v>
      </c>
      <c r="P1873" s="7">
        <v>0</v>
      </c>
      <c r="Q1873" s="6">
        <v>0</v>
      </c>
    </row>
    <row r="1874" spans="1:17">
      <c r="A1874">
        <v>1873</v>
      </c>
      <c r="B1874" s="5">
        <v>45875</v>
      </c>
      <c r="C1874" t="s">
        <v>916</v>
      </c>
      <c r="D1874" t="s">
        <v>917</v>
      </c>
      <c r="E1874" t="s">
        <v>918</v>
      </c>
      <c r="F1874">
        <v>6</v>
      </c>
      <c r="G1874" t="s">
        <v>1198</v>
      </c>
      <c r="H1874" t="s">
        <v>929</v>
      </c>
      <c r="I1874" t="s">
        <v>22</v>
      </c>
      <c r="J1874" t="s">
        <v>67</v>
      </c>
      <c r="K1874" t="s">
        <v>34</v>
      </c>
      <c r="L1874" s="6">
        <v>200</v>
      </c>
      <c r="M1874" s="6">
        <v>0</v>
      </c>
      <c r="N1874" s="6">
        <v>-200</v>
      </c>
      <c r="O1874" s="6">
        <v>28113.3</v>
      </c>
      <c r="P1874" s="7">
        <v>0</v>
      </c>
      <c r="Q1874" s="6">
        <v>0</v>
      </c>
    </row>
    <row r="1875" spans="1:17">
      <c r="A1875">
        <v>1874</v>
      </c>
      <c r="B1875" s="5">
        <v>45875</v>
      </c>
      <c r="C1875" t="s">
        <v>916</v>
      </c>
      <c r="D1875" t="s">
        <v>917</v>
      </c>
      <c r="E1875" t="s">
        <v>918</v>
      </c>
      <c r="F1875">
        <v>6</v>
      </c>
      <c r="G1875" t="s">
        <v>1199</v>
      </c>
      <c r="H1875" t="s">
        <v>929</v>
      </c>
      <c r="I1875" t="s">
        <v>22</v>
      </c>
      <c r="J1875" t="s">
        <v>67</v>
      </c>
      <c r="K1875" t="s">
        <v>34</v>
      </c>
      <c r="L1875" s="6">
        <v>300</v>
      </c>
      <c r="M1875" s="6">
        <v>0</v>
      </c>
      <c r="N1875" s="6">
        <v>-300</v>
      </c>
      <c r="O1875" s="6">
        <v>27813.3</v>
      </c>
      <c r="P1875" s="7">
        <v>0</v>
      </c>
      <c r="Q1875" s="6">
        <v>0</v>
      </c>
    </row>
    <row r="1876" spans="1:17">
      <c r="A1876">
        <v>1875</v>
      </c>
      <c r="B1876" s="5">
        <v>45875</v>
      </c>
      <c r="C1876" t="s">
        <v>916</v>
      </c>
      <c r="D1876" t="s">
        <v>917</v>
      </c>
      <c r="E1876" t="s">
        <v>918</v>
      </c>
      <c r="F1876">
        <v>6</v>
      </c>
      <c r="G1876" t="s">
        <v>1200</v>
      </c>
      <c r="H1876" t="s">
        <v>929</v>
      </c>
      <c r="I1876" t="s">
        <v>22</v>
      </c>
      <c r="J1876" t="s">
        <v>67</v>
      </c>
      <c r="K1876" t="s">
        <v>34</v>
      </c>
      <c r="L1876" s="6">
        <v>1069</v>
      </c>
      <c r="M1876" s="6">
        <v>0</v>
      </c>
      <c r="N1876" s="6">
        <v>-1069</v>
      </c>
      <c r="O1876" s="6">
        <v>26744.3</v>
      </c>
      <c r="P1876" s="7">
        <v>0</v>
      </c>
      <c r="Q1876" s="6">
        <v>0</v>
      </c>
    </row>
    <row r="1877" spans="1:17">
      <c r="A1877">
        <v>1876</v>
      </c>
      <c r="B1877" s="5">
        <v>45875</v>
      </c>
      <c r="C1877" t="s">
        <v>916</v>
      </c>
      <c r="D1877" t="s">
        <v>917</v>
      </c>
      <c r="E1877" t="s">
        <v>918</v>
      </c>
      <c r="F1877">
        <v>6</v>
      </c>
      <c r="G1877" t="s">
        <v>1002</v>
      </c>
      <c r="H1877" t="s">
        <v>1003</v>
      </c>
      <c r="I1877" t="s">
        <v>16</v>
      </c>
      <c r="J1877" t="s">
        <v>52</v>
      </c>
      <c r="K1877" t="s">
        <v>35</v>
      </c>
      <c r="L1877" s="6">
        <v>0</v>
      </c>
      <c r="M1877" s="6">
        <v>20</v>
      </c>
      <c r="N1877" s="6">
        <v>20</v>
      </c>
      <c r="O1877" s="6">
        <v>26764.3</v>
      </c>
      <c r="P1877" s="7">
        <v>0</v>
      </c>
      <c r="Q1877" s="6">
        <v>0</v>
      </c>
    </row>
    <row r="1878" spans="1:17">
      <c r="A1878">
        <v>1877</v>
      </c>
      <c r="B1878" s="5">
        <v>45875</v>
      </c>
      <c r="C1878" t="s">
        <v>916</v>
      </c>
      <c r="D1878" t="s">
        <v>917</v>
      </c>
      <c r="E1878" t="s">
        <v>918</v>
      </c>
      <c r="F1878">
        <v>6</v>
      </c>
      <c r="G1878" t="s">
        <v>1002</v>
      </c>
      <c r="H1878" t="s">
        <v>1003</v>
      </c>
      <c r="I1878" t="s">
        <v>16</v>
      </c>
      <c r="J1878" t="s">
        <v>52</v>
      </c>
      <c r="K1878" t="s">
        <v>35</v>
      </c>
      <c r="L1878" s="6">
        <v>0</v>
      </c>
      <c r="M1878" s="6">
        <v>63</v>
      </c>
      <c r="N1878" s="6">
        <v>63</v>
      </c>
      <c r="O1878" s="6">
        <v>26827.3</v>
      </c>
      <c r="P1878" s="7">
        <v>0</v>
      </c>
      <c r="Q1878" s="6">
        <v>0</v>
      </c>
    </row>
    <row r="1879" spans="1:17">
      <c r="A1879">
        <v>1878</v>
      </c>
      <c r="B1879" s="5">
        <v>45875</v>
      </c>
      <c r="C1879" t="s">
        <v>916</v>
      </c>
      <c r="D1879" t="s">
        <v>917</v>
      </c>
      <c r="E1879" t="s">
        <v>918</v>
      </c>
      <c r="F1879">
        <v>6</v>
      </c>
      <c r="G1879" t="s">
        <v>1201</v>
      </c>
      <c r="H1879" t="s">
        <v>1202</v>
      </c>
      <c r="I1879" t="s">
        <v>16</v>
      </c>
      <c r="J1879" t="s">
        <v>52</v>
      </c>
      <c r="K1879" t="s">
        <v>35</v>
      </c>
      <c r="L1879" s="6">
        <v>0</v>
      </c>
      <c r="M1879" s="6">
        <v>100</v>
      </c>
      <c r="N1879" s="6">
        <v>100</v>
      </c>
      <c r="O1879" s="6">
        <v>26927.3</v>
      </c>
      <c r="P1879" s="7">
        <v>0</v>
      </c>
      <c r="Q1879" s="6">
        <v>0</v>
      </c>
    </row>
    <row r="1880" spans="1:17">
      <c r="A1880">
        <v>1879</v>
      </c>
      <c r="B1880" s="5">
        <v>45875</v>
      </c>
      <c r="C1880" t="s">
        <v>916</v>
      </c>
      <c r="D1880" t="s">
        <v>917</v>
      </c>
      <c r="E1880" t="s">
        <v>918</v>
      </c>
      <c r="F1880">
        <v>6</v>
      </c>
      <c r="G1880" t="s">
        <v>1099</v>
      </c>
      <c r="H1880" t="s">
        <v>1100</v>
      </c>
      <c r="I1880" t="s">
        <v>16</v>
      </c>
      <c r="J1880" t="s">
        <v>52</v>
      </c>
      <c r="K1880" t="s">
        <v>35</v>
      </c>
      <c r="L1880" s="6">
        <v>0</v>
      </c>
      <c r="M1880" s="6">
        <v>100</v>
      </c>
      <c r="N1880" s="6">
        <v>100</v>
      </c>
      <c r="O1880" s="6">
        <v>27027.3</v>
      </c>
      <c r="P1880" s="7">
        <v>0</v>
      </c>
      <c r="Q1880" s="6">
        <v>0</v>
      </c>
    </row>
    <row r="1881" spans="1:17">
      <c r="A1881">
        <v>1880</v>
      </c>
      <c r="B1881" s="5">
        <v>45875</v>
      </c>
      <c r="C1881" t="s">
        <v>916</v>
      </c>
      <c r="D1881" t="s">
        <v>917</v>
      </c>
      <c r="E1881" t="s">
        <v>918</v>
      </c>
      <c r="F1881">
        <v>6</v>
      </c>
      <c r="G1881" t="s">
        <v>1201</v>
      </c>
      <c r="H1881" t="s">
        <v>1202</v>
      </c>
      <c r="I1881" t="s">
        <v>16</v>
      </c>
      <c r="J1881" t="s">
        <v>52</v>
      </c>
      <c r="K1881" t="s">
        <v>35</v>
      </c>
      <c r="L1881" s="6">
        <v>0</v>
      </c>
      <c r="M1881" s="6">
        <v>150</v>
      </c>
      <c r="N1881" s="6">
        <v>150</v>
      </c>
      <c r="O1881" s="6">
        <v>27177.3</v>
      </c>
      <c r="P1881" s="7">
        <v>0</v>
      </c>
      <c r="Q1881" s="6">
        <v>0</v>
      </c>
    </row>
    <row r="1882" spans="1:17">
      <c r="A1882">
        <v>1881</v>
      </c>
      <c r="B1882" s="5">
        <v>45875</v>
      </c>
      <c r="C1882" t="s">
        <v>916</v>
      </c>
      <c r="D1882" t="s">
        <v>917</v>
      </c>
      <c r="E1882" t="s">
        <v>918</v>
      </c>
      <c r="F1882">
        <v>6</v>
      </c>
      <c r="G1882" t="s">
        <v>1012</v>
      </c>
      <c r="H1882" t="s">
        <v>1013</v>
      </c>
      <c r="I1882" t="s">
        <v>16</v>
      </c>
      <c r="J1882" t="s">
        <v>52</v>
      </c>
      <c r="K1882" t="s">
        <v>35</v>
      </c>
      <c r="L1882" s="6">
        <v>0</v>
      </c>
      <c r="M1882" s="6">
        <v>200</v>
      </c>
      <c r="N1882" s="6">
        <v>200</v>
      </c>
      <c r="O1882" s="6">
        <v>27377.3</v>
      </c>
      <c r="P1882" s="7">
        <v>0</v>
      </c>
      <c r="Q1882" s="6">
        <v>0</v>
      </c>
    </row>
    <row r="1883" spans="1:17">
      <c r="A1883">
        <v>1882</v>
      </c>
      <c r="B1883" s="5">
        <v>45875</v>
      </c>
      <c r="C1883" t="s">
        <v>916</v>
      </c>
      <c r="D1883" t="s">
        <v>917</v>
      </c>
      <c r="E1883" t="s">
        <v>918</v>
      </c>
      <c r="F1883">
        <v>6</v>
      </c>
      <c r="G1883" t="s">
        <v>1203</v>
      </c>
      <c r="H1883" t="s">
        <v>1204</v>
      </c>
      <c r="I1883" t="s">
        <v>16</v>
      </c>
      <c r="J1883" t="s">
        <v>52</v>
      </c>
      <c r="K1883" t="s">
        <v>35</v>
      </c>
      <c r="L1883" s="6">
        <v>0</v>
      </c>
      <c r="M1883" s="6">
        <v>500</v>
      </c>
      <c r="N1883" s="6">
        <v>500</v>
      </c>
      <c r="O1883" s="6">
        <v>27877.3</v>
      </c>
      <c r="P1883" s="7">
        <v>0</v>
      </c>
      <c r="Q1883" s="6">
        <v>0</v>
      </c>
    </row>
    <row r="1884" spans="1:17">
      <c r="A1884">
        <v>1883</v>
      </c>
      <c r="B1884" s="5">
        <v>45875</v>
      </c>
      <c r="C1884" t="s">
        <v>916</v>
      </c>
      <c r="D1884" t="s">
        <v>917</v>
      </c>
      <c r="E1884" t="s">
        <v>918</v>
      </c>
      <c r="F1884">
        <v>6</v>
      </c>
      <c r="G1884" t="s">
        <v>1014</v>
      </c>
      <c r="H1884" t="s">
        <v>1015</v>
      </c>
      <c r="I1884" t="s">
        <v>16</v>
      </c>
      <c r="J1884" t="s">
        <v>52</v>
      </c>
      <c r="K1884" t="s">
        <v>35</v>
      </c>
      <c r="L1884" s="6">
        <v>0</v>
      </c>
      <c r="M1884" s="6">
        <v>717</v>
      </c>
      <c r="N1884" s="6">
        <v>717</v>
      </c>
      <c r="O1884" s="6">
        <v>28594.3</v>
      </c>
      <c r="P1884" s="7">
        <v>0</v>
      </c>
      <c r="Q1884" s="6">
        <v>0</v>
      </c>
    </row>
    <row r="1885" spans="1:17">
      <c r="A1885">
        <v>1884</v>
      </c>
      <c r="B1885" s="5">
        <v>45875</v>
      </c>
      <c r="C1885" t="s">
        <v>916</v>
      </c>
      <c r="D1885" t="s">
        <v>917</v>
      </c>
      <c r="E1885" t="s">
        <v>918</v>
      </c>
      <c r="F1885">
        <v>6</v>
      </c>
      <c r="G1885" t="s">
        <v>1147</v>
      </c>
      <c r="H1885" t="s">
        <v>1148</v>
      </c>
      <c r="I1885" t="s">
        <v>16</v>
      </c>
      <c r="J1885" t="s">
        <v>52</v>
      </c>
      <c r="K1885" t="s">
        <v>35</v>
      </c>
      <c r="L1885" s="6">
        <v>0</v>
      </c>
      <c r="M1885" s="6">
        <v>800</v>
      </c>
      <c r="N1885" s="6">
        <v>800</v>
      </c>
      <c r="O1885" s="6">
        <v>29394.3</v>
      </c>
      <c r="P1885" s="7">
        <v>0</v>
      </c>
      <c r="Q1885" s="6">
        <v>0</v>
      </c>
    </row>
    <row r="1886" spans="1:17">
      <c r="A1886">
        <v>1885</v>
      </c>
      <c r="B1886" s="5">
        <v>45875</v>
      </c>
      <c r="C1886" t="s">
        <v>916</v>
      </c>
      <c r="D1886" t="s">
        <v>917</v>
      </c>
      <c r="E1886" t="s">
        <v>918</v>
      </c>
      <c r="F1886">
        <v>6</v>
      </c>
      <c r="G1886" t="s">
        <v>1205</v>
      </c>
      <c r="H1886" t="s">
        <v>1206</v>
      </c>
      <c r="I1886" t="s">
        <v>16</v>
      </c>
      <c r="J1886" t="s">
        <v>52</v>
      </c>
      <c r="K1886" t="s">
        <v>35</v>
      </c>
      <c r="L1886" s="6">
        <v>0</v>
      </c>
      <c r="M1886" s="6">
        <v>1000</v>
      </c>
      <c r="N1886" s="6">
        <v>1000</v>
      </c>
      <c r="O1886" s="6">
        <v>30394.3</v>
      </c>
      <c r="P1886" s="7">
        <v>0</v>
      </c>
      <c r="Q1886" s="6">
        <v>0</v>
      </c>
    </row>
    <row r="1887" spans="1:17">
      <c r="A1887">
        <v>1886</v>
      </c>
      <c r="B1887" s="5">
        <v>45875</v>
      </c>
      <c r="C1887" t="s">
        <v>916</v>
      </c>
      <c r="D1887" t="s">
        <v>917</v>
      </c>
      <c r="E1887" t="s">
        <v>918</v>
      </c>
      <c r="F1887">
        <v>6</v>
      </c>
      <c r="G1887" t="s">
        <v>1147</v>
      </c>
      <c r="H1887" t="s">
        <v>1148</v>
      </c>
      <c r="I1887" t="s">
        <v>16</v>
      </c>
      <c r="J1887" t="s">
        <v>52</v>
      </c>
      <c r="K1887" t="s">
        <v>35</v>
      </c>
      <c r="L1887" s="6">
        <v>0</v>
      </c>
      <c r="M1887" s="6">
        <v>1000</v>
      </c>
      <c r="N1887" s="6">
        <v>1000</v>
      </c>
      <c r="O1887" s="6">
        <v>31394.3</v>
      </c>
      <c r="P1887" s="7">
        <v>0</v>
      </c>
      <c r="Q1887" s="6">
        <v>0</v>
      </c>
    </row>
    <row r="1888" spans="1:17">
      <c r="A1888">
        <v>1887</v>
      </c>
      <c r="B1888" s="5">
        <v>45875</v>
      </c>
      <c r="C1888" t="s">
        <v>916</v>
      </c>
      <c r="D1888" t="s">
        <v>917</v>
      </c>
      <c r="E1888" t="s">
        <v>918</v>
      </c>
      <c r="F1888">
        <v>6</v>
      </c>
      <c r="G1888" t="s">
        <v>1018</v>
      </c>
      <c r="H1888" t="s">
        <v>1019</v>
      </c>
      <c r="I1888" t="s">
        <v>16</v>
      </c>
      <c r="J1888" t="s">
        <v>52</v>
      </c>
      <c r="K1888" t="s">
        <v>35</v>
      </c>
      <c r="L1888" s="6">
        <v>0</v>
      </c>
      <c r="M1888" s="6">
        <v>1000</v>
      </c>
      <c r="N1888" s="6">
        <v>1000</v>
      </c>
      <c r="O1888" s="6">
        <v>32394.3</v>
      </c>
      <c r="P1888" s="7">
        <v>0</v>
      </c>
      <c r="Q1888" s="6">
        <v>0</v>
      </c>
    </row>
    <row r="1889" spans="1:17">
      <c r="A1889">
        <v>1888</v>
      </c>
      <c r="B1889" s="5">
        <v>45875</v>
      </c>
      <c r="C1889" t="s">
        <v>916</v>
      </c>
      <c r="D1889" t="s">
        <v>917</v>
      </c>
      <c r="E1889" t="s">
        <v>918</v>
      </c>
      <c r="F1889">
        <v>6</v>
      </c>
      <c r="G1889" t="s">
        <v>1207</v>
      </c>
      <c r="H1889" t="s">
        <v>1208</v>
      </c>
      <c r="I1889" t="s">
        <v>16</v>
      </c>
      <c r="J1889" t="s">
        <v>52</v>
      </c>
      <c r="K1889" t="s">
        <v>35</v>
      </c>
      <c r="L1889" s="6">
        <v>0</v>
      </c>
      <c r="M1889" s="6">
        <v>1500</v>
      </c>
      <c r="N1889" s="6">
        <v>1500</v>
      </c>
      <c r="O1889" s="6">
        <v>33894.300000000003</v>
      </c>
      <c r="P1889" s="7">
        <v>0</v>
      </c>
      <c r="Q1889" s="6">
        <v>0</v>
      </c>
    </row>
    <row r="1890" spans="1:17">
      <c r="A1890">
        <v>1889</v>
      </c>
      <c r="B1890" s="5">
        <v>45875</v>
      </c>
      <c r="C1890" t="s">
        <v>916</v>
      </c>
      <c r="D1890" t="s">
        <v>917</v>
      </c>
      <c r="E1890" t="s">
        <v>918</v>
      </c>
      <c r="F1890">
        <v>6</v>
      </c>
      <c r="G1890" t="s">
        <v>1207</v>
      </c>
      <c r="H1890" t="s">
        <v>1208</v>
      </c>
      <c r="I1890" t="s">
        <v>16</v>
      </c>
      <c r="J1890" t="s">
        <v>52</v>
      </c>
      <c r="K1890" t="s">
        <v>35</v>
      </c>
      <c r="L1890" s="6">
        <v>0</v>
      </c>
      <c r="M1890" s="6">
        <v>1500</v>
      </c>
      <c r="N1890" s="6">
        <v>1500</v>
      </c>
      <c r="O1890" s="6">
        <v>35394.300000000003</v>
      </c>
      <c r="P1890" s="7">
        <v>0</v>
      </c>
      <c r="Q1890" s="6">
        <v>0</v>
      </c>
    </row>
    <row r="1891" spans="1:17">
      <c r="A1891">
        <v>1890</v>
      </c>
      <c r="B1891" s="5">
        <v>45875</v>
      </c>
      <c r="C1891" t="s">
        <v>916</v>
      </c>
      <c r="D1891" t="s">
        <v>917</v>
      </c>
      <c r="E1891" t="s">
        <v>918</v>
      </c>
      <c r="F1891">
        <v>6</v>
      </c>
      <c r="G1891" t="s">
        <v>1014</v>
      </c>
      <c r="H1891" t="s">
        <v>1015</v>
      </c>
      <c r="I1891" t="s">
        <v>16</v>
      </c>
      <c r="J1891" t="s">
        <v>52</v>
      </c>
      <c r="K1891" t="s">
        <v>35</v>
      </c>
      <c r="L1891" s="6">
        <v>0</v>
      </c>
      <c r="M1891" s="6">
        <v>1792</v>
      </c>
      <c r="N1891" s="6">
        <v>1792</v>
      </c>
      <c r="O1891" s="6">
        <v>37186.300000000003</v>
      </c>
      <c r="P1891" s="7">
        <v>0</v>
      </c>
      <c r="Q1891" s="6">
        <v>0</v>
      </c>
    </row>
    <row r="1892" spans="1:17">
      <c r="A1892">
        <v>1891</v>
      </c>
      <c r="B1892" s="5">
        <v>45875</v>
      </c>
      <c r="C1892" t="s">
        <v>916</v>
      </c>
      <c r="D1892" t="s">
        <v>917</v>
      </c>
      <c r="E1892" t="s">
        <v>918</v>
      </c>
      <c r="F1892">
        <v>6</v>
      </c>
      <c r="G1892" t="s">
        <v>1022</v>
      </c>
      <c r="H1892" t="s">
        <v>1023</v>
      </c>
      <c r="I1892" t="s">
        <v>16</v>
      </c>
      <c r="J1892" t="s">
        <v>52</v>
      </c>
      <c r="K1892" t="s">
        <v>35</v>
      </c>
      <c r="L1892" s="6">
        <v>0</v>
      </c>
      <c r="M1892" s="6">
        <v>1800</v>
      </c>
      <c r="N1892" s="6">
        <v>1800</v>
      </c>
      <c r="O1892" s="6">
        <v>38986.300000000003</v>
      </c>
      <c r="P1892" s="7">
        <v>0</v>
      </c>
      <c r="Q1892" s="6">
        <v>0</v>
      </c>
    </row>
    <row r="1893" spans="1:17">
      <c r="A1893">
        <v>1892</v>
      </c>
      <c r="B1893" s="5">
        <v>45875</v>
      </c>
      <c r="C1893" t="s">
        <v>916</v>
      </c>
      <c r="D1893" t="s">
        <v>917</v>
      </c>
      <c r="E1893" t="s">
        <v>918</v>
      </c>
      <c r="F1893">
        <v>6</v>
      </c>
      <c r="G1893" t="s">
        <v>1209</v>
      </c>
      <c r="H1893" t="s">
        <v>1210</v>
      </c>
      <c r="I1893" t="s">
        <v>16</v>
      </c>
      <c r="J1893" t="s">
        <v>52</v>
      </c>
      <c r="K1893" t="s">
        <v>35</v>
      </c>
      <c r="L1893" s="6">
        <v>0</v>
      </c>
      <c r="M1893" s="6">
        <v>2000</v>
      </c>
      <c r="N1893" s="6">
        <v>2000</v>
      </c>
      <c r="O1893" s="6">
        <v>40986.300000000003</v>
      </c>
      <c r="P1893" s="7">
        <v>0</v>
      </c>
      <c r="Q1893" s="6">
        <v>0</v>
      </c>
    </row>
    <row r="1894" spans="1:17">
      <c r="A1894">
        <v>1893</v>
      </c>
      <c r="B1894" s="5">
        <v>45875</v>
      </c>
      <c r="C1894" t="s">
        <v>916</v>
      </c>
      <c r="D1894" t="s">
        <v>917</v>
      </c>
      <c r="E1894" t="s">
        <v>918</v>
      </c>
      <c r="F1894">
        <v>6</v>
      </c>
      <c r="G1894" t="s">
        <v>1207</v>
      </c>
      <c r="H1894" t="s">
        <v>1208</v>
      </c>
      <c r="I1894" t="s">
        <v>16</v>
      </c>
      <c r="J1894" t="s">
        <v>52</v>
      </c>
      <c r="K1894" t="s">
        <v>35</v>
      </c>
      <c r="L1894" s="6">
        <v>0</v>
      </c>
      <c r="M1894" s="6">
        <v>7000</v>
      </c>
      <c r="N1894" s="6">
        <v>7000</v>
      </c>
      <c r="O1894" s="6">
        <v>47986.3</v>
      </c>
      <c r="P1894" s="7">
        <v>0</v>
      </c>
      <c r="Q1894" s="6">
        <v>0</v>
      </c>
    </row>
    <row r="1895" spans="1:17">
      <c r="A1895">
        <v>1894</v>
      </c>
      <c r="B1895" s="5">
        <v>45875</v>
      </c>
      <c r="C1895" t="s">
        <v>916</v>
      </c>
      <c r="D1895" t="s">
        <v>917</v>
      </c>
      <c r="E1895" t="s">
        <v>918</v>
      </c>
      <c r="F1895">
        <v>6</v>
      </c>
      <c r="G1895" t="s">
        <v>1211</v>
      </c>
      <c r="I1895" t="s">
        <v>16</v>
      </c>
      <c r="J1895" t="s">
        <v>52</v>
      </c>
      <c r="K1895" t="s">
        <v>35</v>
      </c>
      <c r="L1895" s="6">
        <v>0</v>
      </c>
      <c r="M1895" s="6">
        <v>14480</v>
      </c>
      <c r="N1895" s="6">
        <v>14480</v>
      </c>
      <c r="O1895" s="6">
        <v>62466.3</v>
      </c>
      <c r="P1895" s="7">
        <v>0</v>
      </c>
      <c r="Q1895" s="6">
        <v>0</v>
      </c>
    </row>
    <row r="1896" spans="1:17">
      <c r="A1896">
        <v>1895</v>
      </c>
      <c r="B1896" s="5">
        <v>45876</v>
      </c>
      <c r="C1896" t="s">
        <v>916</v>
      </c>
      <c r="D1896" t="s">
        <v>917</v>
      </c>
      <c r="E1896" t="s">
        <v>918</v>
      </c>
      <c r="F1896">
        <v>6</v>
      </c>
      <c r="G1896" t="s">
        <v>1212</v>
      </c>
      <c r="H1896" t="s">
        <v>929</v>
      </c>
      <c r="I1896" t="s">
        <v>22</v>
      </c>
      <c r="J1896" t="s">
        <v>67</v>
      </c>
      <c r="K1896" t="s">
        <v>34</v>
      </c>
      <c r="L1896" s="6">
        <v>20000</v>
      </c>
      <c r="M1896" s="6">
        <v>0</v>
      </c>
      <c r="N1896" s="6">
        <v>-20000</v>
      </c>
      <c r="O1896" s="6">
        <v>42466.3</v>
      </c>
      <c r="P1896" s="7">
        <v>0</v>
      </c>
      <c r="Q1896" s="6">
        <v>0</v>
      </c>
    </row>
    <row r="1897" spans="1:17">
      <c r="A1897">
        <v>1896</v>
      </c>
      <c r="B1897" s="5">
        <v>45876</v>
      </c>
      <c r="C1897" t="s">
        <v>916</v>
      </c>
      <c r="D1897" t="s">
        <v>917</v>
      </c>
      <c r="E1897" t="s">
        <v>918</v>
      </c>
      <c r="F1897">
        <v>6</v>
      </c>
      <c r="G1897" t="s">
        <v>1059</v>
      </c>
      <c r="H1897" t="s">
        <v>1060</v>
      </c>
      <c r="I1897" t="s">
        <v>16</v>
      </c>
      <c r="J1897" t="s">
        <v>52</v>
      </c>
      <c r="K1897" t="s">
        <v>35</v>
      </c>
      <c r="L1897" s="6">
        <v>0</v>
      </c>
      <c r="M1897" s="6">
        <v>1000</v>
      </c>
      <c r="N1897" s="6">
        <v>1000</v>
      </c>
      <c r="O1897" s="6">
        <v>43466.3</v>
      </c>
      <c r="P1897" s="7">
        <v>0</v>
      </c>
      <c r="Q1897" s="6">
        <v>0</v>
      </c>
    </row>
    <row r="1898" spans="1:17">
      <c r="A1898">
        <v>1897</v>
      </c>
      <c r="B1898" s="5">
        <v>45876</v>
      </c>
      <c r="C1898" t="s">
        <v>916</v>
      </c>
      <c r="D1898" t="s">
        <v>917</v>
      </c>
      <c r="E1898" t="s">
        <v>918</v>
      </c>
      <c r="F1898">
        <v>6</v>
      </c>
      <c r="G1898" t="s">
        <v>1053</v>
      </c>
      <c r="H1898" t="s">
        <v>1054</v>
      </c>
      <c r="I1898" t="s">
        <v>16</v>
      </c>
      <c r="J1898" t="s">
        <v>52</v>
      </c>
      <c r="K1898" t="s">
        <v>35</v>
      </c>
      <c r="L1898" s="6">
        <v>0</v>
      </c>
      <c r="M1898" s="6">
        <v>150</v>
      </c>
      <c r="N1898" s="6">
        <v>150</v>
      </c>
      <c r="O1898" s="6">
        <v>43616.3</v>
      </c>
      <c r="P1898" s="7">
        <v>0</v>
      </c>
      <c r="Q1898" s="6">
        <v>0</v>
      </c>
    </row>
    <row r="1899" spans="1:17">
      <c r="A1899">
        <v>1898</v>
      </c>
      <c r="B1899" s="5">
        <v>45876</v>
      </c>
      <c r="C1899" t="s">
        <v>916</v>
      </c>
      <c r="D1899" t="s">
        <v>917</v>
      </c>
      <c r="E1899" t="s">
        <v>918</v>
      </c>
      <c r="F1899">
        <v>6</v>
      </c>
      <c r="G1899" t="s">
        <v>1213</v>
      </c>
      <c r="H1899" t="s">
        <v>66</v>
      </c>
      <c r="I1899" t="s">
        <v>22</v>
      </c>
      <c r="J1899" t="s">
        <v>67</v>
      </c>
      <c r="K1899" t="s">
        <v>34</v>
      </c>
      <c r="L1899" s="6">
        <v>503.5</v>
      </c>
      <c r="M1899" s="6">
        <v>0</v>
      </c>
      <c r="N1899" s="6">
        <v>-503.5</v>
      </c>
      <c r="O1899" s="6">
        <v>43112.800000000003</v>
      </c>
      <c r="P1899" s="7">
        <v>0</v>
      </c>
      <c r="Q1899" s="6">
        <v>0</v>
      </c>
    </row>
    <row r="1900" spans="1:17">
      <c r="A1900">
        <v>1899</v>
      </c>
      <c r="B1900" s="5">
        <v>45876</v>
      </c>
      <c r="C1900" t="s">
        <v>916</v>
      </c>
      <c r="D1900" t="s">
        <v>917</v>
      </c>
      <c r="E1900" t="s">
        <v>918</v>
      </c>
      <c r="F1900">
        <v>6</v>
      </c>
      <c r="G1900" t="s">
        <v>1214</v>
      </c>
      <c r="H1900" t="s">
        <v>66</v>
      </c>
      <c r="I1900" t="s">
        <v>22</v>
      </c>
      <c r="J1900" t="s">
        <v>67</v>
      </c>
      <c r="K1900" t="s">
        <v>34</v>
      </c>
      <c r="L1900" s="6">
        <v>3300</v>
      </c>
      <c r="M1900" s="6">
        <v>0</v>
      </c>
      <c r="N1900" s="6">
        <v>-3300</v>
      </c>
      <c r="O1900" s="6">
        <v>39812.800000000003</v>
      </c>
      <c r="P1900" s="7">
        <v>0</v>
      </c>
      <c r="Q1900" s="6">
        <v>0</v>
      </c>
    </row>
    <row r="1901" spans="1:17">
      <c r="A1901">
        <v>1900</v>
      </c>
      <c r="B1901" s="5">
        <v>45876</v>
      </c>
      <c r="C1901" t="s">
        <v>916</v>
      </c>
      <c r="D1901" t="s">
        <v>917</v>
      </c>
      <c r="E1901" t="s">
        <v>918</v>
      </c>
      <c r="F1901">
        <v>6</v>
      </c>
      <c r="G1901" t="s">
        <v>1215</v>
      </c>
      <c r="H1901" t="s">
        <v>929</v>
      </c>
      <c r="I1901" t="s">
        <v>22</v>
      </c>
      <c r="J1901" t="s">
        <v>67</v>
      </c>
      <c r="K1901" t="s">
        <v>34</v>
      </c>
      <c r="L1901" s="6">
        <v>1022</v>
      </c>
      <c r="M1901" s="6">
        <v>0</v>
      </c>
      <c r="N1901" s="6">
        <v>-1022</v>
      </c>
      <c r="O1901" s="6">
        <v>38790.800000000003</v>
      </c>
      <c r="P1901" s="7">
        <v>0</v>
      </c>
      <c r="Q1901" s="6">
        <v>0</v>
      </c>
    </row>
    <row r="1902" spans="1:17">
      <c r="A1902">
        <v>1901</v>
      </c>
      <c r="B1902" s="5">
        <v>45876</v>
      </c>
      <c r="C1902" t="s">
        <v>916</v>
      </c>
      <c r="D1902" t="s">
        <v>917</v>
      </c>
      <c r="E1902" t="s">
        <v>918</v>
      </c>
      <c r="F1902">
        <v>6</v>
      </c>
      <c r="G1902" t="s">
        <v>1216</v>
      </c>
      <c r="H1902" t="s">
        <v>66</v>
      </c>
      <c r="I1902" t="s">
        <v>22</v>
      </c>
      <c r="J1902" t="s">
        <v>67</v>
      </c>
      <c r="K1902" t="s">
        <v>34</v>
      </c>
      <c r="L1902" s="6">
        <v>1292</v>
      </c>
      <c r="M1902" s="6">
        <v>0</v>
      </c>
      <c r="N1902" s="6">
        <v>-1292</v>
      </c>
      <c r="O1902" s="6">
        <v>37498.800000000003</v>
      </c>
      <c r="P1902" s="7">
        <v>0</v>
      </c>
      <c r="Q1902" s="6">
        <v>0</v>
      </c>
    </row>
    <row r="1903" spans="1:17">
      <c r="A1903">
        <v>1902</v>
      </c>
      <c r="B1903" s="5">
        <v>45876</v>
      </c>
      <c r="C1903" t="s">
        <v>916</v>
      </c>
      <c r="D1903" t="s">
        <v>917</v>
      </c>
      <c r="E1903" t="s">
        <v>918</v>
      </c>
      <c r="F1903">
        <v>6</v>
      </c>
      <c r="G1903" t="s">
        <v>1217</v>
      </c>
      <c r="H1903" t="s">
        <v>66</v>
      </c>
      <c r="I1903" t="s">
        <v>22</v>
      </c>
      <c r="J1903" t="s">
        <v>67</v>
      </c>
      <c r="K1903" t="s">
        <v>34</v>
      </c>
      <c r="L1903" s="6">
        <v>1000</v>
      </c>
      <c r="M1903" s="6">
        <v>0</v>
      </c>
      <c r="N1903" s="6">
        <v>-1000</v>
      </c>
      <c r="O1903" s="6">
        <v>36498.800000000003</v>
      </c>
      <c r="P1903" s="7">
        <v>0</v>
      </c>
      <c r="Q1903" s="6">
        <v>0</v>
      </c>
    </row>
    <row r="1904" spans="1:17">
      <c r="A1904">
        <v>1903</v>
      </c>
      <c r="B1904" s="5">
        <v>45876</v>
      </c>
      <c r="C1904" t="s">
        <v>916</v>
      </c>
      <c r="D1904" t="s">
        <v>917</v>
      </c>
      <c r="E1904" t="s">
        <v>918</v>
      </c>
      <c r="F1904">
        <v>6</v>
      </c>
      <c r="G1904" t="s">
        <v>1218</v>
      </c>
      <c r="H1904" t="s">
        <v>66</v>
      </c>
      <c r="I1904" t="s">
        <v>22</v>
      </c>
      <c r="J1904" t="s">
        <v>67</v>
      </c>
      <c r="K1904" t="s">
        <v>34</v>
      </c>
      <c r="L1904" s="6">
        <v>1915</v>
      </c>
      <c r="M1904" s="6">
        <v>0</v>
      </c>
      <c r="N1904" s="6">
        <v>-1915</v>
      </c>
      <c r="O1904" s="6">
        <v>34583.800000000003</v>
      </c>
      <c r="P1904" s="7">
        <v>0</v>
      </c>
      <c r="Q1904" s="6">
        <v>0</v>
      </c>
    </row>
    <row r="1905" spans="1:18">
      <c r="A1905">
        <v>1904</v>
      </c>
      <c r="B1905" s="5">
        <v>45876</v>
      </c>
      <c r="C1905" t="s">
        <v>916</v>
      </c>
      <c r="D1905" t="s">
        <v>917</v>
      </c>
      <c r="E1905" t="s">
        <v>918</v>
      </c>
      <c r="F1905">
        <v>6</v>
      </c>
      <c r="G1905" t="s">
        <v>1219</v>
      </c>
      <c r="H1905" t="s">
        <v>929</v>
      </c>
      <c r="I1905" t="s">
        <v>22</v>
      </c>
      <c r="J1905" t="s">
        <v>67</v>
      </c>
      <c r="K1905" t="s">
        <v>34</v>
      </c>
      <c r="L1905" s="6">
        <v>487.85</v>
      </c>
      <c r="M1905" s="6">
        <v>0</v>
      </c>
      <c r="N1905" s="6">
        <v>-487.85</v>
      </c>
      <c r="O1905" s="6">
        <v>34095.949999999997</v>
      </c>
      <c r="P1905" s="7">
        <v>0</v>
      </c>
      <c r="Q1905" s="6">
        <v>0</v>
      </c>
    </row>
    <row r="1906" spans="1:18">
      <c r="A1906">
        <v>1905</v>
      </c>
      <c r="B1906" s="5">
        <v>45876</v>
      </c>
      <c r="C1906" t="s">
        <v>916</v>
      </c>
      <c r="D1906" t="s">
        <v>917</v>
      </c>
      <c r="E1906" t="s">
        <v>918</v>
      </c>
      <c r="F1906">
        <v>6</v>
      </c>
      <c r="G1906" t="s">
        <v>1220</v>
      </c>
      <c r="H1906" t="s">
        <v>66</v>
      </c>
      <c r="I1906" t="s">
        <v>22</v>
      </c>
      <c r="J1906" t="s">
        <v>67</v>
      </c>
      <c r="K1906" t="s">
        <v>34</v>
      </c>
      <c r="L1906" s="6">
        <v>9000</v>
      </c>
      <c r="M1906" s="6">
        <v>0</v>
      </c>
      <c r="N1906" s="6">
        <v>-9000</v>
      </c>
      <c r="O1906" s="6">
        <v>25095.95</v>
      </c>
      <c r="P1906" s="7">
        <v>0</v>
      </c>
      <c r="Q1906" s="6">
        <v>0</v>
      </c>
    </row>
    <row r="1907" spans="1:18">
      <c r="A1907">
        <v>1906</v>
      </c>
      <c r="B1907" s="5">
        <v>45876</v>
      </c>
      <c r="C1907" t="s">
        <v>916</v>
      </c>
      <c r="D1907" t="s">
        <v>917</v>
      </c>
      <c r="E1907" t="s">
        <v>918</v>
      </c>
      <c r="F1907">
        <v>6</v>
      </c>
      <c r="G1907" t="s">
        <v>1221</v>
      </c>
      <c r="H1907" t="s">
        <v>1183</v>
      </c>
      <c r="I1907" t="s">
        <v>18</v>
      </c>
      <c r="J1907" t="s">
        <v>345</v>
      </c>
      <c r="K1907" t="s">
        <v>34</v>
      </c>
      <c r="L1907" s="6">
        <v>689.88</v>
      </c>
      <c r="M1907" s="6">
        <v>0</v>
      </c>
      <c r="N1907" s="6">
        <v>-689.88</v>
      </c>
      <c r="O1907" s="6">
        <v>24406.07</v>
      </c>
      <c r="P1907" s="7">
        <v>0</v>
      </c>
      <c r="Q1907" s="6">
        <v>0</v>
      </c>
    </row>
    <row r="1908" spans="1:18">
      <c r="A1908">
        <v>1907</v>
      </c>
      <c r="B1908" s="5">
        <v>45876</v>
      </c>
      <c r="C1908" t="s">
        <v>916</v>
      </c>
      <c r="D1908" t="s">
        <v>917</v>
      </c>
      <c r="E1908" t="s">
        <v>918</v>
      </c>
      <c r="F1908">
        <v>6</v>
      </c>
      <c r="G1908" t="s">
        <v>346</v>
      </c>
      <c r="I1908" t="s">
        <v>14</v>
      </c>
      <c r="J1908" t="s">
        <v>46</v>
      </c>
      <c r="K1908" t="s">
        <v>34</v>
      </c>
      <c r="L1908" s="6">
        <v>40</v>
      </c>
      <c r="M1908" s="6">
        <v>0</v>
      </c>
      <c r="N1908" s="6">
        <v>-40</v>
      </c>
      <c r="O1908" s="6">
        <v>24366.07</v>
      </c>
      <c r="P1908" s="7">
        <v>0.15</v>
      </c>
      <c r="Q1908" s="6">
        <v>5.22</v>
      </c>
    </row>
    <row r="1909" spans="1:18">
      <c r="A1909">
        <v>1908</v>
      </c>
      <c r="B1909" s="5">
        <v>45876</v>
      </c>
      <c r="C1909" t="s">
        <v>916</v>
      </c>
      <c r="D1909" t="s">
        <v>917</v>
      </c>
      <c r="E1909" t="s">
        <v>918</v>
      </c>
      <c r="F1909">
        <v>7</v>
      </c>
      <c r="G1909" t="s">
        <v>900</v>
      </c>
      <c r="I1909" t="s">
        <v>16</v>
      </c>
      <c r="J1909" t="s">
        <v>52</v>
      </c>
      <c r="K1909" t="s">
        <v>35</v>
      </c>
      <c r="L1909" s="6">
        <v>0</v>
      </c>
      <c r="M1909" s="6">
        <v>471.25</v>
      </c>
      <c r="N1909" s="6">
        <v>471.25</v>
      </c>
      <c r="O1909" s="6">
        <v>24837.32</v>
      </c>
      <c r="P1909" s="7">
        <v>0</v>
      </c>
      <c r="Q1909" s="6">
        <v>0</v>
      </c>
    </row>
    <row r="1910" spans="1:18">
      <c r="A1910">
        <v>1909</v>
      </c>
      <c r="B1910" s="5">
        <v>45876</v>
      </c>
      <c r="C1910" t="s">
        <v>916</v>
      </c>
      <c r="D1910" t="s">
        <v>917</v>
      </c>
      <c r="E1910" t="s">
        <v>918</v>
      </c>
      <c r="F1910">
        <v>7</v>
      </c>
      <c r="G1910" t="s">
        <v>1222</v>
      </c>
      <c r="I1910" t="s">
        <v>15</v>
      </c>
      <c r="J1910" t="s">
        <v>52</v>
      </c>
      <c r="K1910" t="s">
        <v>35</v>
      </c>
      <c r="L1910" s="6">
        <v>0</v>
      </c>
      <c r="M1910" s="6">
        <v>20270</v>
      </c>
      <c r="N1910" s="6">
        <v>20270</v>
      </c>
      <c r="O1910" s="6">
        <v>45107.32</v>
      </c>
      <c r="P1910" s="7">
        <v>0</v>
      </c>
      <c r="Q1910" s="6">
        <v>0</v>
      </c>
    </row>
    <row r="1911" spans="1:18">
      <c r="A1911">
        <v>1910</v>
      </c>
      <c r="B1911" s="5">
        <v>45876</v>
      </c>
      <c r="C1911" t="s">
        <v>916</v>
      </c>
      <c r="D1911" t="s">
        <v>917</v>
      </c>
      <c r="E1911" t="s">
        <v>918</v>
      </c>
      <c r="F1911">
        <v>7</v>
      </c>
      <c r="G1911" t="s">
        <v>1223</v>
      </c>
      <c r="I1911" t="s">
        <v>20</v>
      </c>
      <c r="J1911" t="s">
        <v>20</v>
      </c>
      <c r="K1911" t="s">
        <v>35</v>
      </c>
      <c r="L1911" s="6">
        <v>0</v>
      </c>
      <c r="M1911" s="6">
        <v>11000</v>
      </c>
      <c r="N1911" s="6">
        <v>11000</v>
      </c>
      <c r="O1911" s="6">
        <v>56107.32</v>
      </c>
      <c r="P1911" s="7">
        <v>0</v>
      </c>
      <c r="Q1911" s="6">
        <v>0</v>
      </c>
      <c r="R1911" t="s">
        <v>169</v>
      </c>
    </row>
    <row r="1912" spans="1:18">
      <c r="A1912">
        <v>1911</v>
      </c>
      <c r="B1912" s="5">
        <v>45876</v>
      </c>
      <c r="C1912" t="s">
        <v>916</v>
      </c>
      <c r="D1912" t="s">
        <v>917</v>
      </c>
      <c r="E1912" t="s">
        <v>918</v>
      </c>
      <c r="F1912">
        <v>7</v>
      </c>
      <c r="G1912" t="s">
        <v>1224</v>
      </c>
      <c r="H1912" t="s">
        <v>66</v>
      </c>
      <c r="I1912" t="s">
        <v>22</v>
      </c>
      <c r="J1912" t="s">
        <v>67</v>
      </c>
      <c r="K1912" t="s">
        <v>34</v>
      </c>
      <c r="L1912" s="6">
        <v>5000</v>
      </c>
      <c r="M1912" s="6">
        <v>0</v>
      </c>
      <c r="N1912" s="6">
        <v>-5000</v>
      </c>
      <c r="O1912" s="6">
        <v>51107.32</v>
      </c>
      <c r="P1912" s="7">
        <v>0</v>
      </c>
      <c r="Q1912" s="6">
        <v>0</v>
      </c>
    </row>
    <row r="1913" spans="1:18">
      <c r="A1913">
        <v>1912</v>
      </c>
      <c r="B1913" s="5">
        <v>45876</v>
      </c>
      <c r="C1913" t="s">
        <v>916</v>
      </c>
      <c r="D1913" t="s">
        <v>917</v>
      </c>
      <c r="E1913" t="s">
        <v>918</v>
      </c>
      <c r="F1913">
        <v>7</v>
      </c>
      <c r="G1913" t="s">
        <v>1225</v>
      </c>
      <c r="H1913" t="s">
        <v>929</v>
      </c>
      <c r="I1913" t="s">
        <v>22</v>
      </c>
      <c r="J1913" t="s">
        <v>67</v>
      </c>
      <c r="K1913" t="s">
        <v>34</v>
      </c>
      <c r="L1913" s="6">
        <v>500</v>
      </c>
      <c r="M1913" s="6">
        <v>0</v>
      </c>
      <c r="N1913" s="6">
        <v>-500</v>
      </c>
      <c r="O1913" s="6">
        <v>50607.32</v>
      </c>
      <c r="P1913" s="7">
        <v>0</v>
      </c>
      <c r="Q1913" s="6">
        <v>0</v>
      </c>
    </row>
    <row r="1914" spans="1:18">
      <c r="A1914">
        <v>1913</v>
      </c>
      <c r="B1914" s="5">
        <v>45876</v>
      </c>
      <c r="C1914" t="s">
        <v>916</v>
      </c>
      <c r="D1914" t="s">
        <v>917</v>
      </c>
      <c r="E1914" t="s">
        <v>918</v>
      </c>
      <c r="F1914">
        <v>7</v>
      </c>
      <c r="G1914" t="s">
        <v>1226</v>
      </c>
      <c r="H1914" t="s">
        <v>66</v>
      </c>
      <c r="I1914" t="s">
        <v>22</v>
      </c>
      <c r="J1914" t="s">
        <v>67</v>
      </c>
      <c r="K1914" t="s">
        <v>34</v>
      </c>
      <c r="L1914" s="6">
        <v>750</v>
      </c>
      <c r="M1914" s="6">
        <v>0</v>
      </c>
      <c r="N1914" s="6">
        <v>-750</v>
      </c>
      <c r="O1914" s="6">
        <v>49857.32</v>
      </c>
      <c r="P1914" s="7">
        <v>0</v>
      </c>
      <c r="Q1914" s="6">
        <v>0</v>
      </c>
    </row>
    <row r="1915" spans="1:18">
      <c r="A1915">
        <v>1914</v>
      </c>
      <c r="B1915" s="5">
        <v>45876</v>
      </c>
      <c r="C1915" t="s">
        <v>916</v>
      </c>
      <c r="D1915" t="s">
        <v>917</v>
      </c>
      <c r="E1915" t="s">
        <v>918</v>
      </c>
      <c r="F1915">
        <v>7</v>
      </c>
      <c r="G1915" t="s">
        <v>1227</v>
      </c>
      <c r="H1915" t="s">
        <v>929</v>
      </c>
      <c r="I1915" t="s">
        <v>22</v>
      </c>
      <c r="J1915" t="s">
        <v>67</v>
      </c>
      <c r="K1915" t="s">
        <v>34</v>
      </c>
      <c r="L1915" s="6">
        <v>98.8</v>
      </c>
      <c r="M1915" s="6">
        <v>0</v>
      </c>
      <c r="N1915" s="6">
        <v>-98.8</v>
      </c>
      <c r="O1915" s="6">
        <v>49758.52</v>
      </c>
      <c r="P1915" s="7">
        <v>0</v>
      </c>
      <c r="Q1915" s="6">
        <v>0</v>
      </c>
    </row>
    <row r="1916" spans="1:18">
      <c r="A1916">
        <v>1915</v>
      </c>
      <c r="B1916" s="5">
        <v>45876</v>
      </c>
      <c r="C1916" t="s">
        <v>916</v>
      </c>
      <c r="D1916" t="s">
        <v>917</v>
      </c>
      <c r="E1916" t="s">
        <v>918</v>
      </c>
      <c r="F1916">
        <v>7</v>
      </c>
      <c r="G1916" t="s">
        <v>1228</v>
      </c>
      <c r="H1916" t="s">
        <v>929</v>
      </c>
      <c r="I1916" t="s">
        <v>22</v>
      </c>
      <c r="J1916" t="s">
        <v>67</v>
      </c>
      <c r="K1916" t="s">
        <v>34</v>
      </c>
      <c r="L1916" s="6">
        <v>20</v>
      </c>
      <c r="M1916" s="6">
        <v>0</v>
      </c>
      <c r="N1916" s="6">
        <v>-20</v>
      </c>
      <c r="O1916" s="6">
        <v>49738.52</v>
      </c>
      <c r="P1916" s="7">
        <v>0</v>
      </c>
      <c r="Q1916" s="6">
        <v>0</v>
      </c>
    </row>
    <row r="1917" spans="1:18">
      <c r="A1917">
        <v>1916</v>
      </c>
      <c r="B1917" s="5">
        <v>45876</v>
      </c>
      <c r="C1917" t="s">
        <v>916</v>
      </c>
      <c r="D1917" t="s">
        <v>917</v>
      </c>
      <c r="E1917" t="s">
        <v>918</v>
      </c>
      <c r="F1917">
        <v>7</v>
      </c>
      <c r="G1917" t="s">
        <v>1229</v>
      </c>
      <c r="H1917" t="s">
        <v>66</v>
      </c>
      <c r="I1917" t="s">
        <v>22</v>
      </c>
      <c r="J1917" t="s">
        <v>67</v>
      </c>
      <c r="K1917" t="s">
        <v>34</v>
      </c>
      <c r="L1917" s="6">
        <v>900</v>
      </c>
      <c r="M1917" s="6">
        <v>0</v>
      </c>
      <c r="N1917" s="6">
        <v>-900</v>
      </c>
      <c r="O1917" s="6">
        <v>48838.52</v>
      </c>
      <c r="P1917" s="7">
        <v>0</v>
      </c>
      <c r="Q1917" s="6">
        <v>0</v>
      </c>
    </row>
    <row r="1918" spans="1:18">
      <c r="A1918">
        <v>1917</v>
      </c>
      <c r="B1918" s="5">
        <v>45876</v>
      </c>
      <c r="C1918" t="s">
        <v>916</v>
      </c>
      <c r="D1918" t="s">
        <v>917</v>
      </c>
      <c r="E1918" t="s">
        <v>918</v>
      </c>
      <c r="F1918">
        <v>7</v>
      </c>
      <c r="G1918" t="s">
        <v>1230</v>
      </c>
      <c r="H1918" t="s">
        <v>929</v>
      </c>
      <c r="I1918" t="s">
        <v>22</v>
      </c>
      <c r="J1918" t="s">
        <v>67</v>
      </c>
      <c r="K1918" t="s">
        <v>34</v>
      </c>
      <c r="L1918" s="6">
        <v>500</v>
      </c>
      <c r="M1918" s="6">
        <v>0</v>
      </c>
      <c r="N1918" s="6">
        <v>-500</v>
      </c>
      <c r="O1918" s="6">
        <v>48338.52</v>
      </c>
      <c r="P1918" s="7">
        <v>0</v>
      </c>
      <c r="Q1918" s="6">
        <v>0</v>
      </c>
    </row>
    <row r="1919" spans="1:18">
      <c r="A1919">
        <v>1918</v>
      </c>
      <c r="B1919" s="5">
        <v>45876</v>
      </c>
      <c r="C1919" t="s">
        <v>916</v>
      </c>
      <c r="D1919" t="s">
        <v>917</v>
      </c>
      <c r="E1919" t="s">
        <v>918</v>
      </c>
      <c r="F1919">
        <v>7</v>
      </c>
      <c r="G1919" t="s">
        <v>1231</v>
      </c>
      <c r="H1919" t="s">
        <v>929</v>
      </c>
      <c r="I1919" t="s">
        <v>22</v>
      </c>
      <c r="J1919" t="s">
        <v>67</v>
      </c>
      <c r="K1919" t="s">
        <v>34</v>
      </c>
      <c r="L1919" s="6">
        <v>269</v>
      </c>
      <c r="M1919" s="6">
        <v>0</v>
      </c>
      <c r="N1919" s="6">
        <v>-269</v>
      </c>
      <c r="O1919" s="6">
        <v>48069.52</v>
      </c>
      <c r="P1919" s="7">
        <v>0</v>
      </c>
      <c r="Q1919" s="6">
        <v>0</v>
      </c>
    </row>
    <row r="1920" spans="1:18">
      <c r="A1920">
        <v>1919</v>
      </c>
      <c r="B1920" s="5">
        <v>45876</v>
      </c>
      <c r="C1920" t="s">
        <v>916</v>
      </c>
      <c r="D1920" t="s">
        <v>917</v>
      </c>
      <c r="E1920" t="s">
        <v>918</v>
      </c>
      <c r="F1920">
        <v>7</v>
      </c>
      <c r="G1920" t="s">
        <v>1232</v>
      </c>
      <c r="H1920" t="s">
        <v>929</v>
      </c>
      <c r="I1920" t="s">
        <v>22</v>
      </c>
      <c r="J1920" t="s">
        <v>67</v>
      </c>
      <c r="K1920" t="s">
        <v>34</v>
      </c>
      <c r="L1920" s="6">
        <v>353.91</v>
      </c>
      <c r="M1920" s="6">
        <v>0</v>
      </c>
      <c r="N1920" s="6">
        <v>-353.91</v>
      </c>
      <c r="O1920" s="6">
        <v>47715.61</v>
      </c>
      <c r="P1920" s="7">
        <v>0</v>
      </c>
      <c r="Q1920" s="6">
        <v>0</v>
      </c>
    </row>
    <row r="1921" spans="1:17">
      <c r="A1921">
        <v>1920</v>
      </c>
      <c r="B1921" s="5">
        <v>45876</v>
      </c>
      <c r="C1921" t="s">
        <v>916</v>
      </c>
      <c r="D1921" t="s">
        <v>917</v>
      </c>
      <c r="E1921" t="s">
        <v>918</v>
      </c>
      <c r="F1921">
        <v>7</v>
      </c>
      <c r="G1921" t="s">
        <v>1233</v>
      </c>
      <c r="H1921" t="s">
        <v>929</v>
      </c>
      <c r="I1921" t="s">
        <v>22</v>
      </c>
      <c r="J1921" t="s">
        <v>67</v>
      </c>
      <c r="K1921" t="s">
        <v>34</v>
      </c>
      <c r="L1921" s="6">
        <v>185.19</v>
      </c>
      <c r="M1921" s="6">
        <v>0</v>
      </c>
      <c r="N1921" s="6">
        <v>-185.19</v>
      </c>
      <c r="O1921" s="6">
        <v>47530.42</v>
      </c>
      <c r="P1921" s="7">
        <v>0</v>
      </c>
      <c r="Q1921" s="6">
        <v>0</v>
      </c>
    </row>
    <row r="1922" spans="1:17">
      <c r="A1922">
        <v>1921</v>
      </c>
      <c r="B1922" s="5">
        <v>45876</v>
      </c>
      <c r="C1922" t="s">
        <v>916</v>
      </c>
      <c r="D1922" t="s">
        <v>917</v>
      </c>
      <c r="E1922" t="s">
        <v>918</v>
      </c>
      <c r="F1922">
        <v>7</v>
      </c>
      <c r="G1922" t="s">
        <v>1234</v>
      </c>
      <c r="H1922" t="s">
        <v>929</v>
      </c>
      <c r="I1922" t="s">
        <v>22</v>
      </c>
      <c r="J1922" t="s">
        <v>67</v>
      </c>
      <c r="K1922" t="s">
        <v>34</v>
      </c>
      <c r="L1922" s="6">
        <v>900</v>
      </c>
      <c r="M1922" s="6">
        <v>0</v>
      </c>
      <c r="N1922" s="6">
        <v>-900</v>
      </c>
      <c r="O1922" s="6">
        <v>46630.42</v>
      </c>
      <c r="P1922" s="7">
        <v>0</v>
      </c>
      <c r="Q1922" s="6">
        <v>0</v>
      </c>
    </row>
    <row r="1923" spans="1:17">
      <c r="A1923">
        <v>1922</v>
      </c>
      <c r="B1923" s="5">
        <v>45876</v>
      </c>
      <c r="C1923" t="s">
        <v>916</v>
      </c>
      <c r="D1923" t="s">
        <v>917</v>
      </c>
      <c r="E1923" t="s">
        <v>918</v>
      </c>
      <c r="F1923">
        <v>7</v>
      </c>
      <c r="G1923" t="s">
        <v>1235</v>
      </c>
      <c r="I1923" t="s">
        <v>17</v>
      </c>
      <c r="J1923" t="s">
        <v>64</v>
      </c>
      <c r="K1923" t="s">
        <v>34</v>
      </c>
      <c r="L1923" s="6">
        <v>3000</v>
      </c>
      <c r="M1923" s="6">
        <v>0</v>
      </c>
      <c r="N1923" s="6">
        <v>-3000</v>
      </c>
      <c r="O1923" s="6">
        <v>43630.42</v>
      </c>
      <c r="P1923" s="7">
        <v>0</v>
      </c>
      <c r="Q1923" s="6">
        <v>0</v>
      </c>
    </row>
    <row r="1924" spans="1:17">
      <c r="A1924">
        <v>1923</v>
      </c>
      <c r="B1924" s="5">
        <v>45876</v>
      </c>
      <c r="C1924" t="s">
        <v>916</v>
      </c>
      <c r="D1924" t="s">
        <v>917</v>
      </c>
      <c r="E1924" t="s">
        <v>918</v>
      </c>
      <c r="F1924">
        <v>7</v>
      </c>
      <c r="G1924" t="s">
        <v>1236</v>
      </c>
      <c r="H1924" t="s">
        <v>1237</v>
      </c>
      <c r="I1924" t="s">
        <v>18</v>
      </c>
      <c r="J1924" t="s">
        <v>345</v>
      </c>
      <c r="K1924" t="s">
        <v>34</v>
      </c>
      <c r="L1924" s="6">
        <v>584.45000000000005</v>
      </c>
      <c r="M1924" s="6">
        <v>0</v>
      </c>
      <c r="N1924" s="6">
        <v>-584.45000000000005</v>
      </c>
      <c r="O1924" s="6">
        <v>43045.97</v>
      </c>
      <c r="P1924" s="7">
        <v>0</v>
      </c>
      <c r="Q1924" s="6">
        <v>0</v>
      </c>
    </row>
    <row r="1925" spans="1:17">
      <c r="A1925">
        <v>1924</v>
      </c>
      <c r="B1925" s="5">
        <v>45876</v>
      </c>
      <c r="C1925" t="s">
        <v>916</v>
      </c>
      <c r="D1925" t="s">
        <v>917</v>
      </c>
      <c r="E1925" t="s">
        <v>918</v>
      </c>
      <c r="F1925">
        <v>7</v>
      </c>
      <c r="G1925" t="s">
        <v>346</v>
      </c>
      <c r="I1925" t="s">
        <v>14</v>
      </c>
      <c r="J1925" t="s">
        <v>46</v>
      </c>
      <c r="K1925" t="s">
        <v>34</v>
      </c>
      <c r="L1925" s="6">
        <v>40</v>
      </c>
      <c r="M1925" s="6">
        <v>0</v>
      </c>
      <c r="N1925" s="6">
        <v>-40</v>
      </c>
      <c r="O1925" s="6">
        <v>43005.97</v>
      </c>
      <c r="P1925" s="7">
        <v>0.15</v>
      </c>
      <c r="Q1925" s="6">
        <v>5.22</v>
      </c>
    </row>
    <row r="1926" spans="1:17">
      <c r="A1926">
        <v>1925</v>
      </c>
      <c r="B1926" s="5">
        <v>45876</v>
      </c>
      <c r="C1926" t="s">
        <v>916</v>
      </c>
      <c r="D1926" t="s">
        <v>917</v>
      </c>
      <c r="E1926" t="s">
        <v>918</v>
      </c>
      <c r="F1926">
        <v>7</v>
      </c>
      <c r="G1926" t="s">
        <v>1238</v>
      </c>
      <c r="H1926" t="s">
        <v>1060</v>
      </c>
      <c r="I1926" t="s">
        <v>18</v>
      </c>
      <c r="J1926" t="s">
        <v>345</v>
      </c>
      <c r="K1926" t="s">
        <v>34</v>
      </c>
      <c r="L1926" s="6">
        <v>1969</v>
      </c>
      <c r="M1926" s="6">
        <v>0</v>
      </c>
      <c r="N1926" s="6">
        <v>-1969</v>
      </c>
      <c r="O1926" s="6">
        <v>41036.97</v>
      </c>
      <c r="P1926" s="7">
        <v>0</v>
      </c>
      <c r="Q1926" s="6">
        <v>0</v>
      </c>
    </row>
    <row r="1927" spans="1:17">
      <c r="A1927">
        <v>1926</v>
      </c>
      <c r="B1927" s="5">
        <v>45876</v>
      </c>
      <c r="C1927" t="s">
        <v>916</v>
      </c>
      <c r="D1927" t="s">
        <v>917</v>
      </c>
      <c r="E1927" t="s">
        <v>918</v>
      </c>
      <c r="F1927">
        <v>7</v>
      </c>
      <c r="G1927" t="s">
        <v>346</v>
      </c>
      <c r="I1927" t="s">
        <v>14</v>
      </c>
      <c r="J1927" t="s">
        <v>46</v>
      </c>
      <c r="K1927" t="s">
        <v>34</v>
      </c>
      <c r="L1927" s="6">
        <v>40</v>
      </c>
      <c r="M1927" s="6">
        <v>0</v>
      </c>
      <c r="N1927" s="6">
        <v>-40</v>
      </c>
      <c r="O1927" s="6">
        <v>40996.97</v>
      </c>
      <c r="P1927" s="7">
        <v>0.15</v>
      </c>
      <c r="Q1927" s="6">
        <v>5.22</v>
      </c>
    </row>
    <row r="1928" spans="1:17">
      <c r="A1928">
        <v>1927</v>
      </c>
      <c r="B1928" s="5">
        <v>45876</v>
      </c>
      <c r="C1928" t="s">
        <v>916</v>
      </c>
      <c r="D1928" t="s">
        <v>917</v>
      </c>
      <c r="E1928" t="s">
        <v>918</v>
      </c>
      <c r="F1928">
        <v>7</v>
      </c>
      <c r="G1928" t="s">
        <v>1239</v>
      </c>
      <c r="H1928" t="s">
        <v>1240</v>
      </c>
      <c r="I1928" t="s">
        <v>18</v>
      </c>
      <c r="J1928" t="s">
        <v>345</v>
      </c>
      <c r="K1928" t="s">
        <v>34</v>
      </c>
      <c r="L1928" s="6">
        <v>1045.99</v>
      </c>
      <c r="M1928" s="6">
        <v>0</v>
      </c>
      <c r="N1928" s="6">
        <v>-1045.99</v>
      </c>
      <c r="O1928" s="6">
        <v>39950.980000000003</v>
      </c>
      <c r="P1928" s="7">
        <v>0</v>
      </c>
      <c r="Q1928" s="6">
        <v>0</v>
      </c>
    </row>
    <row r="1929" spans="1:17">
      <c r="A1929">
        <v>1928</v>
      </c>
      <c r="B1929" s="5">
        <v>45876</v>
      </c>
      <c r="C1929" t="s">
        <v>916</v>
      </c>
      <c r="D1929" t="s">
        <v>917</v>
      </c>
      <c r="E1929" t="s">
        <v>918</v>
      </c>
      <c r="F1929">
        <v>7</v>
      </c>
      <c r="G1929" t="s">
        <v>346</v>
      </c>
      <c r="I1929" t="s">
        <v>14</v>
      </c>
      <c r="J1929" t="s">
        <v>46</v>
      </c>
      <c r="K1929" t="s">
        <v>34</v>
      </c>
      <c r="L1929" s="6">
        <v>40</v>
      </c>
      <c r="M1929" s="6">
        <v>0</v>
      </c>
      <c r="N1929" s="6">
        <v>-40</v>
      </c>
      <c r="O1929" s="6">
        <v>39910.980000000003</v>
      </c>
      <c r="P1929" s="7">
        <v>0.15</v>
      </c>
      <c r="Q1929" s="6">
        <v>5.22</v>
      </c>
    </row>
    <row r="1930" spans="1:17">
      <c r="A1930">
        <v>1929</v>
      </c>
      <c r="B1930" s="5">
        <v>45876</v>
      </c>
      <c r="C1930" t="s">
        <v>916</v>
      </c>
      <c r="D1930" t="s">
        <v>917</v>
      </c>
      <c r="E1930" t="s">
        <v>918</v>
      </c>
      <c r="F1930">
        <v>7</v>
      </c>
      <c r="G1930" t="s">
        <v>1241</v>
      </c>
      <c r="H1930" t="s">
        <v>929</v>
      </c>
      <c r="I1930" t="s">
        <v>22</v>
      </c>
      <c r="J1930" t="s">
        <v>67</v>
      </c>
      <c r="K1930" t="s">
        <v>34</v>
      </c>
      <c r="L1930" s="6">
        <v>100</v>
      </c>
      <c r="M1930" s="6">
        <v>0</v>
      </c>
      <c r="N1930" s="6">
        <v>-100</v>
      </c>
      <c r="O1930" s="6">
        <v>39810.980000000003</v>
      </c>
      <c r="P1930" s="7">
        <v>0</v>
      </c>
      <c r="Q1930" s="6">
        <v>0</v>
      </c>
    </row>
    <row r="1931" spans="1:17">
      <c r="A1931">
        <v>1930</v>
      </c>
      <c r="B1931" s="5">
        <v>45876</v>
      </c>
      <c r="C1931" t="s">
        <v>916</v>
      </c>
      <c r="D1931" t="s">
        <v>917</v>
      </c>
      <c r="E1931" t="s">
        <v>918</v>
      </c>
      <c r="F1931">
        <v>7</v>
      </c>
      <c r="G1931" t="s">
        <v>1242</v>
      </c>
      <c r="H1931" t="s">
        <v>929</v>
      </c>
      <c r="I1931" t="s">
        <v>22</v>
      </c>
      <c r="J1931" t="s">
        <v>67</v>
      </c>
      <c r="K1931" t="s">
        <v>34</v>
      </c>
      <c r="L1931" s="6">
        <v>234</v>
      </c>
      <c r="M1931" s="6">
        <v>0</v>
      </c>
      <c r="N1931" s="6">
        <v>-234</v>
      </c>
      <c r="O1931" s="6">
        <v>39576.980000000003</v>
      </c>
      <c r="P1931" s="7">
        <v>0</v>
      </c>
      <c r="Q1931" s="6">
        <v>0</v>
      </c>
    </row>
    <row r="1932" spans="1:17">
      <c r="A1932">
        <v>1931</v>
      </c>
      <c r="B1932" s="5">
        <v>45876</v>
      </c>
      <c r="C1932" t="s">
        <v>916</v>
      </c>
      <c r="D1932" t="s">
        <v>917</v>
      </c>
      <c r="E1932" t="s">
        <v>918</v>
      </c>
      <c r="F1932">
        <v>7</v>
      </c>
      <c r="G1932" t="s">
        <v>1243</v>
      </c>
      <c r="H1932" t="s">
        <v>66</v>
      </c>
      <c r="I1932" t="s">
        <v>22</v>
      </c>
      <c r="J1932" t="s">
        <v>67</v>
      </c>
      <c r="K1932" t="s">
        <v>34</v>
      </c>
      <c r="L1932" s="6">
        <v>200</v>
      </c>
      <c r="M1932" s="6">
        <v>0</v>
      </c>
      <c r="N1932" s="6">
        <v>-200</v>
      </c>
      <c r="O1932" s="6">
        <v>39376.980000000003</v>
      </c>
      <c r="P1932" s="7">
        <v>0</v>
      </c>
      <c r="Q1932" s="6">
        <v>0</v>
      </c>
    </row>
    <row r="1933" spans="1:17">
      <c r="A1933">
        <v>1932</v>
      </c>
      <c r="B1933" s="5">
        <v>45876</v>
      </c>
      <c r="C1933" t="s">
        <v>916</v>
      </c>
      <c r="D1933" t="s">
        <v>917</v>
      </c>
      <c r="E1933" t="s">
        <v>918</v>
      </c>
      <c r="F1933">
        <v>7</v>
      </c>
      <c r="G1933" t="s">
        <v>1244</v>
      </c>
      <c r="H1933" t="s">
        <v>66</v>
      </c>
      <c r="I1933" t="s">
        <v>22</v>
      </c>
      <c r="J1933" t="s">
        <v>67</v>
      </c>
      <c r="K1933" t="s">
        <v>34</v>
      </c>
      <c r="L1933" s="6">
        <v>1100</v>
      </c>
      <c r="M1933" s="6">
        <v>0</v>
      </c>
      <c r="N1933" s="6">
        <v>-1100</v>
      </c>
      <c r="O1933" s="6">
        <v>38276.980000000003</v>
      </c>
      <c r="P1933" s="7">
        <v>0</v>
      </c>
      <c r="Q1933" s="6">
        <v>0</v>
      </c>
    </row>
    <row r="1934" spans="1:17">
      <c r="A1934">
        <v>1933</v>
      </c>
      <c r="B1934" s="5">
        <v>45876</v>
      </c>
      <c r="C1934" t="s">
        <v>916</v>
      </c>
      <c r="D1934" t="s">
        <v>917</v>
      </c>
      <c r="E1934" t="s">
        <v>918</v>
      </c>
      <c r="F1934">
        <v>7</v>
      </c>
      <c r="G1934" t="s">
        <v>1245</v>
      </c>
      <c r="H1934" t="s">
        <v>929</v>
      </c>
      <c r="I1934" t="s">
        <v>22</v>
      </c>
      <c r="J1934" t="s">
        <v>67</v>
      </c>
      <c r="K1934" t="s">
        <v>34</v>
      </c>
      <c r="L1934" s="6">
        <v>80</v>
      </c>
      <c r="M1934" s="6">
        <v>0</v>
      </c>
      <c r="N1934" s="6">
        <v>-80</v>
      </c>
      <c r="O1934" s="6">
        <v>38196.980000000003</v>
      </c>
      <c r="P1934" s="7">
        <v>0</v>
      </c>
      <c r="Q1934" s="6">
        <v>0</v>
      </c>
    </row>
    <row r="1935" spans="1:17">
      <c r="A1935">
        <v>1934</v>
      </c>
      <c r="B1935" s="5">
        <v>45876</v>
      </c>
      <c r="C1935" t="s">
        <v>916</v>
      </c>
      <c r="D1935" t="s">
        <v>917</v>
      </c>
      <c r="E1935" t="s">
        <v>918</v>
      </c>
      <c r="F1935">
        <v>7</v>
      </c>
      <c r="G1935" t="s">
        <v>1246</v>
      </c>
      <c r="H1935" t="s">
        <v>929</v>
      </c>
      <c r="I1935" t="s">
        <v>22</v>
      </c>
      <c r="J1935" t="s">
        <v>67</v>
      </c>
      <c r="K1935" t="s">
        <v>34</v>
      </c>
      <c r="L1935" s="6">
        <v>230</v>
      </c>
      <c r="M1935" s="6">
        <v>0</v>
      </c>
      <c r="N1935" s="6">
        <v>-230</v>
      </c>
      <c r="O1935" s="6">
        <v>37966.980000000003</v>
      </c>
      <c r="P1935" s="7">
        <v>0</v>
      </c>
      <c r="Q1935" s="6">
        <v>0</v>
      </c>
    </row>
    <row r="1936" spans="1:17">
      <c r="A1936">
        <v>1935</v>
      </c>
      <c r="B1936" s="5">
        <v>45876</v>
      </c>
      <c r="C1936" t="s">
        <v>916</v>
      </c>
      <c r="D1936" t="s">
        <v>917</v>
      </c>
      <c r="E1936" t="s">
        <v>918</v>
      </c>
      <c r="F1936">
        <v>7</v>
      </c>
      <c r="G1936" t="s">
        <v>1247</v>
      </c>
      <c r="H1936" t="s">
        <v>929</v>
      </c>
      <c r="I1936" t="s">
        <v>22</v>
      </c>
      <c r="J1936" t="s">
        <v>67</v>
      </c>
      <c r="K1936" t="s">
        <v>34</v>
      </c>
      <c r="L1936" s="6">
        <v>63.65</v>
      </c>
      <c r="M1936" s="6">
        <v>0</v>
      </c>
      <c r="N1936" s="6">
        <v>-63.65</v>
      </c>
      <c r="O1936" s="6">
        <v>37903.33</v>
      </c>
      <c r="P1936" s="7">
        <v>0</v>
      </c>
      <c r="Q1936" s="6">
        <v>0</v>
      </c>
    </row>
    <row r="1937" spans="1:17">
      <c r="A1937">
        <v>1936</v>
      </c>
      <c r="B1937" s="5">
        <v>45876</v>
      </c>
      <c r="C1937" t="s">
        <v>916</v>
      </c>
      <c r="D1937" t="s">
        <v>917</v>
      </c>
      <c r="E1937" t="s">
        <v>918</v>
      </c>
      <c r="F1937">
        <v>7</v>
      </c>
      <c r="G1937" t="s">
        <v>1248</v>
      </c>
      <c r="H1937" t="s">
        <v>929</v>
      </c>
      <c r="I1937" t="s">
        <v>22</v>
      </c>
      <c r="J1937" t="s">
        <v>67</v>
      </c>
      <c r="K1937" t="s">
        <v>34</v>
      </c>
      <c r="L1937" s="6">
        <v>294</v>
      </c>
      <c r="M1937" s="6">
        <v>0</v>
      </c>
      <c r="N1937" s="6">
        <v>-294</v>
      </c>
      <c r="O1937" s="6">
        <v>37609.33</v>
      </c>
      <c r="P1937" s="7">
        <v>0</v>
      </c>
      <c r="Q1937" s="6">
        <v>0</v>
      </c>
    </row>
    <row r="1938" spans="1:17">
      <c r="A1938">
        <v>1937</v>
      </c>
      <c r="B1938" s="5">
        <v>45876</v>
      </c>
      <c r="C1938" t="s">
        <v>916</v>
      </c>
      <c r="D1938" t="s">
        <v>917</v>
      </c>
      <c r="E1938" t="s">
        <v>918</v>
      </c>
      <c r="F1938">
        <v>7</v>
      </c>
      <c r="G1938" t="s">
        <v>1249</v>
      </c>
      <c r="H1938" t="s">
        <v>929</v>
      </c>
      <c r="I1938" t="s">
        <v>22</v>
      </c>
      <c r="J1938" t="s">
        <v>67</v>
      </c>
      <c r="K1938" t="s">
        <v>34</v>
      </c>
      <c r="L1938" s="6">
        <v>190</v>
      </c>
      <c r="M1938" s="6">
        <v>0</v>
      </c>
      <c r="N1938" s="6">
        <v>-190</v>
      </c>
      <c r="O1938" s="6">
        <v>37419.33</v>
      </c>
      <c r="P1938" s="7">
        <v>0</v>
      </c>
      <c r="Q1938" s="6">
        <v>0</v>
      </c>
    </row>
    <row r="1939" spans="1:17">
      <c r="A1939">
        <v>1938</v>
      </c>
      <c r="B1939" s="5">
        <v>45876</v>
      </c>
      <c r="C1939" t="s">
        <v>916</v>
      </c>
      <c r="D1939" t="s">
        <v>917</v>
      </c>
      <c r="E1939" t="s">
        <v>918</v>
      </c>
      <c r="F1939">
        <v>7</v>
      </c>
      <c r="G1939" t="s">
        <v>1250</v>
      </c>
      <c r="H1939" t="s">
        <v>66</v>
      </c>
      <c r="I1939" t="s">
        <v>22</v>
      </c>
      <c r="J1939" t="s">
        <v>67</v>
      </c>
      <c r="K1939" t="s">
        <v>34</v>
      </c>
      <c r="L1939" s="6">
        <v>600</v>
      </c>
      <c r="M1939" s="6">
        <v>0</v>
      </c>
      <c r="N1939" s="6">
        <v>-600</v>
      </c>
      <c r="O1939" s="6">
        <v>36819.33</v>
      </c>
      <c r="P1939" s="7">
        <v>0</v>
      </c>
      <c r="Q1939" s="6">
        <v>0</v>
      </c>
    </row>
    <row r="1940" spans="1:17">
      <c r="A1940">
        <v>1939</v>
      </c>
      <c r="B1940" s="5">
        <v>45876</v>
      </c>
      <c r="C1940" t="s">
        <v>916</v>
      </c>
      <c r="D1940" t="s">
        <v>917</v>
      </c>
      <c r="E1940" t="s">
        <v>918</v>
      </c>
      <c r="F1940">
        <v>7</v>
      </c>
      <c r="G1940" t="s">
        <v>1251</v>
      </c>
      <c r="H1940" t="s">
        <v>66</v>
      </c>
      <c r="I1940" t="s">
        <v>22</v>
      </c>
      <c r="J1940" t="s">
        <v>67</v>
      </c>
      <c r="K1940" t="s">
        <v>34</v>
      </c>
      <c r="L1940" s="6">
        <v>300</v>
      </c>
      <c r="M1940" s="6">
        <v>0</v>
      </c>
      <c r="N1940" s="6">
        <v>-300</v>
      </c>
      <c r="O1940" s="6">
        <v>36519.33</v>
      </c>
      <c r="P1940" s="7">
        <v>0</v>
      </c>
      <c r="Q1940" s="6">
        <v>0</v>
      </c>
    </row>
    <row r="1941" spans="1:17">
      <c r="A1941">
        <v>1940</v>
      </c>
      <c r="B1941" s="5">
        <v>45876</v>
      </c>
      <c r="C1941" t="s">
        <v>916</v>
      </c>
      <c r="D1941" t="s">
        <v>917</v>
      </c>
      <c r="E1941" t="s">
        <v>918</v>
      </c>
      <c r="F1941">
        <v>7</v>
      </c>
      <c r="G1941" t="s">
        <v>1252</v>
      </c>
      <c r="H1941" t="s">
        <v>66</v>
      </c>
      <c r="I1941" t="s">
        <v>22</v>
      </c>
      <c r="J1941" t="s">
        <v>67</v>
      </c>
      <c r="K1941" t="s">
        <v>34</v>
      </c>
      <c r="L1941" s="6">
        <v>3500</v>
      </c>
      <c r="M1941" s="6">
        <v>0</v>
      </c>
      <c r="N1941" s="6">
        <v>-3500</v>
      </c>
      <c r="O1941" s="6">
        <v>33019.33</v>
      </c>
      <c r="P1941" s="7">
        <v>0</v>
      </c>
      <c r="Q1941" s="6">
        <v>0</v>
      </c>
    </row>
    <row r="1942" spans="1:17">
      <c r="A1942">
        <v>1941</v>
      </c>
      <c r="B1942" s="5">
        <v>45876</v>
      </c>
      <c r="C1942" t="s">
        <v>916</v>
      </c>
      <c r="D1942" t="s">
        <v>917</v>
      </c>
      <c r="E1942" t="s">
        <v>918</v>
      </c>
      <c r="F1942">
        <v>7</v>
      </c>
      <c r="G1942" t="s">
        <v>1253</v>
      </c>
      <c r="H1942" t="s">
        <v>66</v>
      </c>
      <c r="I1942" t="s">
        <v>22</v>
      </c>
      <c r="J1942" t="s">
        <v>67</v>
      </c>
      <c r="K1942" t="s">
        <v>34</v>
      </c>
      <c r="L1942" s="6">
        <v>7500</v>
      </c>
      <c r="M1942" s="6">
        <v>0</v>
      </c>
      <c r="N1942" s="6">
        <v>-7500</v>
      </c>
      <c r="O1942" s="6">
        <v>25519.33</v>
      </c>
      <c r="P1942" s="7">
        <v>0</v>
      </c>
      <c r="Q1942" s="6">
        <v>0</v>
      </c>
    </row>
    <row r="1943" spans="1:17">
      <c r="A1943">
        <v>1942</v>
      </c>
      <c r="B1943" s="5">
        <v>45876</v>
      </c>
      <c r="C1943" t="s">
        <v>916</v>
      </c>
      <c r="D1943" t="s">
        <v>917</v>
      </c>
      <c r="E1943" t="s">
        <v>918</v>
      </c>
      <c r="F1943">
        <v>7</v>
      </c>
      <c r="G1943" t="s">
        <v>1254</v>
      </c>
      <c r="H1943" t="s">
        <v>66</v>
      </c>
      <c r="I1943" t="s">
        <v>22</v>
      </c>
      <c r="J1943" t="s">
        <v>67</v>
      </c>
      <c r="K1943" t="s">
        <v>34</v>
      </c>
      <c r="L1943" s="6">
        <v>49.1</v>
      </c>
      <c r="M1943" s="6">
        <v>0</v>
      </c>
      <c r="N1943" s="6">
        <v>-49.1</v>
      </c>
      <c r="O1943" s="6">
        <v>25470.23</v>
      </c>
      <c r="P1943" s="7">
        <v>0</v>
      </c>
      <c r="Q1943" s="6">
        <v>0</v>
      </c>
    </row>
    <row r="1944" spans="1:17">
      <c r="A1944">
        <v>1943</v>
      </c>
      <c r="B1944" s="5">
        <v>45876</v>
      </c>
      <c r="C1944" t="s">
        <v>916</v>
      </c>
      <c r="D1944" t="s">
        <v>917</v>
      </c>
      <c r="E1944" t="s">
        <v>918</v>
      </c>
      <c r="F1944">
        <v>7</v>
      </c>
      <c r="G1944" t="s">
        <v>1255</v>
      </c>
      <c r="I1944" t="s">
        <v>17</v>
      </c>
      <c r="J1944" t="s">
        <v>64</v>
      </c>
      <c r="K1944" t="s">
        <v>34</v>
      </c>
      <c r="L1944" s="6">
        <v>10000</v>
      </c>
      <c r="M1944" s="6">
        <v>0</v>
      </c>
      <c r="N1944" s="6">
        <v>-10000</v>
      </c>
      <c r="O1944" s="6">
        <v>15470.23</v>
      </c>
      <c r="P1944" s="7">
        <v>0</v>
      </c>
      <c r="Q1944" s="6">
        <v>0</v>
      </c>
    </row>
    <row r="1945" spans="1:17">
      <c r="A1945">
        <v>1944</v>
      </c>
      <c r="B1945" s="5">
        <v>45876</v>
      </c>
      <c r="C1945" t="s">
        <v>916</v>
      </c>
      <c r="D1945" t="s">
        <v>917</v>
      </c>
      <c r="E1945" t="s">
        <v>918</v>
      </c>
      <c r="F1945">
        <v>7</v>
      </c>
      <c r="G1945" t="s">
        <v>1256</v>
      </c>
      <c r="H1945" t="s">
        <v>66</v>
      </c>
      <c r="I1945" t="s">
        <v>22</v>
      </c>
      <c r="J1945" t="s">
        <v>67</v>
      </c>
      <c r="K1945" t="s">
        <v>34</v>
      </c>
      <c r="L1945" s="6">
        <v>27</v>
      </c>
      <c r="M1945" s="6">
        <v>0</v>
      </c>
      <c r="N1945" s="6">
        <v>-27</v>
      </c>
      <c r="O1945" s="6">
        <v>15443.23</v>
      </c>
      <c r="P1945" s="7">
        <v>0</v>
      </c>
      <c r="Q1945" s="6">
        <v>0</v>
      </c>
    </row>
    <row r="1946" spans="1:17">
      <c r="A1946">
        <v>1945</v>
      </c>
      <c r="B1946" s="5">
        <v>45876</v>
      </c>
      <c r="C1946" t="s">
        <v>916</v>
      </c>
      <c r="D1946" t="s">
        <v>917</v>
      </c>
      <c r="E1946" t="s">
        <v>918</v>
      </c>
      <c r="F1946">
        <v>7</v>
      </c>
      <c r="G1946" t="s">
        <v>1257</v>
      </c>
      <c r="H1946" t="s">
        <v>929</v>
      </c>
      <c r="I1946" t="s">
        <v>22</v>
      </c>
      <c r="J1946" t="s">
        <v>67</v>
      </c>
      <c r="K1946" t="s">
        <v>34</v>
      </c>
      <c r="L1946" s="6">
        <v>59.56</v>
      </c>
      <c r="M1946" s="6">
        <v>0</v>
      </c>
      <c r="N1946" s="6">
        <v>-59.56</v>
      </c>
      <c r="O1946" s="6">
        <v>15383.67</v>
      </c>
      <c r="P1946" s="7">
        <v>0</v>
      </c>
      <c r="Q1946" s="6">
        <v>0</v>
      </c>
    </row>
    <row r="1947" spans="1:17">
      <c r="A1947">
        <v>1946</v>
      </c>
      <c r="B1947" s="5">
        <v>45876</v>
      </c>
      <c r="C1947" t="s">
        <v>916</v>
      </c>
      <c r="D1947" t="s">
        <v>917</v>
      </c>
      <c r="E1947" t="s">
        <v>918</v>
      </c>
      <c r="F1947">
        <v>7</v>
      </c>
      <c r="G1947" t="s">
        <v>1258</v>
      </c>
      <c r="H1947" t="s">
        <v>929</v>
      </c>
      <c r="I1947" t="s">
        <v>22</v>
      </c>
      <c r="J1947" t="s">
        <v>67</v>
      </c>
      <c r="K1947" t="s">
        <v>34</v>
      </c>
      <c r="L1947" s="6">
        <v>193.44</v>
      </c>
      <c r="M1947" s="6">
        <v>0</v>
      </c>
      <c r="N1947" s="6">
        <v>-193.44</v>
      </c>
      <c r="O1947" s="6">
        <v>15190.23</v>
      </c>
      <c r="P1947" s="7">
        <v>0</v>
      </c>
      <c r="Q1947" s="6">
        <v>0</v>
      </c>
    </row>
    <row r="1948" spans="1:17">
      <c r="A1948">
        <v>1947</v>
      </c>
      <c r="B1948" s="5">
        <v>45876</v>
      </c>
      <c r="C1948" t="s">
        <v>916</v>
      </c>
      <c r="D1948" t="s">
        <v>917</v>
      </c>
      <c r="E1948" t="s">
        <v>918</v>
      </c>
      <c r="F1948">
        <v>7</v>
      </c>
      <c r="G1948" t="s">
        <v>1259</v>
      </c>
      <c r="H1948" t="s">
        <v>929</v>
      </c>
      <c r="I1948" t="s">
        <v>22</v>
      </c>
      <c r="J1948" t="s">
        <v>67</v>
      </c>
      <c r="K1948" t="s">
        <v>34</v>
      </c>
      <c r="L1948" s="6">
        <v>193.44</v>
      </c>
      <c r="M1948" s="6">
        <v>0</v>
      </c>
      <c r="N1948" s="6">
        <v>-193.44</v>
      </c>
      <c r="O1948" s="6">
        <v>14996.79</v>
      </c>
      <c r="P1948" s="7">
        <v>0</v>
      </c>
      <c r="Q1948" s="6">
        <v>0</v>
      </c>
    </row>
    <row r="1949" spans="1:17">
      <c r="A1949">
        <v>1948</v>
      </c>
      <c r="B1949" s="5">
        <v>45876</v>
      </c>
      <c r="C1949" t="s">
        <v>916</v>
      </c>
      <c r="D1949" t="s">
        <v>917</v>
      </c>
      <c r="E1949" t="s">
        <v>918</v>
      </c>
      <c r="F1949">
        <v>7</v>
      </c>
      <c r="G1949" t="s">
        <v>1260</v>
      </c>
      <c r="H1949" t="s">
        <v>929</v>
      </c>
      <c r="I1949" t="s">
        <v>22</v>
      </c>
      <c r="J1949" t="s">
        <v>67</v>
      </c>
      <c r="K1949" t="s">
        <v>34</v>
      </c>
      <c r="L1949" s="6">
        <v>400</v>
      </c>
      <c r="M1949" s="6">
        <v>0</v>
      </c>
      <c r="N1949" s="6">
        <v>-400</v>
      </c>
      <c r="O1949" s="6">
        <v>14596.79</v>
      </c>
      <c r="P1949" s="7">
        <v>0</v>
      </c>
      <c r="Q1949" s="6">
        <v>0</v>
      </c>
    </row>
    <row r="1950" spans="1:17">
      <c r="A1950">
        <v>1949</v>
      </c>
      <c r="B1950" s="5">
        <v>45876</v>
      </c>
      <c r="C1950" t="s">
        <v>916</v>
      </c>
      <c r="D1950" t="s">
        <v>917</v>
      </c>
      <c r="E1950" t="s">
        <v>918</v>
      </c>
      <c r="F1950">
        <v>7</v>
      </c>
      <c r="G1950" t="s">
        <v>1261</v>
      </c>
      <c r="H1950" t="s">
        <v>66</v>
      </c>
      <c r="I1950" t="s">
        <v>22</v>
      </c>
      <c r="J1950" t="s">
        <v>67</v>
      </c>
      <c r="K1950" t="s">
        <v>34</v>
      </c>
      <c r="L1950" s="6">
        <v>636.61</v>
      </c>
      <c r="M1950" s="6">
        <v>0</v>
      </c>
      <c r="N1950" s="6">
        <v>-636.61</v>
      </c>
      <c r="O1950" s="6">
        <v>13960.18</v>
      </c>
      <c r="P1950" s="7">
        <v>0</v>
      </c>
      <c r="Q1950" s="6">
        <v>0</v>
      </c>
    </row>
    <row r="1951" spans="1:17">
      <c r="A1951">
        <v>1950</v>
      </c>
      <c r="B1951" s="5">
        <v>45876</v>
      </c>
      <c r="C1951" t="s">
        <v>916</v>
      </c>
      <c r="D1951" t="s">
        <v>917</v>
      </c>
      <c r="E1951" t="s">
        <v>918</v>
      </c>
      <c r="F1951">
        <v>7</v>
      </c>
      <c r="G1951" t="s">
        <v>1262</v>
      </c>
      <c r="H1951" t="s">
        <v>66</v>
      </c>
      <c r="I1951" t="s">
        <v>22</v>
      </c>
      <c r="J1951" t="s">
        <v>67</v>
      </c>
      <c r="K1951" t="s">
        <v>34</v>
      </c>
      <c r="L1951" s="6">
        <v>849.1</v>
      </c>
      <c r="M1951" s="6">
        <v>0</v>
      </c>
      <c r="N1951" s="6">
        <v>-849.1</v>
      </c>
      <c r="O1951" s="6">
        <v>13111.08</v>
      </c>
      <c r="P1951" s="7">
        <v>0</v>
      </c>
      <c r="Q1951" s="6">
        <v>0</v>
      </c>
    </row>
    <row r="1952" spans="1:17">
      <c r="A1952">
        <v>1951</v>
      </c>
      <c r="B1952" s="5">
        <v>45876</v>
      </c>
      <c r="C1952" t="s">
        <v>916</v>
      </c>
      <c r="D1952" t="s">
        <v>917</v>
      </c>
      <c r="E1952" t="s">
        <v>918</v>
      </c>
      <c r="F1952">
        <v>7</v>
      </c>
      <c r="G1952" t="s">
        <v>1263</v>
      </c>
      <c r="H1952" t="s">
        <v>66</v>
      </c>
      <c r="I1952" t="s">
        <v>22</v>
      </c>
      <c r="J1952" t="s">
        <v>67</v>
      </c>
      <c r="K1952" t="s">
        <v>34</v>
      </c>
      <c r="L1952" s="6">
        <v>1652.44</v>
      </c>
      <c r="M1952" s="6">
        <v>0</v>
      </c>
      <c r="N1952" s="6">
        <v>-1652.44</v>
      </c>
      <c r="O1952" s="6">
        <v>11458.64</v>
      </c>
      <c r="P1952" s="7">
        <v>0</v>
      </c>
      <c r="Q1952" s="6">
        <v>0</v>
      </c>
    </row>
    <row r="1953" spans="1:17">
      <c r="A1953">
        <v>1952</v>
      </c>
      <c r="B1953" s="5">
        <v>45876</v>
      </c>
      <c r="C1953" t="s">
        <v>916</v>
      </c>
      <c r="D1953" t="s">
        <v>917</v>
      </c>
      <c r="E1953" t="s">
        <v>918</v>
      </c>
      <c r="F1953">
        <v>7</v>
      </c>
      <c r="G1953" t="s">
        <v>1264</v>
      </c>
      <c r="H1953" t="s">
        <v>1265</v>
      </c>
      <c r="I1953" t="s">
        <v>16</v>
      </c>
      <c r="J1953" t="s">
        <v>52</v>
      </c>
      <c r="K1953" t="s">
        <v>35</v>
      </c>
      <c r="L1953" s="6">
        <v>0</v>
      </c>
      <c r="M1953" s="6">
        <v>100</v>
      </c>
      <c r="N1953" s="6">
        <v>100</v>
      </c>
      <c r="O1953" s="6">
        <v>11558.64</v>
      </c>
      <c r="P1953" s="7">
        <v>0</v>
      </c>
      <c r="Q1953" s="6">
        <v>0</v>
      </c>
    </row>
    <row r="1954" spans="1:17">
      <c r="A1954">
        <v>1953</v>
      </c>
      <c r="B1954" s="5">
        <v>45876</v>
      </c>
      <c r="C1954" t="s">
        <v>916</v>
      </c>
      <c r="D1954" t="s">
        <v>917</v>
      </c>
      <c r="E1954" t="s">
        <v>918</v>
      </c>
      <c r="F1954">
        <v>7</v>
      </c>
      <c r="G1954" t="s">
        <v>1266</v>
      </c>
      <c r="H1954" t="s">
        <v>1267</v>
      </c>
      <c r="I1954" t="s">
        <v>16</v>
      </c>
      <c r="J1954" t="s">
        <v>52</v>
      </c>
      <c r="K1954" t="s">
        <v>35</v>
      </c>
      <c r="L1954" s="6">
        <v>0</v>
      </c>
      <c r="M1954" s="6">
        <v>100</v>
      </c>
      <c r="N1954" s="6">
        <v>100</v>
      </c>
      <c r="O1954" s="6">
        <v>11658.64</v>
      </c>
      <c r="P1954" s="7">
        <v>0</v>
      </c>
      <c r="Q1954" s="6">
        <v>0</v>
      </c>
    </row>
    <row r="1955" spans="1:17">
      <c r="A1955">
        <v>1954</v>
      </c>
      <c r="B1955" s="5">
        <v>45876</v>
      </c>
      <c r="C1955" t="s">
        <v>916</v>
      </c>
      <c r="D1955" t="s">
        <v>917</v>
      </c>
      <c r="E1955" t="s">
        <v>918</v>
      </c>
      <c r="F1955">
        <v>7</v>
      </c>
      <c r="G1955" t="s">
        <v>1264</v>
      </c>
      <c r="H1955" t="s">
        <v>1265</v>
      </c>
      <c r="I1955" t="s">
        <v>16</v>
      </c>
      <c r="J1955" t="s">
        <v>52</v>
      </c>
      <c r="K1955" t="s">
        <v>35</v>
      </c>
      <c r="L1955" s="6">
        <v>0</v>
      </c>
      <c r="M1955" s="6">
        <v>100</v>
      </c>
      <c r="N1955" s="6">
        <v>100</v>
      </c>
      <c r="O1955" s="6">
        <v>11758.64</v>
      </c>
      <c r="P1955" s="7">
        <v>0</v>
      </c>
      <c r="Q1955" s="6">
        <v>0</v>
      </c>
    </row>
    <row r="1956" spans="1:17">
      <c r="A1956">
        <v>1955</v>
      </c>
      <c r="B1956" s="5">
        <v>45876</v>
      </c>
      <c r="C1956" t="s">
        <v>916</v>
      </c>
      <c r="D1956" t="s">
        <v>917</v>
      </c>
      <c r="E1956" t="s">
        <v>918</v>
      </c>
      <c r="F1956">
        <v>7</v>
      </c>
      <c r="G1956" t="s">
        <v>1264</v>
      </c>
      <c r="H1956" t="s">
        <v>1265</v>
      </c>
      <c r="I1956" t="s">
        <v>16</v>
      </c>
      <c r="J1956" t="s">
        <v>52</v>
      </c>
      <c r="K1956" t="s">
        <v>35</v>
      </c>
      <c r="L1956" s="6">
        <v>0</v>
      </c>
      <c r="M1956" s="6">
        <v>100</v>
      </c>
      <c r="N1956" s="6">
        <v>100</v>
      </c>
      <c r="O1956" s="6">
        <v>11858.64</v>
      </c>
      <c r="P1956" s="7">
        <v>0</v>
      </c>
      <c r="Q1956" s="6">
        <v>0</v>
      </c>
    </row>
    <row r="1957" spans="1:17">
      <c r="A1957">
        <v>1956</v>
      </c>
      <c r="B1957" s="5">
        <v>45876</v>
      </c>
      <c r="C1957" t="s">
        <v>916</v>
      </c>
      <c r="D1957" t="s">
        <v>917</v>
      </c>
      <c r="E1957" t="s">
        <v>918</v>
      </c>
      <c r="F1957">
        <v>7</v>
      </c>
      <c r="G1957" t="s">
        <v>1268</v>
      </c>
      <c r="H1957" t="s">
        <v>1269</v>
      </c>
      <c r="I1957" t="s">
        <v>16</v>
      </c>
      <c r="J1957" t="s">
        <v>52</v>
      </c>
      <c r="K1957" t="s">
        <v>35</v>
      </c>
      <c r="L1957" s="6">
        <v>0</v>
      </c>
      <c r="M1957" s="6">
        <v>250</v>
      </c>
      <c r="N1957" s="6">
        <v>250</v>
      </c>
      <c r="O1957" s="6">
        <v>12108.64</v>
      </c>
      <c r="P1957" s="7">
        <v>0</v>
      </c>
      <c r="Q1957" s="6">
        <v>0</v>
      </c>
    </row>
    <row r="1958" spans="1:17">
      <c r="A1958">
        <v>1957</v>
      </c>
      <c r="B1958" s="5">
        <v>45876</v>
      </c>
      <c r="C1958" t="s">
        <v>916</v>
      </c>
      <c r="D1958" t="s">
        <v>917</v>
      </c>
      <c r="E1958" t="s">
        <v>918</v>
      </c>
      <c r="F1958">
        <v>7</v>
      </c>
      <c r="G1958" t="s">
        <v>1016</v>
      </c>
      <c r="H1958" t="s">
        <v>1017</v>
      </c>
      <c r="I1958" t="s">
        <v>16</v>
      </c>
      <c r="J1958" t="s">
        <v>52</v>
      </c>
      <c r="K1958" t="s">
        <v>35</v>
      </c>
      <c r="L1958" s="6">
        <v>0</v>
      </c>
      <c r="M1958" s="6">
        <v>269</v>
      </c>
      <c r="N1958" s="6">
        <v>269</v>
      </c>
      <c r="O1958" s="6">
        <v>12377.64</v>
      </c>
      <c r="P1958" s="7">
        <v>0</v>
      </c>
      <c r="Q1958" s="6">
        <v>0</v>
      </c>
    </row>
    <row r="1959" spans="1:17">
      <c r="A1959">
        <v>1958</v>
      </c>
      <c r="B1959" s="5">
        <v>45876</v>
      </c>
      <c r="C1959" t="s">
        <v>916</v>
      </c>
      <c r="D1959" t="s">
        <v>917</v>
      </c>
      <c r="E1959" t="s">
        <v>918</v>
      </c>
      <c r="F1959">
        <v>8</v>
      </c>
      <c r="G1959" t="s">
        <v>1012</v>
      </c>
      <c r="H1959" t="s">
        <v>1013</v>
      </c>
      <c r="I1959" t="s">
        <v>16</v>
      </c>
      <c r="J1959" t="s">
        <v>52</v>
      </c>
      <c r="K1959" t="s">
        <v>35</v>
      </c>
      <c r="L1959" s="6">
        <v>0</v>
      </c>
      <c r="M1959" s="6">
        <v>500</v>
      </c>
      <c r="N1959" s="6">
        <v>500</v>
      </c>
      <c r="O1959" s="6">
        <v>12877.64</v>
      </c>
      <c r="P1959" s="7">
        <v>0</v>
      </c>
      <c r="Q1959" s="6">
        <v>0</v>
      </c>
    </row>
    <row r="1960" spans="1:17">
      <c r="A1960">
        <v>1959</v>
      </c>
      <c r="B1960" s="5">
        <v>45876</v>
      </c>
      <c r="C1960" t="s">
        <v>916</v>
      </c>
      <c r="D1960" t="s">
        <v>917</v>
      </c>
      <c r="E1960" t="s">
        <v>918</v>
      </c>
      <c r="F1960">
        <v>8</v>
      </c>
      <c r="G1960" t="s">
        <v>1143</v>
      </c>
      <c r="H1960" t="s">
        <v>1144</v>
      </c>
      <c r="I1960" t="s">
        <v>16</v>
      </c>
      <c r="J1960" t="s">
        <v>52</v>
      </c>
      <c r="K1960" t="s">
        <v>35</v>
      </c>
      <c r="L1960" s="6">
        <v>0</v>
      </c>
      <c r="M1960" s="6">
        <v>600</v>
      </c>
      <c r="N1960" s="6">
        <v>600</v>
      </c>
      <c r="O1960" s="6">
        <v>13477.64</v>
      </c>
      <c r="P1960" s="7">
        <v>0</v>
      </c>
      <c r="Q1960" s="6">
        <v>0</v>
      </c>
    </row>
    <row r="1961" spans="1:17">
      <c r="A1961">
        <v>1960</v>
      </c>
      <c r="B1961" s="5">
        <v>45876</v>
      </c>
      <c r="C1961" t="s">
        <v>916</v>
      </c>
      <c r="D1961" t="s">
        <v>917</v>
      </c>
      <c r="E1961" t="s">
        <v>918</v>
      </c>
      <c r="F1961">
        <v>8</v>
      </c>
      <c r="G1961" t="s">
        <v>1014</v>
      </c>
      <c r="H1961" t="s">
        <v>1015</v>
      </c>
      <c r="I1961" t="s">
        <v>16</v>
      </c>
      <c r="J1961" t="s">
        <v>52</v>
      </c>
      <c r="K1961" t="s">
        <v>35</v>
      </c>
      <c r="L1961" s="6">
        <v>0</v>
      </c>
      <c r="M1961" s="6">
        <v>889</v>
      </c>
      <c r="N1961" s="6">
        <v>889</v>
      </c>
      <c r="O1961" s="6">
        <v>14366.64</v>
      </c>
      <c r="P1961" s="7">
        <v>0</v>
      </c>
      <c r="Q1961" s="6">
        <v>0</v>
      </c>
    </row>
    <row r="1962" spans="1:17">
      <c r="A1962">
        <v>1961</v>
      </c>
      <c r="B1962" s="5">
        <v>45876</v>
      </c>
      <c r="C1962" t="s">
        <v>916</v>
      </c>
      <c r="D1962" t="s">
        <v>917</v>
      </c>
      <c r="E1962" t="s">
        <v>918</v>
      </c>
      <c r="F1962">
        <v>8</v>
      </c>
      <c r="G1962" t="s">
        <v>1270</v>
      </c>
      <c r="H1962" t="s">
        <v>1271</v>
      </c>
      <c r="I1962" t="s">
        <v>16</v>
      </c>
      <c r="J1962" t="s">
        <v>52</v>
      </c>
      <c r="K1962" t="s">
        <v>35</v>
      </c>
      <c r="L1962" s="6">
        <v>0</v>
      </c>
      <c r="M1962" s="6">
        <v>1000</v>
      </c>
      <c r="N1962" s="6">
        <v>1000</v>
      </c>
      <c r="O1962" s="6">
        <v>15366.64</v>
      </c>
      <c r="P1962" s="7">
        <v>0</v>
      </c>
      <c r="Q1962" s="6">
        <v>0</v>
      </c>
    </row>
    <row r="1963" spans="1:17">
      <c r="A1963">
        <v>1962</v>
      </c>
      <c r="B1963" s="5">
        <v>45876</v>
      </c>
      <c r="C1963" t="s">
        <v>916</v>
      </c>
      <c r="D1963" t="s">
        <v>917</v>
      </c>
      <c r="E1963" t="s">
        <v>918</v>
      </c>
      <c r="F1963">
        <v>8</v>
      </c>
      <c r="G1963" t="s">
        <v>1272</v>
      </c>
      <c r="H1963" t="s">
        <v>1273</v>
      </c>
      <c r="I1963" t="s">
        <v>16</v>
      </c>
      <c r="J1963" t="s">
        <v>52</v>
      </c>
      <c r="K1963" t="s">
        <v>35</v>
      </c>
      <c r="L1963" s="6">
        <v>0</v>
      </c>
      <c r="M1963" s="6">
        <v>1000</v>
      </c>
      <c r="N1963" s="6">
        <v>1000</v>
      </c>
      <c r="O1963" s="6">
        <v>16366.64</v>
      </c>
      <c r="P1963" s="7">
        <v>0</v>
      </c>
      <c r="Q1963" s="6">
        <v>0</v>
      </c>
    </row>
    <row r="1964" spans="1:17">
      <c r="A1964">
        <v>1963</v>
      </c>
      <c r="B1964" s="5">
        <v>45876</v>
      </c>
      <c r="C1964" t="s">
        <v>916</v>
      </c>
      <c r="D1964" t="s">
        <v>917</v>
      </c>
      <c r="E1964" t="s">
        <v>918</v>
      </c>
      <c r="F1964">
        <v>8</v>
      </c>
      <c r="G1964" t="s">
        <v>1274</v>
      </c>
      <c r="I1964" t="s">
        <v>16</v>
      </c>
      <c r="J1964" t="s">
        <v>52</v>
      </c>
      <c r="K1964" t="s">
        <v>35</v>
      </c>
      <c r="L1964" s="6">
        <v>0</v>
      </c>
      <c r="M1964" s="6">
        <v>9176</v>
      </c>
      <c r="N1964" s="6">
        <v>9176</v>
      </c>
      <c r="O1964" s="6">
        <v>25542.639999999999</v>
      </c>
      <c r="P1964" s="7">
        <v>0</v>
      </c>
      <c r="Q1964" s="6">
        <v>0</v>
      </c>
    </row>
    <row r="1965" spans="1:17">
      <c r="A1965">
        <v>1964</v>
      </c>
      <c r="B1965" s="5">
        <v>45877</v>
      </c>
      <c r="C1965" t="s">
        <v>916</v>
      </c>
      <c r="D1965" t="s">
        <v>917</v>
      </c>
      <c r="E1965" t="s">
        <v>918</v>
      </c>
      <c r="F1965">
        <v>8</v>
      </c>
      <c r="G1965" t="s">
        <v>1155</v>
      </c>
      <c r="H1965" t="s">
        <v>1156</v>
      </c>
      <c r="I1965" t="s">
        <v>16</v>
      </c>
      <c r="J1965" t="s">
        <v>52</v>
      </c>
      <c r="K1965" t="s">
        <v>35</v>
      </c>
      <c r="L1965" s="6">
        <v>0</v>
      </c>
      <c r="M1965" s="6">
        <v>1000</v>
      </c>
      <c r="N1965" s="6">
        <v>1000</v>
      </c>
      <c r="O1965" s="6">
        <v>26542.639999999999</v>
      </c>
      <c r="P1965" s="7">
        <v>0</v>
      </c>
      <c r="Q1965" s="6">
        <v>0</v>
      </c>
    </row>
    <row r="1966" spans="1:17">
      <c r="A1966">
        <v>1965</v>
      </c>
      <c r="B1966" s="5">
        <v>45877</v>
      </c>
      <c r="C1966" t="s">
        <v>916</v>
      </c>
      <c r="D1966" t="s">
        <v>917</v>
      </c>
      <c r="E1966" t="s">
        <v>918</v>
      </c>
      <c r="F1966">
        <v>8</v>
      </c>
      <c r="G1966" t="s">
        <v>1275</v>
      </c>
      <c r="H1966" t="s">
        <v>66</v>
      </c>
      <c r="I1966" t="s">
        <v>22</v>
      </c>
      <c r="J1966" t="s">
        <v>67</v>
      </c>
      <c r="K1966" t="s">
        <v>34</v>
      </c>
      <c r="L1966" s="6">
        <v>1000</v>
      </c>
      <c r="M1966" s="6">
        <v>0</v>
      </c>
      <c r="N1966" s="6">
        <v>-1000</v>
      </c>
      <c r="O1966" s="6">
        <v>25542.639999999999</v>
      </c>
      <c r="P1966" s="7">
        <v>0</v>
      </c>
      <c r="Q1966" s="6">
        <v>0</v>
      </c>
    </row>
    <row r="1967" spans="1:17">
      <c r="A1967">
        <v>1966</v>
      </c>
      <c r="B1967" s="5">
        <v>45877</v>
      </c>
      <c r="C1967" t="s">
        <v>916</v>
      </c>
      <c r="D1967" t="s">
        <v>917</v>
      </c>
      <c r="E1967" t="s">
        <v>918</v>
      </c>
      <c r="F1967">
        <v>8</v>
      </c>
      <c r="G1967" t="s">
        <v>1276</v>
      </c>
      <c r="H1967" t="s">
        <v>1277</v>
      </c>
      <c r="I1967" t="s">
        <v>18</v>
      </c>
      <c r="J1967" t="s">
        <v>345</v>
      </c>
      <c r="K1967" t="s">
        <v>34</v>
      </c>
      <c r="L1967" s="6">
        <v>109.04</v>
      </c>
      <c r="M1967" s="6">
        <v>0</v>
      </c>
      <c r="N1967" s="6">
        <v>-109.04</v>
      </c>
      <c r="O1967" s="6">
        <v>25433.599999999999</v>
      </c>
      <c r="P1967" s="7">
        <v>0</v>
      </c>
      <c r="Q1967" s="6">
        <v>0</v>
      </c>
    </row>
    <row r="1968" spans="1:17">
      <c r="A1968">
        <v>1967</v>
      </c>
      <c r="B1968" s="5">
        <v>45877</v>
      </c>
      <c r="C1968" t="s">
        <v>916</v>
      </c>
      <c r="D1968" t="s">
        <v>917</v>
      </c>
      <c r="E1968" t="s">
        <v>918</v>
      </c>
      <c r="F1968">
        <v>8</v>
      </c>
      <c r="G1968" t="s">
        <v>346</v>
      </c>
      <c r="I1968" t="s">
        <v>14</v>
      </c>
      <c r="J1968" t="s">
        <v>46</v>
      </c>
      <c r="K1968" t="s">
        <v>34</v>
      </c>
      <c r="L1968" s="6">
        <v>20</v>
      </c>
      <c r="M1968" s="6">
        <v>0</v>
      </c>
      <c r="N1968" s="6">
        <v>-20</v>
      </c>
      <c r="O1968" s="6">
        <v>25413.599999999999</v>
      </c>
      <c r="P1968" s="7">
        <v>0.15</v>
      </c>
      <c r="Q1968" s="6">
        <v>2.61</v>
      </c>
    </row>
    <row r="1969" spans="1:17">
      <c r="A1969">
        <v>1968</v>
      </c>
      <c r="B1969" s="5">
        <v>45877</v>
      </c>
      <c r="C1969" t="s">
        <v>916</v>
      </c>
      <c r="D1969" t="s">
        <v>917</v>
      </c>
      <c r="E1969" t="s">
        <v>918</v>
      </c>
      <c r="F1969">
        <v>8</v>
      </c>
      <c r="G1969" t="s">
        <v>1278</v>
      </c>
      <c r="H1969" t="s">
        <v>1279</v>
      </c>
      <c r="I1969" t="s">
        <v>18</v>
      </c>
      <c r="J1969" t="s">
        <v>345</v>
      </c>
      <c r="K1969" t="s">
        <v>34</v>
      </c>
      <c r="L1969" s="6">
        <v>500</v>
      </c>
      <c r="M1969" s="6">
        <v>0</v>
      </c>
      <c r="N1969" s="6">
        <v>-500</v>
      </c>
      <c r="O1969" s="6">
        <v>24913.599999999999</v>
      </c>
      <c r="P1969" s="7">
        <v>0</v>
      </c>
      <c r="Q1969" s="6">
        <v>0</v>
      </c>
    </row>
    <row r="1970" spans="1:17">
      <c r="A1970">
        <v>1969</v>
      </c>
      <c r="B1970" s="5">
        <v>45877</v>
      </c>
      <c r="C1970" t="s">
        <v>916</v>
      </c>
      <c r="D1970" t="s">
        <v>917</v>
      </c>
      <c r="E1970" t="s">
        <v>918</v>
      </c>
      <c r="F1970">
        <v>8</v>
      </c>
      <c r="G1970" t="s">
        <v>346</v>
      </c>
      <c r="I1970" t="s">
        <v>14</v>
      </c>
      <c r="J1970" t="s">
        <v>46</v>
      </c>
      <c r="K1970" t="s">
        <v>34</v>
      </c>
      <c r="L1970" s="6">
        <v>40</v>
      </c>
      <c r="M1970" s="6">
        <v>0</v>
      </c>
      <c r="N1970" s="6">
        <v>-40</v>
      </c>
      <c r="O1970" s="6">
        <v>24873.599999999999</v>
      </c>
      <c r="P1970" s="7">
        <v>0.15</v>
      </c>
      <c r="Q1970" s="6">
        <v>5.22</v>
      </c>
    </row>
    <row r="1971" spans="1:17">
      <c r="A1971">
        <v>1970</v>
      </c>
      <c r="B1971" s="5">
        <v>45877</v>
      </c>
      <c r="C1971" t="s">
        <v>916</v>
      </c>
      <c r="D1971" t="s">
        <v>917</v>
      </c>
      <c r="E1971" t="s">
        <v>918</v>
      </c>
      <c r="F1971">
        <v>8</v>
      </c>
      <c r="G1971" t="s">
        <v>1280</v>
      </c>
      <c r="H1971" t="s">
        <v>929</v>
      </c>
      <c r="I1971" t="s">
        <v>22</v>
      </c>
      <c r="J1971" t="s">
        <v>67</v>
      </c>
      <c r="K1971" t="s">
        <v>34</v>
      </c>
      <c r="L1971" s="6">
        <v>180</v>
      </c>
      <c r="M1971" s="6">
        <v>0</v>
      </c>
      <c r="N1971" s="6">
        <v>-180</v>
      </c>
      <c r="O1971" s="6">
        <v>24693.599999999999</v>
      </c>
      <c r="P1971" s="7">
        <v>0</v>
      </c>
      <c r="Q1971" s="6">
        <v>0</v>
      </c>
    </row>
    <row r="1972" spans="1:17">
      <c r="A1972">
        <v>1971</v>
      </c>
      <c r="B1972" s="5">
        <v>45877</v>
      </c>
      <c r="C1972" t="s">
        <v>916</v>
      </c>
      <c r="D1972" t="s">
        <v>917</v>
      </c>
      <c r="E1972" t="s">
        <v>918</v>
      </c>
      <c r="F1972">
        <v>8</v>
      </c>
      <c r="G1972" t="s">
        <v>1281</v>
      </c>
      <c r="H1972" t="s">
        <v>929</v>
      </c>
      <c r="I1972" t="s">
        <v>22</v>
      </c>
      <c r="J1972" t="s">
        <v>67</v>
      </c>
      <c r="K1972" t="s">
        <v>34</v>
      </c>
      <c r="L1972" s="6">
        <v>1000</v>
      </c>
      <c r="M1972" s="6">
        <v>0</v>
      </c>
      <c r="N1972" s="6">
        <v>-1000</v>
      </c>
      <c r="O1972" s="6">
        <v>23693.599999999999</v>
      </c>
      <c r="P1972" s="7">
        <v>0</v>
      </c>
      <c r="Q1972" s="6">
        <v>0</v>
      </c>
    </row>
    <row r="1973" spans="1:17">
      <c r="A1973">
        <v>1972</v>
      </c>
      <c r="B1973" s="5">
        <v>45877</v>
      </c>
      <c r="C1973" t="s">
        <v>916</v>
      </c>
      <c r="D1973" t="s">
        <v>917</v>
      </c>
      <c r="E1973" t="s">
        <v>918</v>
      </c>
      <c r="F1973">
        <v>8</v>
      </c>
      <c r="G1973" t="s">
        <v>1282</v>
      </c>
      <c r="H1973" t="s">
        <v>929</v>
      </c>
      <c r="I1973" t="s">
        <v>22</v>
      </c>
      <c r="J1973" t="s">
        <v>67</v>
      </c>
      <c r="K1973" t="s">
        <v>34</v>
      </c>
      <c r="L1973" s="6">
        <v>500</v>
      </c>
      <c r="M1973" s="6">
        <v>0</v>
      </c>
      <c r="N1973" s="6">
        <v>-500</v>
      </c>
      <c r="O1973" s="6">
        <v>23193.599999999999</v>
      </c>
      <c r="P1973" s="7">
        <v>0</v>
      </c>
      <c r="Q1973" s="6">
        <v>0</v>
      </c>
    </row>
    <row r="1974" spans="1:17">
      <c r="A1974">
        <v>1973</v>
      </c>
      <c r="B1974" s="5">
        <v>45877</v>
      </c>
      <c r="C1974" t="s">
        <v>916</v>
      </c>
      <c r="D1974" t="s">
        <v>917</v>
      </c>
      <c r="E1974" t="s">
        <v>918</v>
      </c>
      <c r="F1974">
        <v>8</v>
      </c>
      <c r="G1974" t="s">
        <v>1283</v>
      </c>
      <c r="H1974" t="s">
        <v>66</v>
      </c>
      <c r="I1974" t="s">
        <v>22</v>
      </c>
      <c r="J1974" t="s">
        <v>67</v>
      </c>
      <c r="K1974" t="s">
        <v>34</v>
      </c>
      <c r="L1974" s="6">
        <v>200</v>
      </c>
      <c r="M1974" s="6">
        <v>0</v>
      </c>
      <c r="N1974" s="6">
        <v>-200</v>
      </c>
      <c r="O1974" s="6">
        <v>22993.599999999999</v>
      </c>
      <c r="P1974" s="7">
        <v>0</v>
      </c>
      <c r="Q1974" s="6">
        <v>0</v>
      </c>
    </row>
    <row r="1975" spans="1:17">
      <c r="A1975">
        <v>1974</v>
      </c>
      <c r="B1975" s="5">
        <v>45877</v>
      </c>
      <c r="C1975" t="s">
        <v>916</v>
      </c>
      <c r="D1975" t="s">
        <v>917</v>
      </c>
      <c r="E1975" t="s">
        <v>918</v>
      </c>
      <c r="F1975">
        <v>8</v>
      </c>
      <c r="G1975" t="s">
        <v>1284</v>
      </c>
      <c r="H1975" t="s">
        <v>66</v>
      </c>
      <c r="I1975" t="s">
        <v>22</v>
      </c>
      <c r="J1975" t="s">
        <v>67</v>
      </c>
      <c r="K1975" t="s">
        <v>34</v>
      </c>
      <c r="L1975" s="6">
        <v>394.19</v>
      </c>
      <c r="M1975" s="6">
        <v>0</v>
      </c>
      <c r="N1975" s="6">
        <v>-394.19</v>
      </c>
      <c r="O1975" s="6">
        <v>22599.41</v>
      </c>
      <c r="P1975" s="7">
        <v>0</v>
      </c>
      <c r="Q1975" s="6">
        <v>0</v>
      </c>
    </row>
    <row r="1976" spans="1:17">
      <c r="A1976">
        <v>1975</v>
      </c>
      <c r="B1976" s="5">
        <v>45877</v>
      </c>
      <c r="C1976" t="s">
        <v>916</v>
      </c>
      <c r="D1976" t="s">
        <v>917</v>
      </c>
      <c r="E1976" t="s">
        <v>918</v>
      </c>
      <c r="F1976">
        <v>8</v>
      </c>
      <c r="G1976" t="s">
        <v>1285</v>
      </c>
      <c r="H1976" t="s">
        <v>929</v>
      </c>
      <c r="I1976" t="s">
        <v>22</v>
      </c>
      <c r="J1976" t="s">
        <v>67</v>
      </c>
      <c r="K1976" t="s">
        <v>34</v>
      </c>
      <c r="L1976" s="6">
        <v>500.27</v>
      </c>
      <c r="M1976" s="6">
        <v>0</v>
      </c>
      <c r="N1976" s="6">
        <v>-500.27</v>
      </c>
      <c r="O1976" s="6">
        <v>22099.14</v>
      </c>
      <c r="P1976" s="7">
        <v>0</v>
      </c>
      <c r="Q1976" s="6">
        <v>0</v>
      </c>
    </row>
    <row r="1977" spans="1:17">
      <c r="A1977">
        <v>1976</v>
      </c>
      <c r="B1977" s="5">
        <v>45877</v>
      </c>
      <c r="C1977" t="s">
        <v>916</v>
      </c>
      <c r="D1977" t="s">
        <v>917</v>
      </c>
      <c r="E1977" t="s">
        <v>918</v>
      </c>
      <c r="F1977">
        <v>8</v>
      </c>
      <c r="G1977" t="s">
        <v>1286</v>
      </c>
      <c r="H1977" t="s">
        <v>66</v>
      </c>
      <c r="I1977" t="s">
        <v>22</v>
      </c>
      <c r="J1977" t="s">
        <v>67</v>
      </c>
      <c r="K1977" t="s">
        <v>34</v>
      </c>
      <c r="L1977" s="6">
        <v>200</v>
      </c>
      <c r="M1977" s="6">
        <v>0</v>
      </c>
      <c r="N1977" s="6">
        <v>-200</v>
      </c>
      <c r="O1977" s="6">
        <v>21899.14</v>
      </c>
      <c r="P1977" s="7">
        <v>0</v>
      </c>
      <c r="Q1977" s="6">
        <v>0</v>
      </c>
    </row>
    <row r="1978" spans="1:17">
      <c r="A1978">
        <v>1977</v>
      </c>
      <c r="B1978" s="5">
        <v>45877</v>
      </c>
      <c r="C1978" t="s">
        <v>916</v>
      </c>
      <c r="D1978" t="s">
        <v>917</v>
      </c>
      <c r="E1978" t="s">
        <v>918</v>
      </c>
      <c r="F1978">
        <v>8</v>
      </c>
      <c r="G1978" t="s">
        <v>1287</v>
      </c>
      <c r="H1978" t="s">
        <v>929</v>
      </c>
      <c r="I1978" t="s">
        <v>22</v>
      </c>
      <c r="J1978" t="s">
        <v>67</v>
      </c>
      <c r="K1978" t="s">
        <v>34</v>
      </c>
      <c r="L1978" s="6">
        <v>500</v>
      </c>
      <c r="M1978" s="6">
        <v>0</v>
      </c>
      <c r="N1978" s="6">
        <v>-500</v>
      </c>
      <c r="O1978" s="6">
        <v>21399.14</v>
      </c>
      <c r="P1978" s="7">
        <v>0</v>
      </c>
      <c r="Q1978" s="6">
        <v>0</v>
      </c>
    </row>
    <row r="1979" spans="1:17">
      <c r="A1979">
        <v>1978</v>
      </c>
      <c r="B1979" s="5">
        <v>45877</v>
      </c>
      <c r="C1979" t="s">
        <v>916</v>
      </c>
      <c r="D1979" t="s">
        <v>917</v>
      </c>
      <c r="E1979" t="s">
        <v>918</v>
      </c>
      <c r="F1979">
        <v>8</v>
      </c>
      <c r="G1979" t="s">
        <v>1288</v>
      </c>
      <c r="H1979" t="s">
        <v>929</v>
      </c>
      <c r="I1979" t="s">
        <v>22</v>
      </c>
      <c r="J1979" t="s">
        <v>67</v>
      </c>
      <c r="K1979" t="s">
        <v>34</v>
      </c>
      <c r="L1979" s="6">
        <v>1565.79</v>
      </c>
      <c r="M1979" s="6">
        <v>0</v>
      </c>
      <c r="N1979" s="6">
        <v>-1565.79</v>
      </c>
      <c r="O1979" s="6">
        <v>19833.349999999999</v>
      </c>
      <c r="P1979" s="7">
        <v>0</v>
      </c>
      <c r="Q1979" s="6">
        <v>0</v>
      </c>
    </row>
    <row r="1980" spans="1:17">
      <c r="A1980">
        <v>1979</v>
      </c>
      <c r="B1980" s="5">
        <v>45877</v>
      </c>
      <c r="C1980" t="s">
        <v>916</v>
      </c>
      <c r="D1980" t="s">
        <v>917</v>
      </c>
      <c r="E1980" t="s">
        <v>918</v>
      </c>
      <c r="F1980">
        <v>8</v>
      </c>
      <c r="G1980" t="s">
        <v>1289</v>
      </c>
      <c r="H1980" t="s">
        <v>929</v>
      </c>
      <c r="I1980" t="s">
        <v>22</v>
      </c>
      <c r="J1980" t="s">
        <v>67</v>
      </c>
      <c r="K1980" t="s">
        <v>34</v>
      </c>
      <c r="L1980" s="6">
        <v>320.66000000000003</v>
      </c>
      <c r="M1980" s="6">
        <v>0</v>
      </c>
      <c r="N1980" s="6">
        <v>-320.66000000000003</v>
      </c>
      <c r="O1980" s="6">
        <v>19512.689999999999</v>
      </c>
      <c r="P1980" s="7">
        <v>0</v>
      </c>
      <c r="Q1980" s="6">
        <v>0</v>
      </c>
    </row>
    <row r="1981" spans="1:17">
      <c r="A1981">
        <v>1980</v>
      </c>
      <c r="B1981" s="5">
        <v>45877</v>
      </c>
      <c r="C1981" t="s">
        <v>916</v>
      </c>
      <c r="D1981" t="s">
        <v>917</v>
      </c>
      <c r="E1981" t="s">
        <v>918</v>
      </c>
      <c r="F1981">
        <v>8</v>
      </c>
      <c r="G1981" t="s">
        <v>1290</v>
      </c>
      <c r="H1981" t="s">
        <v>66</v>
      </c>
      <c r="I1981" t="s">
        <v>22</v>
      </c>
      <c r="J1981" t="s">
        <v>67</v>
      </c>
      <c r="K1981" t="s">
        <v>34</v>
      </c>
      <c r="L1981" s="6">
        <v>200</v>
      </c>
      <c r="M1981" s="6">
        <v>0</v>
      </c>
      <c r="N1981" s="6">
        <v>-200</v>
      </c>
      <c r="O1981" s="6">
        <v>19312.689999999999</v>
      </c>
      <c r="P1981" s="7">
        <v>0</v>
      </c>
      <c r="Q1981" s="6">
        <v>0</v>
      </c>
    </row>
    <row r="1982" spans="1:17">
      <c r="A1982">
        <v>1981</v>
      </c>
      <c r="B1982" s="5">
        <v>45877</v>
      </c>
      <c r="C1982" t="s">
        <v>916</v>
      </c>
      <c r="D1982" t="s">
        <v>917</v>
      </c>
      <c r="E1982" t="s">
        <v>918</v>
      </c>
      <c r="F1982">
        <v>8</v>
      </c>
      <c r="G1982" t="s">
        <v>1291</v>
      </c>
      <c r="H1982" t="s">
        <v>929</v>
      </c>
      <c r="I1982" t="s">
        <v>22</v>
      </c>
      <c r="J1982" t="s">
        <v>67</v>
      </c>
      <c r="K1982" t="s">
        <v>34</v>
      </c>
      <c r="L1982" s="6">
        <v>4421</v>
      </c>
      <c r="M1982" s="6">
        <v>0</v>
      </c>
      <c r="N1982" s="6">
        <v>-4421</v>
      </c>
      <c r="O1982" s="6">
        <v>14891.69</v>
      </c>
      <c r="P1982" s="7">
        <v>0</v>
      </c>
      <c r="Q1982" s="6">
        <v>0</v>
      </c>
    </row>
    <row r="1983" spans="1:17">
      <c r="A1983">
        <v>1982</v>
      </c>
      <c r="B1983" s="5">
        <v>45877</v>
      </c>
      <c r="C1983" t="s">
        <v>916</v>
      </c>
      <c r="D1983" t="s">
        <v>917</v>
      </c>
      <c r="E1983" t="s">
        <v>918</v>
      </c>
      <c r="F1983">
        <v>8</v>
      </c>
      <c r="G1983" t="s">
        <v>1292</v>
      </c>
      <c r="I1983" t="s">
        <v>15</v>
      </c>
      <c r="J1983" t="s">
        <v>52</v>
      </c>
      <c r="K1983" t="s">
        <v>35</v>
      </c>
      <c r="L1983" s="6">
        <v>0</v>
      </c>
      <c r="M1983" s="6">
        <v>62942</v>
      </c>
      <c r="N1983" s="6">
        <v>62942</v>
      </c>
      <c r="O1983" s="6">
        <v>77833.69</v>
      </c>
      <c r="P1983" s="7">
        <v>0</v>
      </c>
      <c r="Q1983" s="6">
        <v>0</v>
      </c>
    </row>
    <row r="1984" spans="1:17">
      <c r="A1984">
        <v>1983</v>
      </c>
      <c r="B1984" s="5">
        <v>45877</v>
      </c>
      <c r="C1984" t="s">
        <v>916</v>
      </c>
      <c r="D1984" t="s">
        <v>917</v>
      </c>
      <c r="E1984" t="s">
        <v>918</v>
      </c>
      <c r="F1984">
        <v>8</v>
      </c>
      <c r="G1984" t="s">
        <v>900</v>
      </c>
      <c r="I1984" t="s">
        <v>16</v>
      </c>
      <c r="J1984" t="s">
        <v>52</v>
      </c>
      <c r="K1984" t="s">
        <v>35</v>
      </c>
      <c r="L1984" s="6">
        <v>0</v>
      </c>
      <c r="M1984" s="6">
        <v>1555.12</v>
      </c>
      <c r="N1984" s="6">
        <v>1555.12</v>
      </c>
      <c r="O1984" s="6">
        <v>79388.81</v>
      </c>
      <c r="P1984" s="7">
        <v>0</v>
      </c>
      <c r="Q1984" s="6">
        <v>0</v>
      </c>
    </row>
    <row r="1985" spans="1:18">
      <c r="A1985">
        <v>1984</v>
      </c>
      <c r="B1985" s="5">
        <v>45877</v>
      </c>
      <c r="C1985" t="s">
        <v>916</v>
      </c>
      <c r="D1985" t="s">
        <v>917</v>
      </c>
      <c r="E1985" t="s">
        <v>918</v>
      </c>
      <c r="F1985">
        <v>8</v>
      </c>
      <c r="G1985" t="s">
        <v>1293</v>
      </c>
      <c r="H1985" t="s">
        <v>66</v>
      </c>
      <c r="I1985" t="s">
        <v>22</v>
      </c>
      <c r="J1985" t="s">
        <v>67</v>
      </c>
      <c r="K1985" t="s">
        <v>34</v>
      </c>
      <c r="L1985" s="6">
        <v>30000</v>
      </c>
      <c r="M1985" s="6">
        <v>0</v>
      </c>
      <c r="N1985" s="6">
        <v>-30000</v>
      </c>
      <c r="O1985" s="6">
        <v>49388.81</v>
      </c>
      <c r="P1985" s="7">
        <v>0</v>
      </c>
      <c r="Q1985" s="6">
        <v>0</v>
      </c>
    </row>
    <row r="1986" spans="1:18">
      <c r="A1986">
        <v>1985</v>
      </c>
      <c r="B1986" s="5">
        <v>45877</v>
      </c>
      <c r="C1986" t="s">
        <v>916</v>
      </c>
      <c r="D1986" t="s">
        <v>917</v>
      </c>
      <c r="E1986" t="s">
        <v>918</v>
      </c>
      <c r="F1986">
        <v>8</v>
      </c>
      <c r="G1986" t="s">
        <v>1294</v>
      </c>
      <c r="H1986" t="s">
        <v>66</v>
      </c>
      <c r="I1986" t="s">
        <v>22</v>
      </c>
      <c r="J1986" t="s">
        <v>67</v>
      </c>
      <c r="K1986" t="s">
        <v>34</v>
      </c>
      <c r="L1986" s="6">
        <v>7600.36</v>
      </c>
      <c r="M1986" s="6">
        <v>0</v>
      </c>
      <c r="N1986" s="6">
        <v>-7600.36</v>
      </c>
      <c r="O1986" s="6">
        <v>41788.449999999997</v>
      </c>
      <c r="P1986" s="7">
        <v>0</v>
      </c>
      <c r="Q1986" s="6">
        <v>0</v>
      </c>
    </row>
    <row r="1987" spans="1:18">
      <c r="A1987">
        <v>1986</v>
      </c>
      <c r="B1987" s="5">
        <v>45877</v>
      </c>
      <c r="C1987" t="s">
        <v>916</v>
      </c>
      <c r="D1987" t="s">
        <v>917</v>
      </c>
      <c r="E1987" t="s">
        <v>918</v>
      </c>
      <c r="F1987">
        <v>8</v>
      </c>
      <c r="G1987" t="s">
        <v>1295</v>
      </c>
      <c r="H1987" t="s">
        <v>66</v>
      </c>
      <c r="I1987" t="s">
        <v>22</v>
      </c>
      <c r="J1987" t="s">
        <v>67</v>
      </c>
      <c r="K1987" t="s">
        <v>34</v>
      </c>
      <c r="L1987" s="6">
        <v>15000</v>
      </c>
      <c r="M1987" s="6">
        <v>0</v>
      </c>
      <c r="N1987" s="6">
        <v>-15000</v>
      </c>
      <c r="O1987" s="6">
        <v>26788.45</v>
      </c>
      <c r="P1987" s="7">
        <v>0</v>
      </c>
      <c r="Q1987" s="6">
        <v>0</v>
      </c>
    </row>
    <row r="1988" spans="1:18">
      <c r="A1988">
        <v>1987</v>
      </c>
      <c r="B1988" s="5">
        <v>45877</v>
      </c>
      <c r="C1988" t="s">
        <v>916</v>
      </c>
      <c r="D1988" t="s">
        <v>917</v>
      </c>
      <c r="E1988" t="s">
        <v>918</v>
      </c>
      <c r="F1988">
        <v>8</v>
      </c>
      <c r="G1988" t="s">
        <v>1296</v>
      </c>
      <c r="H1988" t="s">
        <v>66</v>
      </c>
      <c r="I1988" t="s">
        <v>22</v>
      </c>
      <c r="J1988" t="s">
        <v>67</v>
      </c>
      <c r="K1988" t="s">
        <v>34</v>
      </c>
      <c r="L1988" s="6">
        <v>2481.08</v>
      </c>
      <c r="M1988" s="6">
        <v>0</v>
      </c>
      <c r="N1988" s="6">
        <v>-2481.08</v>
      </c>
      <c r="O1988" s="6">
        <v>24307.37</v>
      </c>
      <c r="P1988" s="7">
        <v>0</v>
      </c>
      <c r="Q1988" s="6">
        <v>0</v>
      </c>
    </row>
    <row r="1989" spans="1:18">
      <c r="A1989">
        <v>1988</v>
      </c>
      <c r="B1989" s="5">
        <v>45877</v>
      </c>
      <c r="C1989" t="s">
        <v>916</v>
      </c>
      <c r="D1989" t="s">
        <v>917</v>
      </c>
      <c r="E1989" t="s">
        <v>918</v>
      </c>
      <c r="F1989">
        <v>8</v>
      </c>
      <c r="G1989" t="s">
        <v>1297</v>
      </c>
      <c r="H1989" t="s">
        <v>929</v>
      </c>
      <c r="I1989" t="s">
        <v>22</v>
      </c>
      <c r="J1989" t="s">
        <v>67</v>
      </c>
      <c r="K1989" t="s">
        <v>34</v>
      </c>
      <c r="L1989" s="6">
        <v>1000</v>
      </c>
      <c r="M1989" s="6">
        <v>0</v>
      </c>
      <c r="N1989" s="6">
        <v>-1000</v>
      </c>
      <c r="O1989" s="6">
        <v>23307.37</v>
      </c>
      <c r="P1989" s="7">
        <v>0</v>
      </c>
      <c r="Q1989" s="6">
        <v>0</v>
      </c>
    </row>
    <row r="1990" spans="1:18">
      <c r="A1990">
        <v>1989</v>
      </c>
      <c r="B1990" s="5">
        <v>45877</v>
      </c>
      <c r="C1990" t="s">
        <v>916</v>
      </c>
      <c r="D1990" t="s">
        <v>917</v>
      </c>
      <c r="E1990" t="s">
        <v>918</v>
      </c>
      <c r="F1990">
        <v>8</v>
      </c>
      <c r="G1990" t="s">
        <v>1298</v>
      </c>
      <c r="H1990" t="s">
        <v>929</v>
      </c>
      <c r="I1990" t="s">
        <v>22</v>
      </c>
      <c r="J1990" t="s">
        <v>67</v>
      </c>
      <c r="K1990" t="s">
        <v>34</v>
      </c>
      <c r="L1990" s="6">
        <v>1300</v>
      </c>
      <c r="M1990" s="6">
        <v>0</v>
      </c>
      <c r="N1990" s="6">
        <v>-1300</v>
      </c>
      <c r="O1990" s="6">
        <v>22007.37</v>
      </c>
      <c r="P1990" s="7">
        <v>0</v>
      </c>
      <c r="Q1990" s="6">
        <v>0</v>
      </c>
    </row>
    <row r="1991" spans="1:18">
      <c r="A1991">
        <v>1990</v>
      </c>
      <c r="B1991" s="5">
        <v>45877</v>
      </c>
      <c r="C1991" t="s">
        <v>916</v>
      </c>
      <c r="D1991" t="s">
        <v>917</v>
      </c>
      <c r="E1991" t="s">
        <v>918</v>
      </c>
      <c r="F1991">
        <v>8</v>
      </c>
      <c r="G1991" t="s">
        <v>1299</v>
      </c>
      <c r="H1991" t="s">
        <v>66</v>
      </c>
      <c r="I1991" t="s">
        <v>22</v>
      </c>
      <c r="J1991" t="s">
        <v>67</v>
      </c>
      <c r="K1991" t="s">
        <v>34</v>
      </c>
      <c r="L1991" s="6">
        <v>1160.47</v>
      </c>
      <c r="M1991" s="6">
        <v>0</v>
      </c>
      <c r="N1991" s="6">
        <v>-1160.47</v>
      </c>
      <c r="O1991" s="6">
        <v>20846.900000000001</v>
      </c>
      <c r="P1991" s="7">
        <v>0</v>
      </c>
      <c r="Q1991" s="6">
        <v>0</v>
      </c>
    </row>
    <row r="1992" spans="1:18">
      <c r="A1992">
        <v>1991</v>
      </c>
      <c r="B1992" s="5">
        <v>45877</v>
      </c>
      <c r="C1992" t="s">
        <v>916</v>
      </c>
      <c r="D1992" t="s">
        <v>917</v>
      </c>
      <c r="E1992" t="s">
        <v>918</v>
      </c>
      <c r="F1992">
        <v>8</v>
      </c>
      <c r="G1992" t="s">
        <v>1300</v>
      </c>
      <c r="H1992" t="s">
        <v>66</v>
      </c>
      <c r="I1992" t="s">
        <v>22</v>
      </c>
      <c r="J1992" t="s">
        <v>67</v>
      </c>
      <c r="K1992" t="s">
        <v>34</v>
      </c>
      <c r="L1992" s="6">
        <v>900</v>
      </c>
      <c r="M1992" s="6">
        <v>0</v>
      </c>
      <c r="N1992" s="6">
        <v>-900</v>
      </c>
      <c r="O1992" s="6">
        <v>19946.900000000001</v>
      </c>
      <c r="P1992" s="7">
        <v>0</v>
      </c>
      <c r="Q1992" s="6">
        <v>0</v>
      </c>
    </row>
    <row r="1993" spans="1:18">
      <c r="A1993">
        <v>1992</v>
      </c>
      <c r="B1993" s="5">
        <v>45877</v>
      </c>
      <c r="C1993" t="s">
        <v>916</v>
      </c>
      <c r="D1993" t="s">
        <v>917</v>
      </c>
      <c r="E1993" t="s">
        <v>918</v>
      </c>
      <c r="F1993">
        <v>8</v>
      </c>
      <c r="G1993" t="s">
        <v>1301</v>
      </c>
      <c r="I1993" t="s">
        <v>20</v>
      </c>
      <c r="J1993" t="s">
        <v>20</v>
      </c>
      <c r="K1993" t="s">
        <v>35</v>
      </c>
      <c r="L1993" s="6">
        <v>0</v>
      </c>
      <c r="M1993" s="6">
        <v>46200</v>
      </c>
      <c r="N1993" s="6">
        <v>46200</v>
      </c>
      <c r="O1993" s="6">
        <v>66146.899999999994</v>
      </c>
      <c r="P1993" s="7">
        <v>0</v>
      </c>
      <c r="Q1993" s="6">
        <v>0</v>
      </c>
      <c r="R1993" t="s">
        <v>169</v>
      </c>
    </row>
    <row r="1994" spans="1:18">
      <c r="A1994">
        <v>1993</v>
      </c>
      <c r="B1994" s="5">
        <v>45877</v>
      </c>
      <c r="C1994" t="s">
        <v>916</v>
      </c>
      <c r="D1994" t="s">
        <v>917</v>
      </c>
      <c r="E1994" t="s">
        <v>918</v>
      </c>
      <c r="F1994">
        <v>8</v>
      </c>
      <c r="G1994" t="s">
        <v>1302</v>
      </c>
      <c r="H1994" t="s">
        <v>66</v>
      </c>
      <c r="I1994" t="s">
        <v>22</v>
      </c>
      <c r="J1994" t="s">
        <v>67</v>
      </c>
      <c r="K1994" t="s">
        <v>34</v>
      </c>
      <c r="L1994" s="6">
        <v>4462.05</v>
      </c>
      <c r="M1994" s="6">
        <v>0</v>
      </c>
      <c r="N1994" s="6">
        <v>-4462.05</v>
      </c>
      <c r="O1994" s="6">
        <v>61684.85</v>
      </c>
      <c r="P1994" s="7">
        <v>0</v>
      </c>
      <c r="Q1994" s="6">
        <v>0</v>
      </c>
    </row>
    <row r="1995" spans="1:18">
      <c r="A1995">
        <v>1994</v>
      </c>
      <c r="B1995" s="5">
        <v>45877</v>
      </c>
      <c r="C1995" t="s">
        <v>916</v>
      </c>
      <c r="D1995" t="s">
        <v>917</v>
      </c>
      <c r="E1995" t="s">
        <v>918</v>
      </c>
      <c r="F1995">
        <v>8</v>
      </c>
      <c r="G1995" t="s">
        <v>1303</v>
      </c>
      <c r="H1995" t="s">
        <v>66</v>
      </c>
      <c r="I1995" t="s">
        <v>22</v>
      </c>
      <c r="J1995" t="s">
        <v>67</v>
      </c>
      <c r="K1995" t="s">
        <v>34</v>
      </c>
      <c r="L1995" s="6">
        <v>9000</v>
      </c>
      <c r="M1995" s="6">
        <v>0</v>
      </c>
      <c r="N1995" s="6">
        <v>-9000</v>
      </c>
      <c r="O1995" s="6">
        <v>52684.85</v>
      </c>
      <c r="P1995" s="7">
        <v>0</v>
      </c>
      <c r="Q1995" s="6">
        <v>0</v>
      </c>
    </row>
    <row r="1996" spans="1:18">
      <c r="A1996">
        <v>1995</v>
      </c>
      <c r="B1996" s="5">
        <v>45877</v>
      </c>
      <c r="C1996" t="s">
        <v>916</v>
      </c>
      <c r="D1996" t="s">
        <v>917</v>
      </c>
      <c r="E1996" t="s">
        <v>918</v>
      </c>
      <c r="F1996">
        <v>8</v>
      </c>
      <c r="G1996" t="s">
        <v>1143</v>
      </c>
      <c r="H1996" t="s">
        <v>1144</v>
      </c>
      <c r="I1996" t="s">
        <v>16</v>
      </c>
      <c r="J1996" t="s">
        <v>52</v>
      </c>
      <c r="K1996" t="s">
        <v>35</v>
      </c>
      <c r="L1996" s="6">
        <v>0</v>
      </c>
      <c r="M1996" s="6">
        <v>150</v>
      </c>
      <c r="N1996" s="6">
        <v>150</v>
      </c>
      <c r="O1996" s="6">
        <v>52834.85</v>
      </c>
      <c r="P1996" s="7">
        <v>0</v>
      </c>
      <c r="Q1996" s="6">
        <v>0</v>
      </c>
    </row>
    <row r="1997" spans="1:18">
      <c r="A1997">
        <v>1996</v>
      </c>
      <c r="B1997" s="5">
        <v>45877</v>
      </c>
      <c r="C1997" t="s">
        <v>916</v>
      </c>
      <c r="D1997" t="s">
        <v>917</v>
      </c>
      <c r="E1997" t="s">
        <v>918</v>
      </c>
      <c r="F1997">
        <v>8</v>
      </c>
      <c r="G1997" t="s">
        <v>1304</v>
      </c>
      <c r="H1997" t="s">
        <v>1305</v>
      </c>
      <c r="I1997" t="s">
        <v>16</v>
      </c>
      <c r="J1997" t="s">
        <v>52</v>
      </c>
      <c r="K1997" t="s">
        <v>35</v>
      </c>
      <c r="L1997" s="6">
        <v>0</v>
      </c>
      <c r="M1997" s="6">
        <v>200</v>
      </c>
      <c r="N1997" s="6">
        <v>200</v>
      </c>
      <c r="O1997" s="6">
        <v>53034.85</v>
      </c>
      <c r="P1997" s="7">
        <v>0</v>
      </c>
      <c r="Q1997" s="6">
        <v>0</v>
      </c>
    </row>
    <row r="1998" spans="1:18">
      <c r="A1998">
        <v>1997</v>
      </c>
      <c r="B1998" s="5">
        <v>45877</v>
      </c>
      <c r="C1998" t="s">
        <v>916</v>
      </c>
      <c r="D1998" t="s">
        <v>917</v>
      </c>
      <c r="E1998" t="s">
        <v>918</v>
      </c>
      <c r="F1998">
        <v>8</v>
      </c>
      <c r="G1998" t="s">
        <v>1012</v>
      </c>
      <c r="H1998" t="s">
        <v>1013</v>
      </c>
      <c r="I1998" t="s">
        <v>16</v>
      </c>
      <c r="J1998" t="s">
        <v>52</v>
      </c>
      <c r="K1998" t="s">
        <v>35</v>
      </c>
      <c r="L1998" s="6">
        <v>0</v>
      </c>
      <c r="M1998" s="6">
        <v>500</v>
      </c>
      <c r="N1998" s="6">
        <v>500</v>
      </c>
      <c r="O1998" s="6">
        <v>53534.85</v>
      </c>
      <c r="P1998" s="7">
        <v>0</v>
      </c>
      <c r="Q1998" s="6">
        <v>0</v>
      </c>
    </row>
    <row r="1999" spans="1:18">
      <c r="A1999">
        <v>1998</v>
      </c>
      <c r="B1999" s="5">
        <v>45877</v>
      </c>
      <c r="C1999" t="s">
        <v>916</v>
      </c>
      <c r="D1999" t="s">
        <v>917</v>
      </c>
      <c r="E1999" t="s">
        <v>918</v>
      </c>
      <c r="F1999">
        <v>8</v>
      </c>
      <c r="G1999" t="s">
        <v>1033</v>
      </c>
      <c r="H1999" t="s">
        <v>1034</v>
      </c>
      <c r="I1999" t="s">
        <v>16</v>
      </c>
      <c r="J1999" t="s">
        <v>52</v>
      </c>
      <c r="K1999" t="s">
        <v>35</v>
      </c>
      <c r="L1999" s="6">
        <v>0</v>
      </c>
      <c r="M1999" s="6">
        <v>500</v>
      </c>
      <c r="N1999" s="6">
        <v>500</v>
      </c>
      <c r="O1999" s="6">
        <v>54034.85</v>
      </c>
      <c r="P1999" s="7">
        <v>0</v>
      </c>
      <c r="Q1999" s="6">
        <v>0</v>
      </c>
    </row>
    <row r="2000" spans="1:18">
      <c r="A2000">
        <v>1999</v>
      </c>
      <c r="B2000" s="5">
        <v>45877</v>
      </c>
      <c r="C2000" t="s">
        <v>916</v>
      </c>
      <c r="D2000" t="s">
        <v>917</v>
      </c>
      <c r="E2000" t="s">
        <v>918</v>
      </c>
      <c r="F2000">
        <v>8</v>
      </c>
      <c r="G2000" t="s">
        <v>1306</v>
      </c>
      <c r="H2000" t="s">
        <v>1307</v>
      </c>
      <c r="I2000" t="s">
        <v>16</v>
      </c>
      <c r="J2000" t="s">
        <v>52</v>
      </c>
      <c r="K2000" t="s">
        <v>35</v>
      </c>
      <c r="L2000" s="6">
        <v>0</v>
      </c>
      <c r="M2000" s="6">
        <v>750</v>
      </c>
      <c r="N2000" s="6">
        <v>750</v>
      </c>
      <c r="O2000" s="6">
        <v>54784.85</v>
      </c>
      <c r="P2000" s="7">
        <v>0</v>
      </c>
      <c r="Q2000" s="6">
        <v>0</v>
      </c>
    </row>
    <row r="2001" spans="1:17">
      <c r="A2001">
        <v>2000</v>
      </c>
      <c r="B2001" s="5">
        <v>45877</v>
      </c>
      <c r="C2001" t="s">
        <v>916</v>
      </c>
      <c r="D2001" t="s">
        <v>917</v>
      </c>
      <c r="E2001" t="s">
        <v>918</v>
      </c>
      <c r="F2001">
        <v>8</v>
      </c>
      <c r="G2001" t="s">
        <v>1143</v>
      </c>
      <c r="H2001" t="s">
        <v>1144</v>
      </c>
      <c r="I2001" t="s">
        <v>16</v>
      </c>
      <c r="J2001" t="s">
        <v>52</v>
      </c>
      <c r="K2001" t="s">
        <v>35</v>
      </c>
      <c r="L2001" s="6">
        <v>0</v>
      </c>
      <c r="M2001" s="6">
        <v>800</v>
      </c>
      <c r="N2001" s="6">
        <v>800</v>
      </c>
      <c r="O2001" s="6">
        <v>55584.85</v>
      </c>
      <c r="P2001" s="7">
        <v>0</v>
      </c>
      <c r="Q2001" s="6">
        <v>0</v>
      </c>
    </row>
    <row r="2002" spans="1:17">
      <c r="A2002">
        <v>2001</v>
      </c>
      <c r="B2002" s="5">
        <v>45877</v>
      </c>
      <c r="C2002" t="s">
        <v>916</v>
      </c>
      <c r="D2002" t="s">
        <v>917</v>
      </c>
      <c r="E2002" t="s">
        <v>918</v>
      </c>
      <c r="F2002">
        <v>8</v>
      </c>
      <c r="G2002" t="s">
        <v>1014</v>
      </c>
      <c r="H2002" t="s">
        <v>1015</v>
      </c>
      <c r="I2002" t="s">
        <v>16</v>
      </c>
      <c r="J2002" t="s">
        <v>52</v>
      </c>
      <c r="K2002" t="s">
        <v>35</v>
      </c>
      <c r="L2002" s="6">
        <v>0</v>
      </c>
      <c r="M2002" s="6">
        <v>887</v>
      </c>
      <c r="N2002" s="6">
        <v>887</v>
      </c>
      <c r="O2002" s="6">
        <v>56471.85</v>
      </c>
      <c r="P2002" s="7">
        <v>0</v>
      </c>
      <c r="Q2002" s="6">
        <v>0</v>
      </c>
    </row>
    <row r="2003" spans="1:17">
      <c r="A2003">
        <v>2002</v>
      </c>
      <c r="B2003" s="5">
        <v>45877</v>
      </c>
      <c r="C2003" t="s">
        <v>916</v>
      </c>
      <c r="D2003" t="s">
        <v>917</v>
      </c>
      <c r="E2003" t="s">
        <v>918</v>
      </c>
      <c r="F2003">
        <v>8</v>
      </c>
      <c r="G2003" t="s">
        <v>1014</v>
      </c>
      <c r="H2003" t="s">
        <v>1015</v>
      </c>
      <c r="I2003" t="s">
        <v>16</v>
      </c>
      <c r="J2003" t="s">
        <v>52</v>
      </c>
      <c r="K2003" t="s">
        <v>35</v>
      </c>
      <c r="L2003" s="6">
        <v>0</v>
      </c>
      <c r="M2003" s="6">
        <v>889</v>
      </c>
      <c r="N2003" s="6">
        <v>889</v>
      </c>
      <c r="O2003" s="6">
        <v>57360.85</v>
      </c>
      <c r="P2003" s="7">
        <v>0</v>
      </c>
      <c r="Q2003" s="6">
        <v>0</v>
      </c>
    </row>
    <row r="2004" spans="1:17">
      <c r="A2004">
        <v>2003</v>
      </c>
      <c r="B2004" s="5">
        <v>45877</v>
      </c>
      <c r="C2004" t="s">
        <v>916</v>
      </c>
      <c r="D2004" t="s">
        <v>917</v>
      </c>
      <c r="E2004" t="s">
        <v>918</v>
      </c>
      <c r="F2004">
        <v>8</v>
      </c>
      <c r="G2004" t="s">
        <v>1014</v>
      </c>
      <c r="H2004" t="s">
        <v>1015</v>
      </c>
      <c r="I2004" t="s">
        <v>16</v>
      </c>
      <c r="J2004" t="s">
        <v>52</v>
      </c>
      <c r="K2004" t="s">
        <v>35</v>
      </c>
      <c r="L2004" s="6">
        <v>0</v>
      </c>
      <c r="M2004" s="6">
        <v>978</v>
      </c>
      <c r="N2004" s="6">
        <v>978</v>
      </c>
      <c r="O2004" s="6">
        <v>58338.85</v>
      </c>
      <c r="P2004" s="7">
        <v>0</v>
      </c>
      <c r="Q2004" s="6">
        <v>0</v>
      </c>
    </row>
    <row r="2005" spans="1:17">
      <c r="A2005">
        <v>2004</v>
      </c>
      <c r="B2005" s="5">
        <v>45877</v>
      </c>
      <c r="C2005" t="s">
        <v>916</v>
      </c>
      <c r="D2005" t="s">
        <v>917</v>
      </c>
      <c r="E2005" t="s">
        <v>918</v>
      </c>
      <c r="F2005">
        <v>8</v>
      </c>
      <c r="G2005" t="s">
        <v>1209</v>
      </c>
      <c r="H2005" t="s">
        <v>1210</v>
      </c>
      <c r="I2005" t="s">
        <v>16</v>
      </c>
      <c r="J2005" t="s">
        <v>52</v>
      </c>
      <c r="K2005" t="s">
        <v>35</v>
      </c>
      <c r="L2005" s="6">
        <v>0</v>
      </c>
      <c r="M2005" s="6">
        <v>2000</v>
      </c>
      <c r="N2005" s="6">
        <v>2000</v>
      </c>
      <c r="O2005" s="6">
        <v>60338.85</v>
      </c>
      <c r="P2005" s="7">
        <v>0</v>
      </c>
      <c r="Q2005" s="6">
        <v>0</v>
      </c>
    </row>
    <row r="2006" spans="1:17">
      <c r="A2006">
        <v>2005</v>
      </c>
      <c r="B2006" s="5">
        <v>45877</v>
      </c>
      <c r="C2006" t="s">
        <v>916</v>
      </c>
      <c r="D2006" t="s">
        <v>917</v>
      </c>
      <c r="E2006" t="s">
        <v>918</v>
      </c>
      <c r="F2006">
        <v>8</v>
      </c>
      <c r="G2006" t="s">
        <v>1308</v>
      </c>
      <c r="I2006" t="s">
        <v>16</v>
      </c>
      <c r="J2006" t="s">
        <v>52</v>
      </c>
      <c r="K2006" t="s">
        <v>35</v>
      </c>
      <c r="L2006" s="6">
        <v>0</v>
      </c>
      <c r="M2006" s="6">
        <v>62018</v>
      </c>
      <c r="N2006" s="6">
        <v>62018</v>
      </c>
      <c r="O2006" s="6">
        <v>122356.85</v>
      </c>
      <c r="P2006" s="7">
        <v>0</v>
      </c>
      <c r="Q2006" s="6">
        <v>0</v>
      </c>
    </row>
    <row r="2007" spans="1:17">
      <c r="A2007">
        <v>2006</v>
      </c>
      <c r="B2007" s="5">
        <v>45880</v>
      </c>
      <c r="C2007" t="s">
        <v>916</v>
      </c>
      <c r="D2007" t="s">
        <v>917</v>
      </c>
      <c r="E2007" t="s">
        <v>918</v>
      </c>
      <c r="F2007">
        <v>8</v>
      </c>
      <c r="G2007" t="s">
        <v>1309</v>
      </c>
      <c r="I2007" t="s">
        <v>22</v>
      </c>
      <c r="J2007" t="s">
        <v>67</v>
      </c>
      <c r="K2007" t="s">
        <v>34</v>
      </c>
      <c r="L2007" s="6">
        <v>50000</v>
      </c>
      <c r="M2007" s="6">
        <v>0</v>
      </c>
      <c r="N2007" s="6">
        <v>-50000</v>
      </c>
      <c r="O2007" s="6">
        <v>72356.850000000006</v>
      </c>
      <c r="P2007" s="7">
        <v>0</v>
      </c>
      <c r="Q2007" s="6">
        <v>0</v>
      </c>
    </row>
    <row r="2008" spans="1:17">
      <c r="A2008">
        <v>2007</v>
      </c>
      <c r="B2008" s="5">
        <v>45880</v>
      </c>
      <c r="C2008" t="s">
        <v>916</v>
      </c>
      <c r="D2008" t="s">
        <v>917</v>
      </c>
      <c r="E2008" t="s">
        <v>918</v>
      </c>
      <c r="F2008">
        <v>8</v>
      </c>
      <c r="G2008" t="s">
        <v>1310</v>
      </c>
      <c r="I2008" t="s">
        <v>17</v>
      </c>
      <c r="J2008" t="s">
        <v>64</v>
      </c>
      <c r="K2008" t="s">
        <v>34</v>
      </c>
      <c r="L2008" s="6">
        <v>2500</v>
      </c>
      <c r="M2008" s="6">
        <v>0</v>
      </c>
      <c r="N2008" s="6">
        <v>-2500</v>
      </c>
      <c r="O2008" s="6">
        <v>69856.850000000006</v>
      </c>
      <c r="P2008" s="7">
        <v>0</v>
      </c>
      <c r="Q2008" s="6">
        <v>0</v>
      </c>
    </row>
    <row r="2009" spans="1:17">
      <c r="A2009">
        <v>2008</v>
      </c>
      <c r="B2009" s="5">
        <v>45880</v>
      </c>
      <c r="C2009" t="s">
        <v>916</v>
      </c>
      <c r="D2009" t="s">
        <v>917</v>
      </c>
      <c r="E2009" t="s">
        <v>918</v>
      </c>
      <c r="F2009">
        <v>8</v>
      </c>
      <c r="G2009" t="s">
        <v>1311</v>
      </c>
      <c r="H2009" t="s">
        <v>66</v>
      </c>
      <c r="I2009" t="s">
        <v>22</v>
      </c>
      <c r="J2009" t="s">
        <v>67</v>
      </c>
      <c r="K2009" t="s">
        <v>34</v>
      </c>
      <c r="L2009" s="6">
        <v>100</v>
      </c>
      <c r="M2009" s="6">
        <v>0</v>
      </c>
      <c r="N2009" s="6">
        <v>-100</v>
      </c>
      <c r="O2009" s="6">
        <v>69756.850000000006</v>
      </c>
      <c r="P2009" s="7">
        <v>0</v>
      </c>
      <c r="Q2009" s="6">
        <v>0</v>
      </c>
    </row>
    <row r="2010" spans="1:17">
      <c r="A2010">
        <v>2009</v>
      </c>
      <c r="B2010" s="5">
        <v>45880</v>
      </c>
      <c r="C2010" t="s">
        <v>916</v>
      </c>
      <c r="D2010" t="s">
        <v>917</v>
      </c>
      <c r="E2010" t="s">
        <v>918</v>
      </c>
      <c r="F2010">
        <v>8</v>
      </c>
      <c r="G2010" t="s">
        <v>1312</v>
      </c>
      <c r="H2010" t="s">
        <v>929</v>
      </c>
      <c r="I2010" t="s">
        <v>22</v>
      </c>
      <c r="J2010" t="s">
        <v>67</v>
      </c>
      <c r="K2010" t="s">
        <v>34</v>
      </c>
      <c r="L2010" s="6">
        <v>40</v>
      </c>
      <c r="M2010" s="6">
        <v>0</v>
      </c>
      <c r="N2010" s="6">
        <v>-40</v>
      </c>
      <c r="O2010" s="6">
        <v>69716.850000000006</v>
      </c>
      <c r="P2010" s="7">
        <v>0</v>
      </c>
      <c r="Q2010" s="6">
        <v>0</v>
      </c>
    </row>
    <row r="2011" spans="1:17">
      <c r="A2011">
        <v>2010</v>
      </c>
      <c r="B2011" s="5">
        <v>45880</v>
      </c>
      <c r="C2011" t="s">
        <v>916</v>
      </c>
      <c r="D2011" t="s">
        <v>917</v>
      </c>
      <c r="E2011" t="s">
        <v>918</v>
      </c>
      <c r="F2011">
        <v>8</v>
      </c>
      <c r="G2011" t="s">
        <v>1313</v>
      </c>
      <c r="H2011" t="s">
        <v>66</v>
      </c>
      <c r="I2011" t="s">
        <v>22</v>
      </c>
      <c r="J2011" t="s">
        <v>67</v>
      </c>
      <c r="K2011" t="s">
        <v>34</v>
      </c>
      <c r="L2011" s="6">
        <v>127</v>
      </c>
      <c r="M2011" s="6">
        <v>0</v>
      </c>
      <c r="N2011" s="6">
        <v>-127</v>
      </c>
      <c r="O2011" s="6">
        <v>69589.850000000006</v>
      </c>
      <c r="P2011" s="7">
        <v>0</v>
      </c>
      <c r="Q2011" s="6">
        <v>0</v>
      </c>
    </row>
    <row r="2012" spans="1:17">
      <c r="A2012">
        <v>2011</v>
      </c>
      <c r="B2012" s="5">
        <v>45880</v>
      </c>
      <c r="C2012" t="s">
        <v>916</v>
      </c>
      <c r="D2012" t="s">
        <v>917</v>
      </c>
      <c r="E2012" t="s">
        <v>918</v>
      </c>
      <c r="F2012">
        <v>8</v>
      </c>
      <c r="G2012" t="s">
        <v>1314</v>
      </c>
      <c r="H2012" t="s">
        <v>929</v>
      </c>
      <c r="I2012" t="s">
        <v>22</v>
      </c>
      <c r="J2012" t="s">
        <v>67</v>
      </c>
      <c r="K2012" t="s">
        <v>34</v>
      </c>
      <c r="L2012" s="6">
        <v>200</v>
      </c>
      <c r="M2012" s="6">
        <v>0</v>
      </c>
      <c r="N2012" s="6">
        <v>-200</v>
      </c>
      <c r="O2012" s="6">
        <v>69389.850000000006</v>
      </c>
      <c r="P2012" s="7">
        <v>0</v>
      </c>
      <c r="Q2012" s="6">
        <v>0</v>
      </c>
    </row>
    <row r="2013" spans="1:17">
      <c r="A2013">
        <v>2012</v>
      </c>
      <c r="B2013" s="5">
        <v>45880</v>
      </c>
      <c r="C2013" t="s">
        <v>916</v>
      </c>
      <c r="D2013" t="s">
        <v>917</v>
      </c>
      <c r="E2013" t="s">
        <v>918</v>
      </c>
      <c r="F2013">
        <v>8</v>
      </c>
      <c r="G2013" t="s">
        <v>1315</v>
      </c>
      <c r="H2013" t="s">
        <v>66</v>
      </c>
      <c r="I2013" t="s">
        <v>22</v>
      </c>
      <c r="J2013" t="s">
        <v>67</v>
      </c>
      <c r="K2013" t="s">
        <v>34</v>
      </c>
      <c r="L2013" s="6">
        <v>500</v>
      </c>
      <c r="M2013" s="6">
        <v>0</v>
      </c>
      <c r="N2013" s="6">
        <v>-500</v>
      </c>
      <c r="O2013" s="6">
        <v>68889.850000000006</v>
      </c>
      <c r="P2013" s="7">
        <v>0</v>
      </c>
      <c r="Q2013" s="6">
        <v>0</v>
      </c>
    </row>
    <row r="2014" spans="1:17">
      <c r="A2014">
        <v>2013</v>
      </c>
      <c r="B2014" s="5">
        <v>45880</v>
      </c>
      <c r="C2014" t="s">
        <v>916</v>
      </c>
      <c r="D2014" t="s">
        <v>917</v>
      </c>
      <c r="E2014" t="s">
        <v>918</v>
      </c>
      <c r="F2014">
        <v>8</v>
      </c>
      <c r="G2014" t="s">
        <v>1316</v>
      </c>
      <c r="I2014" t="s">
        <v>17</v>
      </c>
      <c r="J2014" t="s">
        <v>64</v>
      </c>
      <c r="K2014" t="s">
        <v>34</v>
      </c>
      <c r="L2014" s="6">
        <v>10000</v>
      </c>
      <c r="M2014" s="6">
        <v>0</v>
      </c>
      <c r="N2014" s="6">
        <v>-10000</v>
      </c>
      <c r="O2014" s="6">
        <v>58889.85</v>
      </c>
      <c r="P2014" s="7">
        <v>0</v>
      </c>
      <c r="Q2014" s="6">
        <v>0</v>
      </c>
    </row>
    <row r="2015" spans="1:17">
      <c r="A2015">
        <v>2014</v>
      </c>
      <c r="B2015" s="5">
        <v>45880</v>
      </c>
      <c r="C2015" t="s">
        <v>916</v>
      </c>
      <c r="D2015" t="s">
        <v>917</v>
      </c>
      <c r="E2015" t="s">
        <v>918</v>
      </c>
      <c r="F2015">
        <v>8</v>
      </c>
      <c r="G2015" t="s">
        <v>1317</v>
      </c>
      <c r="H2015" t="s">
        <v>1318</v>
      </c>
      <c r="I2015" t="s">
        <v>16</v>
      </c>
      <c r="J2015" t="s">
        <v>52</v>
      </c>
      <c r="K2015" t="s">
        <v>35</v>
      </c>
      <c r="L2015" s="6">
        <v>0</v>
      </c>
      <c r="M2015" s="6">
        <v>250</v>
      </c>
      <c r="N2015" s="6">
        <v>250</v>
      </c>
      <c r="O2015" s="6">
        <v>59139.85</v>
      </c>
      <c r="P2015" s="7">
        <v>0</v>
      </c>
      <c r="Q2015" s="6">
        <v>0</v>
      </c>
    </row>
    <row r="2016" spans="1:17">
      <c r="A2016">
        <v>2015</v>
      </c>
      <c r="B2016" s="5">
        <v>45880</v>
      </c>
      <c r="C2016" t="s">
        <v>916</v>
      </c>
      <c r="D2016" t="s">
        <v>917</v>
      </c>
      <c r="E2016" t="s">
        <v>918</v>
      </c>
      <c r="F2016">
        <v>8</v>
      </c>
      <c r="G2016" t="s">
        <v>1319</v>
      </c>
      <c r="H2016" t="s">
        <v>116</v>
      </c>
      <c r="I2016" t="s">
        <v>16</v>
      </c>
      <c r="J2016" t="s">
        <v>52</v>
      </c>
      <c r="K2016" t="s">
        <v>35</v>
      </c>
      <c r="L2016" s="6">
        <v>0</v>
      </c>
      <c r="M2016" s="6">
        <v>55</v>
      </c>
      <c r="N2016" s="6">
        <v>55</v>
      </c>
      <c r="O2016" s="6">
        <v>59194.85</v>
      </c>
      <c r="P2016" s="7">
        <v>0</v>
      </c>
      <c r="Q2016" s="6">
        <v>0</v>
      </c>
    </row>
    <row r="2017" spans="1:17">
      <c r="A2017">
        <v>2016</v>
      </c>
      <c r="B2017" s="5">
        <v>45880</v>
      </c>
      <c r="C2017" t="s">
        <v>916</v>
      </c>
      <c r="D2017" t="s">
        <v>917</v>
      </c>
      <c r="E2017" t="s">
        <v>918</v>
      </c>
      <c r="F2017">
        <v>8</v>
      </c>
      <c r="G2017" t="s">
        <v>1319</v>
      </c>
      <c r="H2017" t="s">
        <v>116</v>
      </c>
      <c r="I2017" t="s">
        <v>16</v>
      </c>
      <c r="J2017" t="s">
        <v>52</v>
      </c>
      <c r="K2017" t="s">
        <v>35</v>
      </c>
      <c r="L2017" s="6">
        <v>0</v>
      </c>
      <c r="M2017" s="6">
        <v>50</v>
      </c>
      <c r="N2017" s="6">
        <v>50</v>
      </c>
      <c r="O2017" s="6">
        <v>59244.85</v>
      </c>
      <c r="P2017" s="7">
        <v>0</v>
      </c>
      <c r="Q2017" s="6">
        <v>0</v>
      </c>
    </row>
    <row r="2018" spans="1:17">
      <c r="A2018">
        <v>2017</v>
      </c>
      <c r="B2018" s="5">
        <v>45880</v>
      </c>
      <c r="C2018" t="s">
        <v>916</v>
      </c>
      <c r="D2018" t="s">
        <v>917</v>
      </c>
      <c r="E2018" t="s">
        <v>918</v>
      </c>
      <c r="F2018">
        <v>8</v>
      </c>
      <c r="G2018" t="s">
        <v>1320</v>
      </c>
      <c r="H2018" t="s">
        <v>66</v>
      </c>
      <c r="I2018" t="s">
        <v>22</v>
      </c>
      <c r="J2018" t="s">
        <v>67</v>
      </c>
      <c r="K2018" t="s">
        <v>34</v>
      </c>
      <c r="L2018" s="6">
        <v>100</v>
      </c>
      <c r="M2018" s="6">
        <v>0</v>
      </c>
      <c r="N2018" s="6">
        <v>-100</v>
      </c>
      <c r="O2018" s="6">
        <v>59144.85</v>
      </c>
      <c r="P2018" s="7">
        <v>0</v>
      </c>
      <c r="Q2018" s="6">
        <v>0</v>
      </c>
    </row>
    <row r="2019" spans="1:17">
      <c r="A2019">
        <v>2018</v>
      </c>
      <c r="B2019" s="5">
        <v>45880</v>
      </c>
      <c r="C2019" t="s">
        <v>916</v>
      </c>
      <c r="D2019" t="s">
        <v>917</v>
      </c>
      <c r="E2019" t="s">
        <v>918</v>
      </c>
      <c r="F2019">
        <v>9</v>
      </c>
      <c r="G2019" t="s">
        <v>1321</v>
      </c>
      <c r="H2019" t="s">
        <v>929</v>
      </c>
      <c r="I2019" t="s">
        <v>22</v>
      </c>
      <c r="J2019" t="s">
        <v>67</v>
      </c>
      <c r="K2019" t="s">
        <v>34</v>
      </c>
      <c r="L2019" s="6">
        <v>193.19</v>
      </c>
      <c r="M2019" s="6">
        <v>0</v>
      </c>
      <c r="N2019" s="6">
        <v>-193.19</v>
      </c>
      <c r="O2019" s="6">
        <v>58951.66</v>
      </c>
      <c r="P2019" s="7">
        <v>0</v>
      </c>
      <c r="Q2019" s="6">
        <v>0</v>
      </c>
    </row>
    <row r="2020" spans="1:17">
      <c r="A2020">
        <v>2019</v>
      </c>
      <c r="B2020" s="5">
        <v>45880</v>
      </c>
      <c r="C2020" t="s">
        <v>916</v>
      </c>
      <c r="D2020" t="s">
        <v>917</v>
      </c>
      <c r="E2020" t="s">
        <v>918</v>
      </c>
      <c r="F2020">
        <v>9</v>
      </c>
      <c r="G2020" t="s">
        <v>1322</v>
      </c>
      <c r="H2020" t="s">
        <v>929</v>
      </c>
      <c r="I2020" t="s">
        <v>22</v>
      </c>
      <c r="J2020" t="s">
        <v>67</v>
      </c>
      <c r="K2020" t="s">
        <v>34</v>
      </c>
      <c r="L2020" s="6">
        <v>83.46</v>
      </c>
      <c r="M2020" s="6">
        <v>0</v>
      </c>
      <c r="N2020" s="6">
        <v>-83.46</v>
      </c>
      <c r="O2020" s="6">
        <v>58868.2</v>
      </c>
      <c r="P2020" s="7">
        <v>0</v>
      </c>
      <c r="Q2020" s="6">
        <v>0</v>
      </c>
    </row>
    <row r="2021" spans="1:17">
      <c r="A2021">
        <v>2020</v>
      </c>
      <c r="B2021" s="5">
        <v>45880</v>
      </c>
      <c r="C2021" t="s">
        <v>916</v>
      </c>
      <c r="D2021" t="s">
        <v>917</v>
      </c>
      <c r="E2021" t="s">
        <v>918</v>
      </c>
      <c r="F2021">
        <v>9</v>
      </c>
      <c r="G2021" t="s">
        <v>1323</v>
      </c>
      <c r="H2021" t="s">
        <v>66</v>
      </c>
      <c r="I2021" t="s">
        <v>22</v>
      </c>
      <c r="J2021" t="s">
        <v>67</v>
      </c>
      <c r="K2021" t="s">
        <v>34</v>
      </c>
      <c r="L2021" s="6">
        <v>7.26</v>
      </c>
      <c r="M2021" s="6">
        <v>0</v>
      </c>
      <c r="N2021" s="6">
        <v>-7.26</v>
      </c>
      <c r="O2021" s="6">
        <v>58860.94</v>
      </c>
      <c r="P2021" s="7">
        <v>0</v>
      </c>
      <c r="Q2021" s="6">
        <v>0</v>
      </c>
    </row>
    <row r="2022" spans="1:17">
      <c r="A2022">
        <v>2021</v>
      </c>
      <c r="B2022" s="5">
        <v>45880</v>
      </c>
      <c r="C2022" t="s">
        <v>916</v>
      </c>
      <c r="D2022" t="s">
        <v>917</v>
      </c>
      <c r="E2022" t="s">
        <v>918</v>
      </c>
      <c r="F2022">
        <v>9</v>
      </c>
      <c r="G2022" t="s">
        <v>1324</v>
      </c>
      <c r="H2022" t="s">
        <v>66</v>
      </c>
      <c r="I2022" t="s">
        <v>22</v>
      </c>
      <c r="J2022" t="s">
        <v>67</v>
      </c>
      <c r="K2022" t="s">
        <v>34</v>
      </c>
      <c r="L2022" s="6">
        <v>330</v>
      </c>
      <c r="M2022" s="6">
        <v>0</v>
      </c>
      <c r="N2022" s="6">
        <v>-330</v>
      </c>
      <c r="O2022" s="6">
        <v>58530.94</v>
      </c>
      <c r="P2022" s="7">
        <v>0</v>
      </c>
      <c r="Q2022" s="6">
        <v>0</v>
      </c>
    </row>
    <row r="2023" spans="1:17">
      <c r="A2023">
        <v>2022</v>
      </c>
      <c r="B2023" s="5">
        <v>45880</v>
      </c>
      <c r="C2023" t="s">
        <v>916</v>
      </c>
      <c r="D2023" t="s">
        <v>917</v>
      </c>
      <c r="E2023" t="s">
        <v>918</v>
      </c>
      <c r="F2023">
        <v>9</v>
      </c>
      <c r="G2023" t="s">
        <v>1325</v>
      </c>
      <c r="H2023" t="s">
        <v>929</v>
      </c>
      <c r="I2023" t="s">
        <v>22</v>
      </c>
      <c r="J2023" t="s">
        <v>67</v>
      </c>
      <c r="K2023" t="s">
        <v>34</v>
      </c>
      <c r="L2023" s="6">
        <v>60</v>
      </c>
      <c r="M2023" s="6">
        <v>0</v>
      </c>
      <c r="N2023" s="6">
        <v>-60</v>
      </c>
      <c r="O2023" s="6">
        <v>58470.94</v>
      </c>
      <c r="P2023" s="7">
        <v>0</v>
      </c>
      <c r="Q2023" s="6">
        <v>0</v>
      </c>
    </row>
    <row r="2024" spans="1:17">
      <c r="A2024">
        <v>2023</v>
      </c>
      <c r="B2024" s="5">
        <v>45880</v>
      </c>
      <c r="C2024" t="s">
        <v>916</v>
      </c>
      <c r="D2024" t="s">
        <v>917</v>
      </c>
      <c r="E2024" t="s">
        <v>918</v>
      </c>
      <c r="F2024">
        <v>9</v>
      </c>
      <c r="G2024" t="s">
        <v>1326</v>
      </c>
      <c r="H2024" t="s">
        <v>929</v>
      </c>
      <c r="I2024" t="s">
        <v>22</v>
      </c>
      <c r="J2024" t="s">
        <v>67</v>
      </c>
      <c r="K2024" t="s">
        <v>34</v>
      </c>
      <c r="L2024" s="6">
        <v>1.61</v>
      </c>
      <c r="M2024" s="6">
        <v>0</v>
      </c>
      <c r="N2024" s="6">
        <v>-1.61</v>
      </c>
      <c r="O2024" s="6">
        <v>58469.33</v>
      </c>
      <c r="P2024" s="7">
        <v>0</v>
      </c>
      <c r="Q2024" s="6">
        <v>0</v>
      </c>
    </row>
    <row r="2025" spans="1:17">
      <c r="A2025">
        <v>2024</v>
      </c>
      <c r="B2025" s="5">
        <v>45880</v>
      </c>
      <c r="C2025" t="s">
        <v>916</v>
      </c>
      <c r="D2025" t="s">
        <v>917</v>
      </c>
      <c r="E2025" t="s">
        <v>918</v>
      </c>
      <c r="F2025">
        <v>9</v>
      </c>
      <c r="G2025" t="s">
        <v>1327</v>
      </c>
      <c r="H2025" t="s">
        <v>66</v>
      </c>
      <c r="I2025" t="s">
        <v>22</v>
      </c>
      <c r="J2025" t="s">
        <v>67</v>
      </c>
      <c r="K2025" t="s">
        <v>34</v>
      </c>
      <c r="L2025" s="6">
        <v>173.62</v>
      </c>
      <c r="M2025" s="6">
        <v>0</v>
      </c>
      <c r="N2025" s="6">
        <v>-173.62</v>
      </c>
      <c r="O2025" s="6">
        <v>58295.71</v>
      </c>
      <c r="P2025" s="7">
        <v>0</v>
      </c>
      <c r="Q2025" s="6">
        <v>0</v>
      </c>
    </row>
    <row r="2026" spans="1:17">
      <c r="A2026">
        <v>2025</v>
      </c>
      <c r="B2026" s="5">
        <v>45880</v>
      </c>
      <c r="C2026" t="s">
        <v>916</v>
      </c>
      <c r="D2026" t="s">
        <v>917</v>
      </c>
      <c r="E2026" t="s">
        <v>918</v>
      </c>
      <c r="F2026">
        <v>9</v>
      </c>
      <c r="G2026" t="s">
        <v>1328</v>
      </c>
      <c r="H2026" t="s">
        <v>66</v>
      </c>
      <c r="I2026" t="s">
        <v>22</v>
      </c>
      <c r="J2026" t="s">
        <v>67</v>
      </c>
      <c r="K2026" t="s">
        <v>34</v>
      </c>
      <c r="L2026" s="6">
        <v>100</v>
      </c>
      <c r="M2026" s="6">
        <v>0</v>
      </c>
      <c r="N2026" s="6">
        <v>-100</v>
      </c>
      <c r="O2026" s="6">
        <v>58195.71</v>
      </c>
      <c r="P2026" s="7">
        <v>0</v>
      </c>
      <c r="Q2026" s="6">
        <v>0</v>
      </c>
    </row>
    <row r="2027" spans="1:17">
      <c r="A2027">
        <v>2026</v>
      </c>
      <c r="B2027" s="5">
        <v>45880</v>
      </c>
      <c r="C2027" t="s">
        <v>916</v>
      </c>
      <c r="D2027" t="s">
        <v>917</v>
      </c>
      <c r="E2027" t="s">
        <v>918</v>
      </c>
      <c r="F2027">
        <v>9</v>
      </c>
      <c r="G2027" t="s">
        <v>1329</v>
      </c>
      <c r="H2027" t="s">
        <v>929</v>
      </c>
      <c r="I2027" t="s">
        <v>22</v>
      </c>
      <c r="J2027" t="s">
        <v>67</v>
      </c>
      <c r="K2027" t="s">
        <v>34</v>
      </c>
      <c r="L2027" s="6">
        <v>17.71</v>
      </c>
      <c r="M2027" s="6">
        <v>0</v>
      </c>
      <c r="N2027" s="6">
        <v>-17.71</v>
      </c>
      <c r="O2027" s="6">
        <v>58178</v>
      </c>
      <c r="P2027" s="7">
        <v>0</v>
      </c>
      <c r="Q2027" s="6">
        <v>0</v>
      </c>
    </row>
    <row r="2028" spans="1:17">
      <c r="A2028">
        <v>2027</v>
      </c>
      <c r="B2028" s="5">
        <v>45880</v>
      </c>
      <c r="C2028" t="s">
        <v>916</v>
      </c>
      <c r="D2028" t="s">
        <v>917</v>
      </c>
      <c r="E2028" t="s">
        <v>918</v>
      </c>
      <c r="F2028">
        <v>9</v>
      </c>
      <c r="G2028" t="s">
        <v>1330</v>
      </c>
      <c r="H2028" t="s">
        <v>929</v>
      </c>
      <c r="I2028" t="s">
        <v>22</v>
      </c>
      <c r="J2028" t="s">
        <v>67</v>
      </c>
      <c r="K2028" t="s">
        <v>34</v>
      </c>
      <c r="L2028" s="6">
        <v>1969</v>
      </c>
      <c r="M2028" s="6">
        <v>0</v>
      </c>
      <c r="N2028" s="6">
        <v>-1969</v>
      </c>
      <c r="O2028" s="6">
        <v>56209</v>
      </c>
      <c r="P2028" s="7">
        <v>0</v>
      </c>
      <c r="Q2028" s="6">
        <v>0</v>
      </c>
    </row>
    <row r="2029" spans="1:17">
      <c r="A2029">
        <v>2028</v>
      </c>
      <c r="B2029" s="5">
        <v>45880</v>
      </c>
      <c r="C2029" t="s">
        <v>916</v>
      </c>
      <c r="D2029" t="s">
        <v>917</v>
      </c>
      <c r="E2029" t="s">
        <v>918</v>
      </c>
      <c r="F2029">
        <v>9</v>
      </c>
      <c r="G2029" t="s">
        <v>1331</v>
      </c>
      <c r="I2029" t="s">
        <v>15</v>
      </c>
      <c r="J2029" t="s">
        <v>52</v>
      </c>
      <c r="K2029" t="s">
        <v>35</v>
      </c>
      <c r="L2029" s="6">
        <v>0</v>
      </c>
      <c r="M2029" s="6">
        <v>7554</v>
      </c>
      <c r="N2029" s="6">
        <v>7554</v>
      </c>
      <c r="O2029" s="6">
        <v>63763</v>
      </c>
      <c r="P2029" s="7">
        <v>0</v>
      </c>
      <c r="Q2029" s="6">
        <v>0</v>
      </c>
    </row>
    <row r="2030" spans="1:17">
      <c r="A2030">
        <v>2029</v>
      </c>
      <c r="B2030" s="5">
        <v>45880</v>
      </c>
      <c r="C2030" t="s">
        <v>916</v>
      </c>
      <c r="D2030" t="s">
        <v>917</v>
      </c>
      <c r="E2030" t="s">
        <v>918</v>
      </c>
      <c r="F2030">
        <v>9</v>
      </c>
      <c r="G2030" t="s">
        <v>1331</v>
      </c>
      <c r="I2030" t="s">
        <v>15</v>
      </c>
      <c r="J2030" t="s">
        <v>52</v>
      </c>
      <c r="K2030" t="s">
        <v>35</v>
      </c>
      <c r="L2030" s="6">
        <v>0</v>
      </c>
      <c r="M2030" s="6">
        <v>1000</v>
      </c>
      <c r="N2030" s="6">
        <v>1000</v>
      </c>
      <c r="O2030" s="6">
        <v>64763</v>
      </c>
      <c r="P2030" s="7">
        <v>0</v>
      </c>
      <c r="Q2030" s="6">
        <v>0</v>
      </c>
    </row>
    <row r="2031" spans="1:17">
      <c r="A2031">
        <v>2030</v>
      </c>
      <c r="B2031" s="5">
        <v>45880</v>
      </c>
      <c r="C2031" t="s">
        <v>916</v>
      </c>
      <c r="D2031" t="s">
        <v>917</v>
      </c>
      <c r="E2031" t="s">
        <v>918</v>
      </c>
      <c r="F2031">
        <v>9</v>
      </c>
      <c r="G2031" t="s">
        <v>1331</v>
      </c>
      <c r="I2031" t="s">
        <v>15</v>
      </c>
      <c r="J2031" t="s">
        <v>52</v>
      </c>
      <c r="K2031" t="s">
        <v>35</v>
      </c>
      <c r="L2031" s="6">
        <v>0</v>
      </c>
      <c r="M2031" s="6">
        <v>3046</v>
      </c>
      <c r="N2031" s="6">
        <v>3046</v>
      </c>
      <c r="O2031" s="6">
        <v>67809</v>
      </c>
      <c r="P2031" s="7">
        <v>0</v>
      </c>
      <c r="Q2031" s="6">
        <v>0</v>
      </c>
    </row>
    <row r="2032" spans="1:17">
      <c r="A2032">
        <v>2031</v>
      </c>
      <c r="B2032" s="5">
        <v>45880</v>
      </c>
      <c r="C2032" t="s">
        <v>916</v>
      </c>
      <c r="D2032" t="s">
        <v>917</v>
      </c>
      <c r="E2032" t="s">
        <v>918</v>
      </c>
      <c r="F2032">
        <v>9</v>
      </c>
      <c r="G2032" t="s">
        <v>1332</v>
      </c>
      <c r="H2032" t="s">
        <v>66</v>
      </c>
      <c r="I2032" t="s">
        <v>22</v>
      </c>
      <c r="J2032" t="s">
        <v>67</v>
      </c>
      <c r="K2032" t="s">
        <v>34</v>
      </c>
      <c r="L2032" s="6">
        <v>4953.5</v>
      </c>
      <c r="M2032" s="6">
        <v>0</v>
      </c>
      <c r="N2032" s="6">
        <v>-4953.5</v>
      </c>
      <c r="O2032" s="6">
        <v>62855.5</v>
      </c>
      <c r="P2032" s="7">
        <v>0</v>
      </c>
      <c r="Q2032" s="6">
        <v>0</v>
      </c>
    </row>
    <row r="2033" spans="1:17">
      <c r="A2033">
        <v>2032</v>
      </c>
      <c r="B2033" s="5">
        <v>45880</v>
      </c>
      <c r="C2033" t="s">
        <v>916</v>
      </c>
      <c r="D2033" t="s">
        <v>917</v>
      </c>
      <c r="E2033" t="s">
        <v>918</v>
      </c>
      <c r="F2033">
        <v>9</v>
      </c>
      <c r="G2033" t="s">
        <v>1333</v>
      </c>
      <c r="H2033" t="s">
        <v>929</v>
      </c>
      <c r="I2033" t="s">
        <v>22</v>
      </c>
      <c r="J2033" t="s">
        <v>67</v>
      </c>
      <c r="K2033" t="s">
        <v>34</v>
      </c>
      <c r="L2033" s="6">
        <v>3000</v>
      </c>
      <c r="M2033" s="6">
        <v>0</v>
      </c>
      <c r="N2033" s="6">
        <v>-3000</v>
      </c>
      <c r="O2033" s="6">
        <v>59855.5</v>
      </c>
      <c r="P2033" s="7">
        <v>0</v>
      </c>
      <c r="Q2033" s="6">
        <v>0</v>
      </c>
    </row>
    <row r="2034" spans="1:17">
      <c r="A2034">
        <v>2033</v>
      </c>
      <c r="B2034" s="5">
        <v>45880</v>
      </c>
      <c r="C2034" t="s">
        <v>916</v>
      </c>
      <c r="D2034" t="s">
        <v>917</v>
      </c>
      <c r="E2034" t="s">
        <v>918</v>
      </c>
      <c r="F2034">
        <v>9</v>
      </c>
      <c r="G2034" t="s">
        <v>1334</v>
      </c>
      <c r="H2034" t="s">
        <v>929</v>
      </c>
      <c r="I2034" t="s">
        <v>22</v>
      </c>
      <c r="J2034" t="s">
        <v>67</v>
      </c>
      <c r="K2034" t="s">
        <v>34</v>
      </c>
      <c r="L2034" s="6">
        <v>83.46</v>
      </c>
      <c r="M2034" s="6">
        <v>0</v>
      </c>
      <c r="N2034" s="6">
        <v>-83.46</v>
      </c>
      <c r="O2034" s="6">
        <v>59772.04</v>
      </c>
      <c r="P2034" s="7">
        <v>0</v>
      </c>
      <c r="Q2034" s="6">
        <v>0</v>
      </c>
    </row>
    <row r="2035" spans="1:17">
      <c r="A2035">
        <v>2034</v>
      </c>
      <c r="B2035" s="5">
        <v>45880</v>
      </c>
      <c r="C2035" t="s">
        <v>916</v>
      </c>
      <c r="D2035" t="s">
        <v>917</v>
      </c>
      <c r="E2035" t="s">
        <v>918</v>
      </c>
      <c r="F2035">
        <v>9</v>
      </c>
      <c r="G2035" t="s">
        <v>900</v>
      </c>
      <c r="I2035" t="s">
        <v>16</v>
      </c>
      <c r="J2035" t="s">
        <v>52</v>
      </c>
      <c r="K2035" t="s">
        <v>35</v>
      </c>
      <c r="L2035" s="6">
        <v>0</v>
      </c>
      <c r="M2035" s="6">
        <v>1223.3599999999999</v>
      </c>
      <c r="N2035" s="6">
        <v>1223.3599999999999</v>
      </c>
      <c r="O2035" s="6">
        <v>60995.4</v>
      </c>
      <c r="P2035" s="7">
        <v>0</v>
      </c>
      <c r="Q2035" s="6">
        <v>0</v>
      </c>
    </row>
    <row r="2036" spans="1:17">
      <c r="A2036">
        <v>2035</v>
      </c>
      <c r="B2036" s="5">
        <v>45880</v>
      </c>
      <c r="C2036" t="s">
        <v>916</v>
      </c>
      <c r="D2036" t="s">
        <v>917</v>
      </c>
      <c r="E2036" t="s">
        <v>918</v>
      </c>
      <c r="F2036">
        <v>9</v>
      </c>
      <c r="G2036" t="s">
        <v>900</v>
      </c>
      <c r="I2036" t="s">
        <v>16</v>
      </c>
      <c r="J2036" t="s">
        <v>52</v>
      </c>
      <c r="K2036" t="s">
        <v>35</v>
      </c>
      <c r="L2036" s="6">
        <v>0</v>
      </c>
      <c r="M2036" s="6">
        <v>94.25</v>
      </c>
      <c r="N2036" s="6">
        <v>94.25</v>
      </c>
      <c r="O2036" s="6">
        <v>61089.65</v>
      </c>
      <c r="P2036" s="7">
        <v>0</v>
      </c>
      <c r="Q2036" s="6">
        <v>0</v>
      </c>
    </row>
    <row r="2037" spans="1:17">
      <c r="A2037">
        <v>2036</v>
      </c>
      <c r="B2037" s="5">
        <v>45880</v>
      </c>
      <c r="C2037" t="s">
        <v>916</v>
      </c>
      <c r="D2037" t="s">
        <v>917</v>
      </c>
      <c r="E2037" t="s">
        <v>918</v>
      </c>
      <c r="F2037">
        <v>9</v>
      </c>
      <c r="G2037" t="s">
        <v>900</v>
      </c>
      <c r="I2037" t="s">
        <v>16</v>
      </c>
      <c r="J2037" t="s">
        <v>52</v>
      </c>
      <c r="K2037" t="s">
        <v>35</v>
      </c>
      <c r="L2037" s="6">
        <v>0</v>
      </c>
      <c r="M2037" s="6">
        <v>565.5</v>
      </c>
      <c r="N2037" s="6">
        <v>565.5</v>
      </c>
      <c r="O2037" s="6">
        <v>61655.15</v>
      </c>
      <c r="P2037" s="7">
        <v>0</v>
      </c>
      <c r="Q2037" s="6">
        <v>0</v>
      </c>
    </row>
    <row r="2038" spans="1:17">
      <c r="A2038">
        <v>2037</v>
      </c>
      <c r="B2038" s="5">
        <v>45880</v>
      </c>
      <c r="C2038" t="s">
        <v>916</v>
      </c>
      <c r="D2038" t="s">
        <v>917</v>
      </c>
      <c r="E2038" t="s">
        <v>918</v>
      </c>
      <c r="F2038">
        <v>9</v>
      </c>
      <c r="G2038" t="s">
        <v>1113</v>
      </c>
      <c r="H2038" t="s">
        <v>1114</v>
      </c>
      <c r="I2038" t="s">
        <v>16</v>
      </c>
      <c r="J2038" t="s">
        <v>52</v>
      </c>
      <c r="K2038" t="s">
        <v>35</v>
      </c>
      <c r="L2038" s="6">
        <v>0</v>
      </c>
      <c r="M2038" s="6">
        <v>1000</v>
      </c>
      <c r="N2038" s="6">
        <v>1000</v>
      </c>
      <c r="O2038" s="6">
        <v>62655.15</v>
      </c>
      <c r="P2038" s="7">
        <v>0</v>
      </c>
      <c r="Q2038" s="6">
        <v>0</v>
      </c>
    </row>
    <row r="2039" spans="1:17">
      <c r="A2039">
        <v>2038</v>
      </c>
      <c r="B2039" s="5">
        <v>45880</v>
      </c>
      <c r="C2039" t="s">
        <v>916</v>
      </c>
      <c r="D2039" t="s">
        <v>917</v>
      </c>
      <c r="E2039" t="s">
        <v>918</v>
      </c>
      <c r="F2039">
        <v>9</v>
      </c>
      <c r="G2039" t="s">
        <v>1335</v>
      </c>
      <c r="H2039" t="s">
        <v>929</v>
      </c>
      <c r="I2039" t="s">
        <v>22</v>
      </c>
      <c r="J2039" t="s">
        <v>67</v>
      </c>
      <c r="K2039" t="s">
        <v>34</v>
      </c>
      <c r="L2039" s="6">
        <v>1062.46</v>
      </c>
      <c r="M2039" s="6">
        <v>0</v>
      </c>
      <c r="N2039" s="6">
        <v>-1062.46</v>
      </c>
      <c r="O2039" s="6">
        <v>61592.69</v>
      </c>
      <c r="P2039" s="7">
        <v>0</v>
      </c>
      <c r="Q2039" s="6">
        <v>0</v>
      </c>
    </row>
    <row r="2040" spans="1:17">
      <c r="A2040">
        <v>2039</v>
      </c>
      <c r="B2040" s="5">
        <v>45880</v>
      </c>
      <c r="C2040" t="s">
        <v>916</v>
      </c>
      <c r="D2040" t="s">
        <v>917</v>
      </c>
      <c r="E2040" t="s">
        <v>918</v>
      </c>
      <c r="F2040">
        <v>9</v>
      </c>
      <c r="G2040" t="s">
        <v>1336</v>
      </c>
      <c r="H2040" t="s">
        <v>929</v>
      </c>
      <c r="I2040" t="s">
        <v>22</v>
      </c>
      <c r="J2040" t="s">
        <v>67</v>
      </c>
      <c r="K2040" t="s">
        <v>34</v>
      </c>
      <c r="L2040" s="6">
        <v>2000</v>
      </c>
      <c r="M2040" s="6">
        <v>0</v>
      </c>
      <c r="N2040" s="6">
        <v>-2000</v>
      </c>
      <c r="O2040" s="6">
        <v>59592.69</v>
      </c>
      <c r="P2040" s="7">
        <v>0</v>
      </c>
      <c r="Q2040" s="6">
        <v>0</v>
      </c>
    </row>
    <row r="2041" spans="1:17">
      <c r="A2041">
        <v>2040</v>
      </c>
      <c r="B2041" s="5">
        <v>45880</v>
      </c>
      <c r="C2041" t="s">
        <v>916</v>
      </c>
      <c r="D2041" t="s">
        <v>917</v>
      </c>
      <c r="E2041" t="s">
        <v>918</v>
      </c>
      <c r="F2041">
        <v>9</v>
      </c>
      <c r="G2041" t="s">
        <v>1337</v>
      </c>
      <c r="H2041" t="s">
        <v>929</v>
      </c>
      <c r="I2041" t="s">
        <v>22</v>
      </c>
      <c r="J2041" t="s">
        <v>67</v>
      </c>
      <c r="K2041" t="s">
        <v>34</v>
      </c>
      <c r="L2041" s="6">
        <v>621.26</v>
      </c>
      <c r="M2041" s="6">
        <v>0</v>
      </c>
      <c r="N2041" s="6">
        <v>-621.26</v>
      </c>
      <c r="O2041" s="6">
        <v>58971.43</v>
      </c>
      <c r="P2041" s="7">
        <v>0</v>
      </c>
      <c r="Q2041" s="6">
        <v>0</v>
      </c>
    </row>
    <row r="2042" spans="1:17">
      <c r="A2042">
        <v>2041</v>
      </c>
      <c r="B2042" s="5">
        <v>45880</v>
      </c>
      <c r="C2042" t="s">
        <v>916</v>
      </c>
      <c r="D2042" t="s">
        <v>917</v>
      </c>
      <c r="E2042" t="s">
        <v>918</v>
      </c>
      <c r="F2042">
        <v>9</v>
      </c>
      <c r="G2042" t="s">
        <v>1338</v>
      </c>
      <c r="H2042" t="s">
        <v>929</v>
      </c>
      <c r="I2042" t="s">
        <v>22</v>
      </c>
      <c r="J2042" t="s">
        <v>67</v>
      </c>
      <c r="K2042" t="s">
        <v>34</v>
      </c>
      <c r="L2042" s="6">
        <v>600</v>
      </c>
      <c r="M2042" s="6">
        <v>0</v>
      </c>
      <c r="N2042" s="6">
        <v>-600</v>
      </c>
      <c r="O2042" s="6">
        <v>58371.43</v>
      </c>
      <c r="P2042" s="7">
        <v>0</v>
      </c>
      <c r="Q2042" s="6">
        <v>0</v>
      </c>
    </row>
    <row r="2043" spans="1:17">
      <c r="A2043">
        <v>2042</v>
      </c>
      <c r="B2043" s="5">
        <v>45880</v>
      </c>
      <c r="C2043" t="s">
        <v>916</v>
      </c>
      <c r="D2043" t="s">
        <v>917</v>
      </c>
      <c r="E2043" t="s">
        <v>918</v>
      </c>
      <c r="F2043">
        <v>9</v>
      </c>
      <c r="G2043" t="s">
        <v>1339</v>
      </c>
      <c r="H2043" t="s">
        <v>66</v>
      </c>
      <c r="I2043" t="s">
        <v>22</v>
      </c>
      <c r="J2043" t="s">
        <v>67</v>
      </c>
      <c r="K2043" t="s">
        <v>34</v>
      </c>
      <c r="L2043" s="6">
        <v>304.63</v>
      </c>
      <c r="M2043" s="6">
        <v>0</v>
      </c>
      <c r="N2043" s="6">
        <v>-304.63</v>
      </c>
      <c r="O2043" s="6">
        <v>58066.8</v>
      </c>
      <c r="P2043" s="7">
        <v>0</v>
      </c>
      <c r="Q2043" s="6">
        <v>0</v>
      </c>
    </row>
    <row r="2044" spans="1:17">
      <c r="A2044">
        <v>2043</v>
      </c>
      <c r="B2044" s="5">
        <v>45880</v>
      </c>
      <c r="C2044" t="s">
        <v>916</v>
      </c>
      <c r="D2044" t="s">
        <v>917</v>
      </c>
      <c r="E2044" t="s">
        <v>918</v>
      </c>
      <c r="F2044">
        <v>9</v>
      </c>
      <c r="G2044" t="s">
        <v>1340</v>
      </c>
      <c r="H2044" t="s">
        <v>66</v>
      </c>
      <c r="I2044" t="s">
        <v>22</v>
      </c>
      <c r="J2044" t="s">
        <v>67</v>
      </c>
      <c r="K2044" t="s">
        <v>34</v>
      </c>
      <c r="L2044" s="6">
        <v>51.19</v>
      </c>
      <c r="M2044" s="6">
        <v>0</v>
      </c>
      <c r="N2044" s="6">
        <v>-51.19</v>
      </c>
      <c r="O2044" s="6">
        <v>58015.61</v>
      </c>
      <c r="P2044" s="7">
        <v>0</v>
      </c>
      <c r="Q2044" s="6">
        <v>0</v>
      </c>
    </row>
    <row r="2045" spans="1:17">
      <c r="A2045">
        <v>2044</v>
      </c>
      <c r="B2045" s="5">
        <v>45880</v>
      </c>
      <c r="C2045" t="s">
        <v>916</v>
      </c>
      <c r="D2045" t="s">
        <v>917</v>
      </c>
      <c r="E2045" t="s">
        <v>918</v>
      </c>
      <c r="F2045">
        <v>9</v>
      </c>
      <c r="G2045" t="s">
        <v>1341</v>
      </c>
      <c r="H2045" t="s">
        <v>929</v>
      </c>
      <c r="I2045" t="s">
        <v>22</v>
      </c>
      <c r="J2045" t="s">
        <v>67</v>
      </c>
      <c r="K2045" t="s">
        <v>34</v>
      </c>
      <c r="L2045" s="6">
        <v>17.71</v>
      </c>
      <c r="M2045" s="6">
        <v>0</v>
      </c>
      <c r="N2045" s="6">
        <v>-17.71</v>
      </c>
      <c r="O2045" s="6">
        <v>57997.9</v>
      </c>
      <c r="P2045" s="7">
        <v>0</v>
      </c>
      <c r="Q2045" s="6">
        <v>0</v>
      </c>
    </row>
    <row r="2046" spans="1:17">
      <c r="A2046">
        <v>2045</v>
      </c>
      <c r="B2046" s="5">
        <v>45880</v>
      </c>
      <c r="C2046" t="s">
        <v>916</v>
      </c>
      <c r="D2046" t="s">
        <v>917</v>
      </c>
      <c r="E2046" t="s">
        <v>918</v>
      </c>
      <c r="F2046">
        <v>9</v>
      </c>
      <c r="G2046" t="s">
        <v>1342</v>
      </c>
      <c r="H2046" t="s">
        <v>929</v>
      </c>
      <c r="I2046" t="s">
        <v>22</v>
      </c>
      <c r="J2046" t="s">
        <v>67</v>
      </c>
      <c r="K2046" t="s">
        <v>34</v>
      </c>
      <c r="L2046" s="6">
        <v>100.75</v>
      </c>
      <c r="M2046" s="6">
        <v>0</v>
      </c>
      <c r="N2046" s="6">
        <v>-100.75</v>
      </c>
      <c r="O2046" s="6">
        <v>57897.15</v>
      </c>
      <c r="P2046" s="7">
        <v>0</v>
      </c>
      <c r="Q2046" s="6">
        <v>0</v>
      </c>
    </row>
    <row r="2047" spans="1:17">
      <c r="A2047">
        <v>2046</v>
      </c>
      <c r="B2047" s="5">
        <v>45880</v>
      </c>
      <c r="C2047" t="s">
        <v>916</v>
      </c>
      <c r="D2047" t="s">
        <v>917</v>
      </c>
      <c r="E2047" t="s">
        <v>918</v>
      </c>
      <c r="F2047">
        <v>9</v>
      </c>
      <c r="G2047" t="s">
        <v>1343</v>
      </c>
      <c r="H2047" t="s">
        <v>929</v>
      </c>
      <c r="I2047" t="s">
        <v>22</v>
      </c>
      <c r="J2047" t="s">
        <v>67</v>
      </c>
      <c r="K2047" t="s">
        <v>34</v>
      </c>
      <c r="L2047" s="6">
        <v>200</v>
      </c>
      <c r="M2047" s="6">
        <v>0</v>
      </c>
      <c r="N2047" s="6">
        <v>-200</v>
      </c>
      <c r="O2047" s="6">
        <v>57697.15</v>
      </c>
      <c r="P2047" s="7">
        <v>0</v>
      </c>
      <c r="Q2047" s="6">
        <v>0</v>
      </c>
    </row>
    <row r="2048" spans="1:17">
      <c r="A2048">
        <v>2047</v>
      </c>
      <c r="B2048" s="5">
        <v>45880</v>
      </c>
      <c r="C2048" t="s">
        <v>916</v>
      </c>
      <c r="D2048" t="s">
        <v>917</v>
      </c>
      <c r="E2048" t="s">
        <v>918</v>
      </c>
      <c r="F2048">
        <v>9</v>
      </c>
      <c r="G2048" t="s">
        <v>1344</v>
      </c>
      <c r="H2048" t="s">
        <v>929</v>
      </c>
      <c r="I2048" t="s">
        <v>22</v>
      </c>
      <c r="J2048" t="s">
        <v>67</v>
      </c>
      <c r="K2048" t="s">
        <v>34</v>
      </c>
      <c r="L2048" s="6">
        <v>152</v>
      </c>
      <c r="M2048" s="6">
        <v>0</v>
      </c>
      <c r="N2048" s="6">
        <v>-152</v>
      </c>
      <c r="O2048" s="6">
        <v>57545.15</v>
      </c>
      <c r="P2048" s="7">
        <v>0</v>
      </c>
      <c r="Q2048" s="6">
        <v>0</v>
      </c>
    </row>
    <row r="2049" spans="1:17">
      <c r="A2049">
        <v>2048</v>
      </c>
      <c r="B2049" s="5">
        <v>45880</v>
      </c>
      <c r="C2049" t="s">
        <v>916</v>
      </c>
      <c r="D2049" t="s">
        <v>917</v>
      </c>
      <c r="E2049" t="s">
        <v>918</v>
      </c>
      <c r="F2049">
        <v>9</v>
      </c>
      <c r="G2049" t="s">
        <v>1345</v>
      </c>
      <c r="H2049" t="s">
        <v>929</v>
      </c>
      <c r="I2049" t="s">
        <v>22</v>
      </c>
      <c r="J2049" t="s">
        <v>67</v>
      </c>
      <c r="K2049" t="s">
        <v>34</v>
      </c>
      <c r="L2049" s="6">
        <v>59.3</v>
      </c>
      <c r="M2049" s="6">
        <v>0</v>
      </c>
      <c r="N2049" s="6">
        <v>-59.3</v>
      </c>
      <c r="O2049" s="6">
        <v>57485.85</v>
      </c>
      <c r="P2049" s="7">
        <v>0</v>
      </c>
      <c r="Q2049" s="6">
        <v>0</v>
      </c>
    </row>
    <row r="2050" spans="1:17">
      <c r="A2050">
        <v>2049</v>
      </c>
      <c r="B2050" s="5">
        <v>45880</v>
      </c>
      <c r="C2050" t="s">
        <v>916</v>
      </c>
      <c r="D2050" t="s">
        <v>917</v>
      </c>
      <c r="E2050" t="s">
        <v>918</v>
      </c>
      <c r="F2050">
        <v>9</v>
      </c>
      <c r="G2050" t="s">
        <v>1346</v>
      </c>
      <c r="H2050" t="s">
        <v>929</v>
      </c>
      <c r="I2050" t="s">
        <v>22</v>
      </c>
      <c r="J2050" t="s">
        <v>67</v>
      </c>
      <c r="K2050" t="s">
        <v>34</v>
      </c>
      <c r="L2050" s="6">
        <v>48.88</v>
      </c>
      <c r="M2050" s="6">
        <v>0</v>
      </c>
      <c r="N2050" s="6">
        <v>-48.88</v>
      </c>
      <c r="O2050" s="6">
        <v>57436.97</v>
      </c>
      <c r="P2050" s="7">
        <v>0</v>
      </c>
      <c r="Q2050" s="6">
        <v>0</v>
      </c>
    </row>
    <row r="2051" spans="1:17">
      <c r="A2051">
        <v>2050</v>
      </c>
      <c r="B2051" s="5">
        <v>45880</v>
      </c>
      <c r="C2051" t="s">
        <v>916</v>
      </c>
      <c r="D2051" t="s">
        <v>917</v>
      </c>
      <c r="E2051" t="s">
        <v>918</v>
      </c>
      <c r="F2051">
        <v>9</v>
      </c>
      <c r="G2051" t="s">
        <v>1347</v>
      </c>
      <c r="H2051" t="s">
        <v>929</v>
      </c>
      <c r="I2051" t="s">
        <v>22</v>
      </c>
      <c r="J2051" t="s">
        <v>67</v>
      </c>
      <c r="K2051" t="s">
        <v>34</v>
      </c>
      <c r="L2051" s="6">
        <v>50</v>
      </c>
      <c r="M2051" s="6">
        <v>0</v>
      </c>
      <c r="N2051" s="6">
        <v>-50</v>
      </c>
      <c r="O2051" s="6">
        <v>57386.97</v>
      </c>
      <c r="P2051" s="7">
        <v>0</v>
      </c>
      <c r="Q2051" s="6">
        <v>0</v>
      </c>
    </row>
    <row r="2052" spans="1:17">
      <c r="A2052">
        <v>2051</v>
      </c>
      <c r="B2052" s="5">
        <v>45880</v>
      </c>
      <c r="C2052" t="s">
        <v>916</v>
      </c>
      <c r="D2052" t="s">
        <v>917</v>
      </c>
      <c r="E2052" t="s">
        <v>918</v>
      </c>
      <c r="F2052">
        <v>9</v>
      </c>
      <c r="G2052" t="s">
        <v>1348</v>
      </c>
      <c r="H2052" t="s">
        <v>929</v>
      </c>
      <c r="I2052" t="s">
        <v>22</v>
      </c>
      <c r="J2052" t="s">
        <v>67</v>
      </c>
      <c r="K2052" t="s">
        <v>34</v>
      </c>
      <c r="L2052" s="6">
        <v>94</v>
      </c>
      <c r="M2052" s="6">
        <v>0</v>
      </c>
      <c r="N2052" s="6">
        <v>-94</v>
      </c>
      <c r="O2052" s="6">
        <v>57292.97</v>
      </c>
      <c r="P2052" s="7">
        <v>0</v>
      </c>
      <c r="Q2052" s="6">
        <v>0</v>
      </c>
    </row>
    <row r="2053" spans="1:17">
      <c r="A2053">
        <v>2052</v>
      </c>
      <c r="B2053" s="5">
        <v>45880</v>
      </c>
      <c r="C2053" t="s">
        <v>916</v>
      </c>
      <c r="D2053" t="s">
        <v>917</v>
      </c>
      <c r="E2053" t="s">
        <v>918</v>
      </c>
      <c r="F2053">
        <v>9</v>
      </c>
      <c r="G2053" t="s">
        <v>1349</v>
      </c>
      <c r="H2053" t="s">
        <v>929</v>
      </c>
      <c r="I2053" t="s">
        <v>22</v>
      </c>
      <c r="J2053" t="s">
        <v>67</v>
      </c>
      <c r="K2053" t="s">
        <v>34</v>
      </c>
      <c r="L2053" s="6">
        <v>100.96</v>
      </c>
      <c r="M2053" s="6">
        <v>0</v>
      </c>
      <c r="N2053" s="6">
        <v>-100.96</v>
      </c>
      <c r="O2053" s="6">
        <v>57192.01</v>
      </c>
      <c r="P2053" s="7">
        <v>0</v>
      </c>
      <c r="Q2053" s="6">
        <v>0</v>
      </c>
    </row>
    <row r="2054" spans="1:17">
      <c r="A2054">
        <v>2053</v>
      </c>
      <c r="B2054" s="5">
        <v>45880</v>
      </c>
      <c r="C2054" t="s">
        <v>916</v>
      </c>
      <c r="D2054" t="s">
        <v>917</v>
      </c>
      <c r="E2054" t="s">
        <v>918</v>
      </c>
      <c r="F2054">
        <v>9</v>
      </c>
      <c r="G2054" t="s">
        <v>1350</v>
      </c>
      <c r="H2054" t="s">
        <v>66</v>
      </c>
      <c r="I2054" t="s">
        <v>22</v>
      </c>
      <c r="J2054" t="s">
        <v>67</v>
      </c>
      <c r="K2054" t="s">
        <v>34</v>
      </c>
      <c r="L2054" s="6">
        <v>150</v>
      </c>
      <c r="M2054" s="6">
        <v>0</v>
      </c>
      <c r="N2054" s="6">
        <v>-150</v>
      </c>
      <c r="O2054" s="6">
        <v>57042.01</v>
      </c>
      <c r="P2054" s="7">
        <v>0</v>
      </c>
      <c r="Q2054" s="6">
        <v>0</v>
      </c>
    </row>
    <row r="2055" spans="1:17">
      <c r="A2055">
        <v>2054</v>
      </c>
      <c r="B2055" s="5">
        <v>45880</v>
      </c>
      <c r="C2055" t="s">
        <v>916</v>
      </c>
      <c r="D2055" t="s">
        <v>917</v>
      </c>
      <c r="E2055" t="s">
        <v>918</v>
      </c>
      <c r="F2055">
        <v>9</v>
      </c>
      <c r="G2055" t="s">
        <v>1351</v>
      </c>
      <c r="H2055" t="s">
        <v>929</v>
      </c>
      <c r="I2055" t="s">
        <v>22</v>
      </c>
      <c r="J2055" t="s">
        <v>67</v>
      </c>
      <c r="K2055" t="s">
        <v>34</v>
      </c>
      <c r="L2055" s="6">
        <v>150</v>
      </c>
      <c r="M2055" s="6">
        <v>0</v>
      </c>
      <c r="N2055" s="6">
        <v>-150</v>
      </c>
      <c r="O2055" s="6">
        <v>56892.01</v>
      </c>
      <c r="P2055" s="7">
        <v>0</v>
      </c>
      <c r="Q2055" s="6">
        <v>0</v>
      </c>
    </row>
    <row r="2056" spans="1:17">
      <c r="A2056">
        <v>2055</v>
      </c>
      <c r="B2056" s="5">
        <v>45880</v>
      </c>
      <c r="C2056" t="s">
        <v>916</v>
      </c>
      <c r="D2056" t="s">
        <v>917</v>
      </c>
      <c r="E2056" t="s">
        <v>918</v>
      </c>
      <c r="F2056">
        <v>9</v>
      </c>
      <c r="G2056" t="s">
        <v>1352</v>
      </c>
      <c r="H2056" t="s">
        <v>66</v>
      </c>
      <c r="I2056" t="s">
        <v>22</v>
      </c>
      <c r="J2056" t="s">
        <v>67</v>
      </c>
      <c r="K2056" t="s">
        <v>34</v>
      </c>
      <c r="L2056" s="6">
        <v>170</v>
      </c>
      <c r="M2056" s="6">
        <v>0</v>
      </c>
      <c r="N2056" s="6">
        <v>-170</v>
      </c>
      <c r="O2056" s="6">
        <v>56722.01</v>
      </c>
      <c r="P2056" s="7">
        <v>0</v>
      </c>
      <c r="Q2056" s="6">
        <v>0</v>
      </c>
    </row>
    <row r="2057" spans="1:17">
      <c r="A2057">
        <v>2056</v>
      </c>
      <c r="B2057" s="5">
        <v>45880</v>
      </c>
      <c r="C2057" t="s">
        <v>916</v>
      </c>
      <c r="D2057" t="s">
        <v>917</v>
      </c>
      <c r="E2057" t="s">
        <v>918</v>
      </c>
      <c r="F2057">
        <v>9</v>
      </c>
      <c r="G2057" t="s">
        <v>1353</v>
      </c>
      <c r="H2057" t="s">
        <v>66</v>
      </c>
      <c r="I2057" t="s">
        <v>22</v>
      </c>
      <c r="J2057" t="s">
        <v>67</v>
      </c>
      <c r="K2057" t="s">
        <v>34</v>
      </c>
      <c r="L2057" s="6">
        <v>300</v>
      </c>
      <c r="M2057" s="6">
        <v>0</v>
      </c>
      <c r="N2057" s="6">
        <v>-300</v>
      </c>
      <c r="O2057" s="6">
        <v>56422.01</v>
      </c>
      <c r="P2057" s="7">
        <v>0</v>
      </c>
      <c r="Q2057" s="6">
        <v>0</v>
      </c>
    </row>
    <row r="2058" spans="1:17">
      <c r="A2058">
        <v>2057</v>
      </c>
      <c r="B2058" s="5">
        <v>45880</v>
      </c>
      <c r="C2058" t="s">
        <v>916</v>
      </c>
      <c r="D2058" t="s">
        <v>917</v>
      </c>
      <c r="E2058" t="s">
        <v>918</v>
      </c>
      <c r="F2058">
        <v>9</v>
      </c>
      <c r="G2058" t="s">
        <v>1354</v>
      </c>
      <c r="H2058" t="s">
        <v>929</v>
      </c>
      <c r="I2058" t="s">
        <v>22</v>
      </c>
      <c r="J2058" t="s">
        <v>67</v>
      </c>
      <c r="K2058" t="s">
        <v>34</v>
      </c>
      <c r="L2058" s="6">
        <v>375</v>
      </c>
      <c r="M2058" s="6">
        <v>0</v>
      </c>
      <c r="N2058" s="6">
        <v>-375</v>
      </c>
      <c r="O2058" s="6">
        <v>56047.01</v>
      </c>
      <c r="P2058" s="7">
        <v>0</v>
      </c>
      <c r="Q2058" s="6">
        <v>0</v>
      </c>
    </row>
    <row r="2059" spans="1:17">
      <c r="A2059">
        <v>2058</v>
      </c>
      <c r="B2059" s="5">
        <v>45880</v>
      </c>
      <c r="C2059" t="s">
        <v>916</v>
      </c>
      <c r="D2059" t="s">
        <v>917</v>
      </c>
      <c r="E2059" t="s">
        <v>918</v>
      </c>
      <c r="F2059">
        <v>9</v>
      </c>
      <c r="G2059" t="s">
        <v>1355</v>
      </c>
      <c r="H2059" t="s">
        <v>929</v>
      </c>
      <c r="I2059" t="s">
        <v>22</v>
      </c>
      <c r="J2059" t="s">
        <v>67</v>
      </c>
      <c r="K2059" t="s">
        <v>34</v>
      </c>
      <c r="L2059" s="6">
        <v>380</v>
      </c>
      <c r="M2059" s="6">
        <v>0</v>
      </c>
      <c r="N2059" s="6">
        <v>-380</v>
      </c>
      <c r="O2059" s="6">
        <v>55667.01</v>
      </c>
      <c r="P2059" s="7">
        <v>0</v>
      </c>
      <c r="Q2059" s="6">
        <v>0</v>
      </c>
    </row>
    <row r="2060" spans="1:17">
      <c r="A2060">
        <v>2059</v>
      </c>
      <c r="B2060" s="5">
        <v>45880</v>
      </c>
      <c r="C2060" t="s">
        <v>916</v>
      </c>
      <c r="D2060" t="s">
        <v>917</v>
      </c>
      <c r="E2060" t="s">
        <v>918</v>
      </c>
      <c r="F2060">
        <v>9</v>
      </c>
      <c r="G2060" t="s">
        <v>1356</v>
      </c>
      <c r="H2060" t="s">
        <v>929</v>
      </c>
      <c r="I2060" t="s">
        <v>22</v>
      </c>
      <c r="J2060" t="s">
        <v>67</v>
      </c>
      <c r="K2060" t="s">
        <v>34</v>
      </c>
      <c r="L2060" s="6">
        <v>450</v>
      </c>
      <c r="M2060" s="6">
        <v>0</v>
      </c>
      <c r="N2060" s="6">
        <v>-450</v>
      </c>
      <c r="O2060" s="6">
        <v>55217.01</v>
      </c>
      <c r="P2060" s="7">
        <v>0</v>
      </c>
      <c r="Q2060" s="6">
        <v>0</v>
      </c>
    </row>
    <row r="2061" spans="1:17">
      <c r="A2061">
        <v>2060</v>
      </c>
      <c r="B2061" s="5">
        <v>45880</v>
      </c>
      <c r="C2061" t="s">
        <v>916</v>
      </c>
      <c r="D2061" t="s">
        <v>917</v>
      </c>
      <c r="E2061" t="s">
        <v>918</v>
      </c>
      <c r="F2061">
        <v>9</v>
      </c>
      <c r="G2061" t="s">
        <v>1357</v>
      </c>
      <c r="H2061" t="s">
        <v>66</v>
      </c>
      <c r="I2061" t="s">
        <v>22</v>
      </c>
      <c r="J2061" t="s">
        <v>67</v>
      </c>
      <c r="K2061" t="s">
        <v>34</v>
      </c>
      <c r="L2061" s="6">
        <v>450</v>
      </c>
      <c r="M2061" s="6">
        <v>0</v>
      </c>
      <c r="N2061" s="6">
        <v>-450</v>
      </c>
      <c r="O2061" s="6">
        <v>54767.01</v>
      </c>
      <c r="P2061" s="7">
        <v>0</v>
      </c>
      <c r="Q2061" s="6">
        <v>0</v>
      </c>
    </row>
    <row r="2062" spans="1:17">
      <c r="A2062">
        <v>2061</v>
      </c>
      <c r="B2062" s="5">
        <v>45880</v>
      </c>
      <c r="C2062" t="s">
        <v>916</v>
      </c>
      <c r="D2062" t="s">
        <v>917</v>
      </c>
      <c r="E2062" t="s">
        <v>918</v>
      </c>
      <c r="F2062">
        <v>9</v>
      </c>
      <c r="G2062" t="s">
        <v>1358</v>
      </c>
      <c r="H2062" t="s">
        <v>929</v>
      </c>
      <c r="I2062" t="s">
        <v>22</v>
      </c>
      <c r="J2062" t="s">
        <v>67</v>
      </c>
      <c r="K2062" t="s">
        <v>34</v>
      </c>
      <c r="L2062" s="6">
        <v>468</v>
      </c>
      <c r="M2062" s="6">
        <v>0</v>
      </c>
      <c r="N2062" s="6">
        <v>-468</v>
      </c>
      <c r="O2062" s="6">
        <v>54299.01</v>
      </c>
      <c r="P2062" s="7">
        <v>0</v>
      </c>
      <c r="Q2062" s="6">
        <v>0</v>
      </c>
    </row>
    <row r="2063" spans="1:17">
      <c r="A2063">
        <v>2062</v>
      </c>
      <c r="B2063" s="5">
        <v>45880</v>
      </c>
      <c r="C2063" t="s">
        <v>916</v>
      </c>
      <c r="D2063" t="s">
        <v>917</v>
      </c>
      <c r="E2063" t="s">
        <v>918</v>
      </c>
      <c r="F2063">
        <v>9</v>
      </c>
      <c r="G2063" t="s">
        <v>1359</v>
      </c>
      <c r="H2063" t="s">
        <v>66</v>
      </c>
      <c r="I2063" t="s">
        <v>22</v>
      </c>
      <c r="J2063" t="s">
        <v>67</v>
      </c>
      <c r="K2063" t="s">
        <v>34</v>
      </c>
      <c r="L2063" s="6">
        <v>710.26</v>
      </c>
      <c r="M2063" s="6">
        <v>0</v>
      </c>
      <c r="N2063" s="6">
        <v>-710.26</v>
      </c>
      <c r="O2063" s="6">
        <v>53588.75</v>
      </c>
      <c r="P2063" s="7">
        <v>0</v>
      </c>
      <c r="Q2063" s="6">
        <v>0</v>
      </c>
    </row>
    <row r="2064" spans="1:17">
      <c r="A2064">
        <v>2063</v>
      </c>
      <c r="B2064" s="5">
        <v>45880</v>
      </c>
      <c r="C2064" t="s">
        <v>916</v>
      </c>
      <c r="D2064" t="s">
        <v>917</v>
      </c>
      <c r="E2064" t="s">
        <v>918</v>
      </c>
      <c r="F2064">
        <v>9</v>
      </c>
      <c r="G2064" t="s">
        <v>1360</v>
      </c>
      <c r="H2064" t="s">
        <v>929</v>
      </c>
      <c r="I2064" t="s">
        <v>22</v>
      </c>
      <c r="J2064" t="s">
        <v>67</v>
      </c>
      <c r="K2064" t="s">
        <v>34</v>
      </c>
      <c r="L2064" s="6">
        <v>1000</v>
      </c>
      <c r="M2064" s="6">
        <v>0</v>
      </c>
      <c r="N2064" s="6">
        <v>-1000</v>
      </c>
      <c r="O2064" s="6">
        <v>52588.75</v>
      </c>
      <c r="P2064" s="7">
        <v>0</v>
      </c>
      <c r="Q2064" s="6">
        <v>0</v>
      </c>
    </row>
    <row r="2065" spans="1:17">
      <c r="A2065">
        <v>2064</v>
      </c>
      <c r="B2065" s="5">
        <v>45880</v>
      </c>
      <c r="C2065" t="s">
        <v>916</v>
      </c>
      <c r="D2065" t="s">
        <v>917</v>
      </c>
      <c r="E2065" t="s">
        <v>918</v>
      </c>
      <c r="F2065">
        <v>9</v>
      </c>
      <c r="G2065" t="s">
        <v>1361</v>
      </c>
      <c r="H2065" t="s">
        <v>66</v>
      </c>
      <c r="I2065" t="s">
        <v>22</v>
      </c>
      <c r="J2065" t="s">
        <v>67</v>
      </c>
      <c r="K2065" t="s">
        <v>34</v>
      </c>
      <c r="L2065" s="6">
        <v>1000</v>
      </c>
      <c r="M2065" s="6">
        <v>0</v>
      </c>
      <c r="N2065" s="6">
        <v>-1000</v>
      </c>
      <c r="O2065" s="6">
        <v>51588.75</v>
      </c>
      <c r="P2065" s="7">
        <v>0</v>
      </c>
      <c r="Q2065" s="6">
        <v>0</v>
      </c>
    </row>
    <row r="2066" spans="1:17">
      <c r="A2066">
        <v>2065</v>
      </c>
      <c r="B2066" s="5">
        <v>45880</v>
      </c>
      <c r="C2066" t="s">
        <v>916</v>
      </c>
      <c r="D2066" t="s">
        <v>917</v>
      </c>
      <c r="E2066" t="s">
        <v>918</v>
      </c>
      <c r="F2066">
        <v>9</v>
      </c>
      <c r="G2066" t="s">
        <v>1362</v>
      </c>
      <c r="H2066" t="s">
        <v>66</v>
      </c>
      <c r="I2066" t="s">
        <v>22</v>
      </c>
      <c r="J2066" t="s">
        <v>67</v>
      </c>
      <c r="K2066" t="s">
        <v>34</v>
      </c>
      <c r="L2066" s="6">
        <v>1000</v>
      </c>
      <c r="M2066" s="6">
        <v>0</v>
      </c>
      <c r="N2066" s="6">
        <v>-1000</v>
      </c>
      <c r="O2066" s="6">
        <v>50588.75</v>
      </c>
      <c r="P2066" s="7">
        <v>0</v>
      </c>
      <c r="Q2066" s="6">
        <v>0</v>
      </c>
    </row>
    <row r="2067" spans="1:17">
      <c r="A2067">
        <v>2066</v>
      </c>
      <c r="B2067" s="5">
        <v>45880</v>
      </c>
      <c r="C2067" t="s">
        <v>916</v>
      </c>
      <c r="D2067" t="s">
        <v>917</v>
      </c>
      <c r="E2067" t="s">
        <v>918</v>
      </c>
      <c r="F2067">
        <v>9</v>
      </c>
      <c r="G2067" t="s">
        <v>1363</v>
      </c>
      <c r="H2067" t="s">
        <v>66</v>
      </c>
      <c r="I2067" t="s">
        <v>22</v>
      </c>
      <c r="J2067" t="s">
        <v>67</v>
      </c>
      <c r="K2067" t="s">
        <v>34</v>
      </c>
      <c r="L2067" s="6">
        <v>10110.32</v>
      </c>
      <c r="M2067" s="6">
        <v>0</v>
      </c>
      <c r="N2067" s="6">
        <v>-10110.32</v>
      </c>
      <c r="O2067" s="6">
        <v>40478.43</v>
      </c>
      <c r="P2067" s="7">
        <v>0</v>
      </c>
      <c r="Q2067" s="6">
        <v>0</v>
      </c>
    </row>
    <row r="2068" spans="1:17">
      <c r="A2068">
        <v>2067</v>
      </c>
      <c r="B2068" s="5">
        <v>45880</v>
      </c>
      <c r="C2068" t="s">
        <v>916</v>
      </c>
      <c r="D2068" t="s">
        <v>917</v>
      </c>
      <c r="E2068" t="s">
        <v>918</v>
      </c>
      <c r="F2068">
        <v>9</v>
      </c>
      <c r="G2068" t="s">
        <v>1364</v>
      </c>
      <c r="H2068" t="s">
        <v>66</v>
      </c>
      <c r="I2068" t="s">
        <v>22</v>
      </c>
      <c r="J2068" t="s">
        <v>67</v>
      </c>
      <c r="K2068" t="s">
        <v>34</v>
      </c>
      <c r="L2068" s="6">
        <v>11470</v>
      </c>
      <c r="M2068" s="6">
        <v>0</v>
      </c>
      <c r="N2068" s="6">
        <v>-11470</v>
      </c>
      <c r="O2068" s="6">
        <v>29008.43</v>
      </c>
      <c r="P2068" s="7">
        <v>0</v>
      </c>
      <c r="Q2068" s="6">
        <v>0</v>
      </c>
    </row>
    <row r="2069" spans="1:17">
      <c r="A2069">
        <v>2068</v>
      </c>
      <c r="B2069" s="5">
        <v>45880</v>
      </c>
      <c r="C2069" t="s">
        <v>916</v>
      </c>
      <c r="D2069" t="s">
        <v>917</v>
      </c>
      <c r="E2069" t="s">
        <v>918</v>
      </c>
      <c r="F2069">
        <v>10</v>
      </c>
      <c r="G2069" t="s">
        <v>1365</v>
      </c>
      <c r="H2069" t="s">
        <v>929</v>
      </c>
      <c r="I2069" t="s">
        <v>22</v>
      </c>
      <c r="J2069" t="s">
        <v>67</v>
      </c>
      <c r="K2069" t="s">
        <v>34</v>
      </c>
      <c r="L2069" s="6">
        <v>12500</v>
      </c>
      <c r="M2069" s="6">
        <v>0</v>
      </c>
      <c r="N2069" s="6">
        <v>-12500</v>
      </c>
      <c r="O2069" s="6">
        <v>16508.43</v>
      </c>
      <c r="P2069" s="7">
        <v>0</v>
      </c>
      <c r="Q2069" s="6">
        <v>0</v>
      </c>
    </row>
    <row r="2070" spans="1:17">
      <c r="A2070">
        <v>2069</v>
      </c>
      <c r="B2070" s="5">
        <v>45880</v>
      </c>
      <c r="C2070" t="s">
        <v>916</v>
      </c>
      <c r="D2070" t="s">
        <v>917</v>
      </c>
      <c r="E2070" t="s">
        <v>918</v>
      </c>
      <c r="F2070">
        <v>10</v>
      </c>
      <c r="G2070" t="s">
        <v>1366</v>
      </c>
      <c r="H2070" t="s">
        <v>66</v>
      </c>
      <c r="I2070" t="s">
        <v>22</v>
      </c>
      <c r="J2070" t="s">
        <v>67</v>
      </c>
      <c r="K2070" t="s">
        <v>34</v>
      </c>
      <c r="L2070" s="6">
        <v>15000</v>
      </c>
      <c r="M2070" s="6">
        <v>0</v>
      </c>
      <c r="N2070" s="6">
        <v>-15000</v>
      </c>
      <c r="O2070" s="6">
        <v>1508.43</v>
      </c>
      <c r="P2070" s="7">
        <v>0</v>
      </c>
      <c r="Q2070" s="6">
        <v>0</v>
      </c>
    </row>
    <row r="2071" spans="1:17">
      <c r="A2071">
        <v>2070</v>
      </c>
      <c r="B2071" s="5">
        <v>45880</v>
      </c>
      <c r="C2071" t="s">
        <v>916</v>
      </c>
      <c r="D2071" t="s">
        <v>917</v>
      </c>
      <c r="E2071" t="s">
        <v>918</v>
      </c>
      <c r="F2071">
        <v>10</v>
      </c>
      <c r="G2071" t="s">
        <v>1367</v>
      </c>
      <c r="H2071" t="s">
        <v>1368</v>
      </c>
      <c r="I2071" t="s">
        <v>16</v>
      </c>
      <c r="J2071" t="s">
        <v>52</v>
      </c>
      <c r="K2071" t="s">
        <v>35</v>
      </c>
      <c r="L2071" s="6">
        <v>0</v>
      </c>
      <c r="M2071" s="6">
        <v>100</v>
      </c>
      <c r="N2071" s="6">
        <v>100</v>
      </c>
      <c r="O2071" s="6">
        <v>1608.43</v>
      </c>
      <c r="P2071" s="7">
        <v>0</v>
      </c>
      <c r="Q2071" s="6">
        <v>0</v>
      </c>
    </row>
    <row r="2072" spans="1:17">
      <c r="A2072">
        <v>2071</v>
      </c>
      <c r="B2072" s="5">
        <v>45880</v>
      </c>
      <c r="C2072" t="s">
        <v>916</v>
      </c>
      <c r="D2072" t="s">
        <v>917</v>
      </c>
      <c r="E2072" t="s">
        <v>918</v>
      </c>
      <c r="F2072">
        <v>10</v>
      </c>
      <c r="G2072" t="s">
        <v>1369</v>
      </c>
      <c r="H2072" t="s">
        <v>1370</v>
      </c>
      <c r="I2072" t="s">
        <v>16</v>
      </c>
      <c r="J2072" t="s">
        <v>52</v>
      </c>
      <c r="K2072" t="s">
        <v>35</v>
      </c>
      <c r="L2072" s="6">
        <v>0</v>
      </c>
      <c r="M2072" s="6">
        <v>284</v>
      </c>
      <c r="N2072" s="6">
        <v>284</v>
      </c>
      <c r="O2072" s="6">
        <v>1892.43</v>
      </c>
      <c r="P2072" s="7">
        <v>0</v>
      </c>
      <c r="Q2072" s="6">
        <v>0</v>
      </c>
    </row>
    <row r="2073" spans="1:17">
      <c r="A2073">
        <v>2072</v>
      </c>
      <c r="B2073" s="5">
        <v>45880</v>
      </c>
      <c r="C2073" t="s">
        <v>916</v>
      </c>
      <c r="D2073" t="s">
        <v>917</v>
      </c>
      <c r="E2073" t="s">
        <v>918</v>
      </c>
      <c r="F2073">
        <v>10</v>
      </c>
      <c r="G2073" t="s">
        <v>1371</v>
      </c>
      <c r="H2073" t="s">
        <v>1372</v>
      </c>
      <c r="I2073" t="s">
        <v>16</v>
      </c>
      <c r="J2073" t="s">
        <v>52</v>
      </c>
      <c r="K2073" t="s">
        <v>35</v>
      </c>
      <c r="L2073" s="6">
        <v>0</v>
      </c>
      <c r="M2073" s="6">
        <v>500</v>
      </c>
      <c r="N2073" s="6">
        <v>500</v>
      </c>
      <c r="O2073" s="6">
        <v>2392.4299999999998</v>
      </c>
      <c r="P2073" s="7">
        <v>0</v>
      </c>
      <c r="Q2073" s="6">
        <v>0</v>
      </c>
    </row>
    <row r="2074" spans="1:17">
      <c r="A2074">
        <v>2073</v>
      </c>
      <c r="B2074" s="5">
        <v>45880</v>
      </c>
      <c r="C2074" t="s">
        <v>916</v>
      </c>
      <c r="D2074" t="s">
        <v>917</v>
      </c>
      <c r="E2074" t="s">
        <v>918</v>
      </c>
      <c r="F2074">
        <v>10</v>
      </c>
      <c r="G2074" t="s">
        <v>1014</v>
      </c>
      <c r="H2074" t="s">
        <v>1015</v>
      </c>
      <c r="I2074" t="s">
        <v>16</v>
      </c>
      <c r="J2074" t="s">
        <v>52</v>
      </c>
      <c r="K2074" t="s">
        <v>35</v>
      </c>
      <c r="L2074" s="6">
        <v>0</v>
      </c>
      <c r="M2074" s="6">
        <v>711</v>
      </c>
      <c r="N2074" s="6">
        <v>711</v>
      </c>
      <c r="O2074" s="6">
        <v>3103.43</v>
      </c>
      <c r="P2074" s="7">
        <v>0</v>
      </c>
      <c r="Q2074" s="6">
        <v>0</v>
      </c>
    </row>
    <row r="2075" spans="1:17">
      <c r="A2075">
        <v>2074</v>
      </c>
      <c r="B2075" s="5">
        <v>45880</v>
      </c>
      <c r="C2075" t="s">
        <v>916</v>
      </c>
      <c r="D2075" t="s">
        <v>917</v>
      </c>
      <c r="E2075" t="s">
        <v>918</v>
      </c>
      <c r="F2075">
        <v>10</v>
      </c>
      <c r="G2075" t="s">
        <v>1014</v>
      </c>
      <c r="H2075" t="s">
        <v>1015</v>
      </c>
      <c r="I2075" t="s">
        <v>16</v>
      </c>
      <c r="J2075" t="s">
        <v>52</v>
      </c>
      <c r="K2075" t="s">
        <v>35</v>
      </c>
      <c r="L2075" s="6">
        <v>0</v>
      </c>
      <c r="M2075" s="6">
        <v>1244</v>
      </c>
      <c r="N2075" s="6">
        <v>1244</v>
      </c>
      <c r="O2075" s="6">
        <v>4347.43</v>
      </c>
      <c r="P2075" s="7">
        <v>0</v>
      </c>
      <c r="Q2075" s="6">
        <v>0</v>
      </c>
    </row>
    <row r="2076" spans="1:17">
      <c r="A2076">
        <v>2075</v>
      </c>
      <c r="B2076" s="5">
        <v>45880</v>
      </c>
      <c r="C2076" t="s">
        <v>916</v>
      </c>
      <c r="D2076" t="s">
        <v>917</v>
      </c>
      <c r="E2076" t="s">
        <v>918</v>
      </c>
      <c r="F2076">
        <v>10</v>
      </c>
      <c r="G2076" t="s">
        <v>1373</v>
      </c>
      <c r="H2076" t="s">
        <v>1374</v>
      </c>
      <c r="I2076" t="s">
        <v>16</v>
      </c>
      <c r="J2076" t="s">
        <v>52</v>
      </c>
      <c r="K2076" t="s">
        <v>35</v>
      </c>
      <c r="L2076" s="6">
        <v>0</v>
      </c>
      <c r="M2076" s="6">
        <v>1300</v>
      </c>
      <c r="N2076" s="6">
        <v>1300</v>
      </c>
      <c r="O2076" s="6">
        <v>5647.43</v>
      </c>
      <c r="P2076" s="7">
        <v>0</v>
      </c>
      <c r="Q2076" s="6">
        <v>0</v>
      </c>
    </row>
    <row r="2077" spans="1:17">
      <c r="A2077">
        <v>2076</v>
      </c>
      <c r="B2077" s="5">
        <v>45880</v>
      </c>
      <c r="C2077" t="s">
        <v>916</v>
      </c>
      <c r="D2077" t="s">
        <v>917</v>
      </c>
      <c r="E2077" t="s">
        <v>918</v>
      </c>
      <c r="F2077">
        <v>10</v>
      </c>
      <c r="G2077" t="s">
        <v>1014</v>
      </c>
      <c r="H2077" t="s">
        <v>1015</v>
      </c>
      <c r="I2077" t="s">
        <v>16</v>
      </c>
      <c r="J2077" t="s">
        <v>52</v>
      </c>
      <c r="K2077" t="s">
        <v>35</v>
      </c>
      <c r="L2077" s="6">
        <v>0</v>
      </c>
      <c r="M2077" s="6">
        <v>1333</v>
      </c>
      <c r="N2077" s="6">
        <v>1333</v>
      </c>
      <c r="O2077" s="6">
        <v>6980.43</v>
      </c>
      <c r="P2077" s="7">
        <v>0</v>
      </c>
      <c r="Q2077" s="6">
        <v>0</v>
      </c>
    </row>
    <row r="2078" spans="1:17">
      <c r="A2078">
        <v>2077</v>
      </c>
      <c r="B2078" s="5">
        <v>45880</v>
      </c>
      <c r="C2078" t="s">
        <v>916</v>
      </c>
      <c r="D2078" t="s">
        <v>917</v>
      </c>
      <c r="E2078" t="s">
        <v>918</v>
      </c>
      <c r="F2078">
        <v>10</v>
      </c>
      <c r="G2078" t="s">
        <v>1014</v>
      </c>
      <c r="H2078" t="s">
        <v>1015</v>
      </c>
      <c r="I2078" t="s">
        <v>16</v>
      </c>
      <c r="J2078" t="s">
        <v>52</v>
      </c>
      <c r="K2078" t="s">
        <v>35</v>
      </c>
      <c r="L2078" s="6">
        <v>0</v>
      </c>
      <c r="M2078" s="6">
        <v>1333</v>
      </c>
      <c r="N2078" s="6">
        <v>1333</v>
      </c>
      <c r="O2078" s="6">
        <v>8313.43</v>
      </c>
      <c r="P2078" s="7">
        <v>0</v>
      </c>
      <c r="Q2078" s="6">
        <v>0</v>
      </c>
    </row>
    <row r="2079" spans="1:17">
      <c r="A2079">
        <v>2078</v>
      </c>
      <c r="B2079" s="5">
        <v>45880</v>
      </c>
      <c r="C2079" t="s">
        <v>916</v>
      </c>
      <c r="D2079" t="s">
        <v>917</v>
      </c>
      <c r="E2079" t="s">
        <v>918</v>
      </c>
      <c r="F2079">
        <v>10</v>
      </c>
      <c r="G2079" t="s">
        <v>1373</v>
      </c>
      <c r="H2079" t="s">
        <v>1374</v>
      </c>
      <c r="I2079" t="s">
        <v>16</v>
      </c>
      <c r="J2079" t="s">
        <v>52</v>
      </c>
      <c r="K2079" t="s">
        <v>35</v>
      </c>
      <c r="L2079" s="6">
        <v>0</v>
      </c>
      <c r="M2079" s="6">
        <v>1500</v>
      </c>
      <c r="N2079" s="6">
        <v>1500</v>
      </c>
      <c r="O2079" s="6">
        <v>9813.43</v>
      </c>
      <c r="P2079" s="7">
        <v>0</v>
      </c>
      <c r="Q2079" s="6">
        <v>0</v>
      </c>
    </row>
    <row r="2080" spans="1:17">
      <c r="A2080">
        <v>2079</v>
      </c>
      <c r="B2080" s="5">
        <v>45880</v>
      </c>
      <c r="C2080" t="s">
        <v>916</v>
      </c>
      <c r="D2080" t="s">
        <v>917</v>
      </c>
      <c r="E2080" t="s">
        <v>918</v>
      </c>
      <c r="F2080">
        <v>10</v>
      </c>
      <c r="G2080" t="s">
        <v>1375</v>
      </c>
      <c r="H2080" t="s">
        <v>1376</v>
      </c>
      <c r="I2080" t="s">
        <v>16</v>
      </c>
      <c r="J2080" t="s">
        <v>52</v>
      </c>
      <c r="K2080" t="s">
        <v>35</v>
      </c>
      <c r="L2080" s="6">
        <v>0</v>
      </c>
      <c r="M2080" s="6">
        <v>2000</v>
      </c>
      <c r="N2080" s="6">
        <v>2000</v>
      </c>
      <c r="O2080" s="6">
        <v>11813.43</v>
      </c>
      <c r="P2080" s="7">
        <v>0</v>
      </c>
      <c r="Q2080" s="6">
        <v>0</v>
      </c>
    </row>
    <row r="2081" spans="1:18">
      <c r="A2081">
        <v>2080</v>
      </c>
      <c r="B2081" s="5">
        <v>45880</v>
      </c>
      <c r="C2081" t="s">
        <v>916</v>
      </c>
      <c r="D2081" t="s">
        <v>917</v>
      </c>
      <c r="E2081" t="s">
        <v>918</v>
      </c>
      <c r="F2081">
        <v>10</v>
      </c>
      <c r="G2081" t="s">
        <v>1377</v>
      </c>
      <c r="I2081" t="s">
        <v>16</v>
      </c>
      <c r="J2081" t="s">
        <v>52</v>
      </c>
      <c r="K2081" t="s">
        <v>35</v>
      </c>
      <c r="L2081" s="6">
        <v>0</v>
      </c>
      <c r="M2081" s="6">
        <v>6004</v>
      </c>
      <c r="N2081" s="6">
        <v>6004</v>
      </c>
      <c r="O2081" s="6">
        <v>17817.43</v>
      </c>
      <c r="P2081" s="7">
        <v>0</v>
      </c>
      <c r="Q2081" s="6">
        <v>0</v>
      </c>
    </row>
    <row r="2082" spans="1:18">
      <c r="A2082">
        <v>2081</v>
      </c>
      <c r="B2082" s="5">
        <v>45880</v>
      </c>
      <c r="C2082" t="s">
        <v>916</v>
      </c>
      <c r="D2082" t="s">
        <v>917</v>
      </c>
      <c r="E2082" t="s">
        <v>918</v>
      </c>
      <c r="F2082">
        <v>10</v>
      </c>
      <c r="G2082" t="s">
        <v>1378</v>
      </c>
      <c r="I2082" t="s">
        <v>16</v>
      </c>
      <c r="J2082" t="s">
        <v>52</v>
      </c>
      <c r="K2082" t="s">
        <v>35</v>
      </c>
      <c r="L2082" s="6">
        <v>0</v>
      </c>
      <c r="M2082" s="6">
        <v>7526</v>
      </c>
      <c r="N2082" s="6">
        <v>7526</v>
      </c>
      <c r="O2082" s="6">
        <v>25343.43</v>
      </c>
      <c r="P2082" s="7">
        <v>0</v>
      </c>
      <c r="Q2082" s="6">
        <v>0</v>
      </c>
    </row>
    <row r="2083" spans="1:18">
      <c r="A2083">
        <v>2082</v>
      </c>
      <c r="B2083" s="5">
        <v>45881</v>
      </c>
      <c r="C2083" t="s">
        <v>916</v>
      </c>
      <c r="D2083" t="s">
        <v>917</v>
      </c>
      <c r="E2083" t="s">
        <v>918</v>
      </c>
      <c r="F2083">
        <v>10</v>
      </c>
      <c r="G2083" t="s">
        <v>1379</v>
      </c>
      <c r="H2083" t="s">
        <v>1380</v>
      </c>
      <c r="I2083" t="s">
        <v>16</v>
      </c>
      <c r="J2083" t="s">
        <v>52</v>
      </c>
      <c r="K2083" t="s">
        <v>35</v>
      </c>
      <c r="L2083" s="6">
        <v>0</v>
      </c>
      <c r="M2083" s="6">
        <v>700</v>
      </c>
      <c r="N2083" s="6">
        <v>700</v>
      </c>
      <c r="O2083" s="6">
        <v>26043.43</v>
      </c>
      <c r="P2083" s="7">
        <v>0</v>
      </c>
      <c r="Q2083" s="6">
        <v>0</v>
      </c>
    </row>
    <row r="2084" spans="1:18">
      <c r="A2084">
        <v>2083</v>
      </c>
      <c r="B2084" s="5">
        <v>45881</v>
      </c>
      <c r="C2084" t="s">
        <v>916</v>
      </c>
      <c r="D2084" t="s">
        <v>917</v>
      </c>
      <c r="E2084" t="s">
        <v>918</v>
      </c>
      <c r="F2084">
        <v>10</v>
      </c>
      <c r="G2084" t="s">
        <v>1381</v>
      </c>
      <c r="H2084" t="s">
        <v>1279</v>
      </c>
      <c r="I2084" t="s">
        <v>18</v>
      </c>
      <c r="J2084" t="s">
        <v>345</v>
      </c>
      <c r="K2084" t="s">
        <v>34</v>
      </c>
      <c r="L2084" s="6">
        <v>5954.69</v>
      </c>
      <c r="M2084" s="6">
        <v>0</v>
      </c>
      <c r="N2084" s="6">
        <v>-5954.69</v>
      </c>
      <c r="O2084" s="6">
        <v>20088.740000000002</v>
      </c>
      <c r="P2084" s="7">
        <v>0</v>
      </c>
      <c r="Q2084" s="6">
        <v>0</v>
      </c>
    </row>
    <row r="2085" spans="1:18">
      <c r="A2085">
        <v>2084</v>
      </c>
      <c r="B2085" s="5">
        <v>45881</v>
      </c>
      <c r="C2085" t="s">
        <v>916</v>
      </c>
      <c r="D2085" t="s">
        <v>917</v>
      </c>
      <c r="E2085" t="s">
        <v>918</v>
      </c>
      <c r="F2085">
        <v>10</v>
      </c>
      <c r="G2085" t="s">
        <v>346</v>
      </c>
      <c r="I2085" t="s">
        <v>14</v>
      </c>
      <c r="J2085" t="s">
        <v>46</v>
      </c>
      <c r="K2085" t="s">
        <v>34</v>
      </c>
      <c r="L2085" s="6">
        <v>40</v>
      </c>
      <c r="M2085" s="6">
        <v>0</v>
      </c>
      <c r="N2085" s="6">
        <v>-40</v>
      </c>
      <c r="O2085" s="6">
        <v>20048.740000000002</v>
      </c>
      <c r="P2085" s="7">
        <v>0.15</v>
      </c>
      <c r="Q2085" s="6">
        <v>5.22</v>
      </c>
    </row>
    <row r="2086" spans="1:18">
      <c r="A2086">
        <v>2085</v>
      </c>
      <c r="B2086" s="5">
        <v>45881</v>
      </c>
      <c r="C2086" t="s">
        <v>916</v>
      </c>
      <c r="D2086" t="s">
        <v>917</v>
      </c>
      <c r="E2086" t="s">
        <v>918</v>
      </c>
      <c r="F2086">
        <v>10</v>
      </c>
      <c r="G2086" t="s">
        <v>1382</v>
      </c>
      <c r="H2086" t="s">
        <v>929</v>
      </c>
      <c r="I2086" t="s">
        <v>22</v>
      </c>
      <c r="J2086" t="s">
        <v>67</v>
      </c>
      <c r="K2086" t="s">
        <v>34</v>
      </c>
      <c r="L2086" s="6">
        <v>216.67</v>
      </c>
      <c r="M2086" s="6">
        <v>0</v>
      </c>
      <c r="N2086" s="6">
        <v>-216.67</v>
      </c>
      <c r="O2086" s="6">
        <v>19832.07</v>
      </c>
      <c r="P2086" s="7">
        <v>0</v>
      </c>
      <c r="Q2086" s="6">
        <v>0</v>
      </c>
    </row>
    <row r="2087" spans="1:18">
      <c r="A2087">
        <v>2086</v>
      </c>
      <c r="B2087" s="5">
        <v>45881</v>
      </c>
      <c r="C2087" t="s">
        <v>916</v>
      </c>
      <c r="D2087" t="s">
        <v>917</v>
      </c>
      <c r="E2087" t="s">
        <v>918</v>
      </c>
      <c r="F2087">
        <v>10</v>
      </c>
      <c r="G2087" t="s">
        <v>1383</v>
      </c>
      <c r="H2087" t="s">
        <v>929</v>
      </c>
      <c r="I2087" t="s">
        <v>22</v>
      </c>
      <c r="J2087" t="s">
        <v>67</v>
      </c>
      <c r="K2087" t="s">
        <v>34</v>
      </c>
      <c r="L2087" s="6">
        <v>414.96</v>
      </c>
      <c r="M2087" s="6">
        <v>0</v>
      </c>
      <c r="N2087" s="6">
        <v>-414.96</v>
      </c>
      <c r="O2087" s="6">
        <v>19417.11</v>
      </c>
      <c r="P2087" s="7">
        <v>0</v>
      </c>
      <c r="Q2087" s="6">
        <v>0</v>
      </c>
    </row>
    <row r="2088" spans="1:18">
      <c r="A2088">
        <v>2087</v>
      </c>
      <c r="B2088" s="5">
        <v>45881</v>
      </c>
      <c r="C2088" t="s">
        <v>916</v>
      </c>
      <c r="D2088" t="s">
        <v>917</v>
      </c>
      <c r="E2088" t="s">
        <v>918</v>
      </c>
      <c r="F2088">
        <v>10</v>
      </c>
      <c r="G2088" t="s">
        <v>1384</v>
      </c>
      <c r="I2088" t="s">
        <v>20</v>
      </c>
      <c r="J2088" t="s">
        <v>20</v>
      </c>
      <c r="K2088" t="s">
        <v>35</v>
      </c>
      <c r="L2088" s="6">
        <v>0</v>
      </c>
      <c r="M2088" s="6">
        <v>1969</v>
      </c>
      <c r="N2088" s="6">
        <v>1969</v>
      </c>
      <c r="O2088" s="6">
        <v>21386.11</v>
      </c>
      <c r="P2088" s="7">
        <v>0</v>
      </c>
      <c r="Q2088" s="6">
        <v>0</v>
      </c>
      <c r="R2088" t="s">
        <v>169</v>
      </c>
    </row>
    <row r="2089" spans="1:18">
      <c r="A2089">
        <v>2088</v>
      </c>
      <c r="B2089" s="5">
        <v>45881</v>
      </c>
      <c r="C2089" t="s">
        <v>916</v>
      </c>
      <c r="D2089" t="s">
        <v>917</v>
      </c>
      <c r="E2089" t="s">
        <v>918</v>
      </c>
      <c r="F2089">
        <v>10</v>
      </c>
      <c r="G2089" t="s">
        <v>1059</v>
      </c>
      <c r="H2089" t="s">
        <v>1060</v>
      </c>
      <c r="I2089" t="s">
        <v>16</v>
      </c>
      <c r="J2089" t="s">
        <v>52</v>
      </c>
      <c r="K2089" t="s">
        <v>35</v>
      </c>
      <c r="L2089" s="6">
        <v>0</v>
      </c>
      <c r="M2089" s="6">
        <v>400</v>
      </c>
      <c r="N2089" s="6">
        <v>400</v>
      </c>
      <c r="O2089" s="6">
        <v>21786.11</v>
      </c>
      <c r="P2089" s="7">
        <v>0</v>
      </c>
      <c r="Q2089" s="6">
        <v>0</v>
      </c>
    </row>
    <row r="2090" spans="1:18">
      <c r="A2090">
        <v>2089</v>
      </c>
      <c r="B2090" s="5">
        <v>45881</v>
      </c>
      <c r="C2090" t="s">
        <v>916</v>
      </c>
      <c r="D2090" t="s">
        <v>917</v>
      </c>
      <c r="E2090" t="s">
        <v>918</v>
      </c>
      <c r="F2090">
        <v>10</v>
      </c>
      <c r="G2090" t="s">
        <v>1385</v>
      </c>
      <c r="I2090" t="s">
        <v>15</v>
      </c>
      <c r="J2090" t="s">
        <v>52</v>
      </c>
      <c r="K2090" t="s">
        <v>35</v>
      </c>
      <c r="L2090" s="6">
        <v>0</v>
      </c>
      <c r="M2090" s="6">
        <v>25403</v>
      </c>
      <c r="N2090" s="6">
        <v>25403</v>
      </c>
      <c r="O2090" s="6">
        <v>47189.11</v>
      </c>
      <c r="P2090" s="7">
        <v>0</v>
      </c>
      <c r="Q2090" s="6">
        <v>0</v>
      </c>
    </row>
    <row r="2091" spans="1:18">
      <c r="A2091">
        <v>2090</v>
      </c>
      <c r="B2091" s="5">
        <v>45881</v>
      </c>
      <c r="C2091" t="s">
        <v>916</v>
      </c>
      <c r="D2091" t="s">
        <v>917</v>
      </c>
      <c r="E2091" t="s">
        <v>918</v>
      </c>
      <c r="F2091">
        <v>10</v>
      </c>
      <c r="G2091" t="s">
        <v>1386</v>
      </c>
      <c r="H2091" t="s">
        <v>1387</v>
      </c>
      <c r="I2091" t="s">
        <v>16</v>
      </c>
      <c r="J2091" t="s">
        <v>52</v>
      </c>
      <c r="K2091" t="s">
        <v>35</v>
      </c>
      <c r="L2091" s="6">
        <v>0</v>
      </c>
      <c r="M2091" s="6">
        <v>1600</v>
      </c>
      <c r="N2091" s="6">
        <v>1600</v>
      </c>
      <c r="O2091" s="6">
        <v>48789.11</v>
      </c>
      <c r="P2091" s="7">
        <v>0</v>
      </c>
      <c r="Q2091" s="6">
        <v>0</v>
      </c>
    </row>
    <row r="2092" spans="1:18">
      <c r="A2092">
        <v>2091</v>
      </c>
      <c r="B2092" s="5">
        <v>45881</v>
      </c>
      <c r="C2092" t="s">
        <v>916</v>
      </c>
      <c r="D2092" t="s">
        <v>917</v>
      </c>
      <c r="E2092" t="s">
        <v>918</v>
      </c>
      <c r="F2092">
        <v>10</v>
      </c>
      <c r="G2092" t="s">
        <v>1388</v>
      </c>
      <c r="I2092" t="s">
        <v>22</v>
      </c>
      <c r="J2092" t="s">
        <v>67</v>
      </c>
      <c r="K2092" t="s">
        <v>34</v>
      </c>
      <c r="L2092" s="6">
        <v>3000</v>
      </c>
      <c r="M2092" s="6">
        <v>0</v>
      </c>
      <c r="N2092" s="6">
        <v>-3000</v>
      </c>
      <c r="O2092" s="6">
        <v>45789.11</v>
      </c>
      <c r="P2092" s="7">
        <v>0</v>
      </c>
      <c r="Q2092" s="6">
        <v>0</v>
      </c>
    </row>
    <row r="2093" spans="1:18">
      <c r="A2093">
        <v>2092</v>
      </c>
      <c r="B2093" s="5">
        <v>45881</v>
      </c>
      <c r="C2093" t="s">
        <v>916</v>
      </c>
      <c r="D2093" t="s">
        <v>917</v>
      </c>
      <c r="E2093" t="s">
        <v>918</v>
      </c>
      <c r="F2093">
        <v>10</v>
      </c>
      <c r="G2093" t="s">
        <v>1389</v>
      </c>
      <c r="I2093" t="s">
        <v>17</v>
      </c>
      <c r="J2093" t="s">
        <v>64</v>
      </c>
      <c r="K2093" t="s">
        <v>34</v>
      </c>
      <c r="L2093" s="6">
        <v>3000</v>
      </c>
      <c r="M2093" s="6">
        <v>0</v>
      </c>
      <c r="N2093" s="6">
        <v>-3000</v>
      </c>
      <c r="O2093" s="6">
        <v>42789.11</v>
      </c>
      <c r="P2093" s="7">
        <v>0</v>
      </c>
      <c r="Q2093" s="6">
        <v>0</v>
      </c>
    </row>
    <row r="2094" spans="1:18">
      <c r="A2094">
        <v>2093</v>
      </c>
      <c r="B2094" s="5">
        <v>45881</v>
      </c>
      <c r="C2094" t="s">
        <v>916</v>
      </c>
      <c r="D2094" t="s">
        <v>917</v>
      </c>
      <c r="E2094" t="s">
        <v>918</v>
      </c>
      <c r="F2094">
        <v>10</v>
      </c>
      <c r="G2094" t="s">
        <v>1390</v>
      </c>
      <c r="H2094" t="s">
        <v>929</v>
      </c>
      <c r="I2094" t="s">
        <v>22</v>
      </c>
      <c r="J2094" t="s">
        <v>67</v>
      </c>
      <c r="K2094" t="s">
        <v>34</v>
      </c>
      <c r="L2094" s="6">
        <v>185.33</v>
      </c>
      <c r="M2094" s="6">
        <v>0</v>
      </c>
      <c r="N2094" s="6">
        <v>-185.33</v>
      </c>
      <c r="O2094" s="6">
        <v>42603.78</v>
      </c>
      <c r="P2094" s="7">
        <v>0</v>
      </c>
      <c r="Q2094" s="6">
        <v>0</v>
      </c>
    </row>
    <row r="2095" spans="1:18">
      <c r="A2095">
        <v>2094</v>
      </c>
      <c r="B2095" s="5">
        <v>45881</v>
      </c>
      <c r="C2095" t="s">
        <v>916</v>
      </c>
      <c r="D2095" t="s">
        <v>917</v>
      </c>
      <c r="E2095" t="s">
        <v>918</v>
      </c>
      <c r="F2095">
        <v>10</v>
      </c>
      <c r="G2095" t="s">
        <v>1391</v>
      </c>
      <c r="H2095" t="s">
        <v>66</v>
      </c>
      <c r="I2095" t="s">
        <v>22</v>
      </c>
      <c r="J2095" t="s">
        <v>67</v>
      </c>
      <c r="K2095" t="s">
        <v>34</v>
      </c>
      <c r="L2095" s="6">
        <v>1700</v>
      </c>
      <c r="M2095" s="6">
        <v>0</v>
      </c>
      <c r="N2095" s="6">
        <v>-1700</v>
      </c>
      <c r="O2095" s="6">
        <v>40903.78</v>
      </c>
      <c r="P2095" s="7">
        <v>0</v>
      </c>
      <c r="Q2095" s="6">
        <v>0</v>
      </c>
    </row>
    <row r="2096" spans="1:18">
      <c r="A2096">
        <v>2095</v>
      </c>
      <c r="B2096" s="5">
        <v>45881</v>
      </c>
      <c r="C2096" t="s">
        <v>916</v>
      </c>
      <c r="D2096" t="s">
        <v>917</v>
      </c>
      <c r="E2096" t="s">
        <v>918</v>
      </c>
      <c r="F2096">
        <v>10</v>
      </c>
      <c r="G2096" t="s">
        <v>1392</v>
      </c>
      <c r="H2096" t="s">
        <v>929</v>
      </c>
      <c r="I2096" t="s">
        <v>22</v>
      </c>
      <c r="J2096" t="s">
        <v>67</v>
      </c>
      <c r="K2096" t="s">
        <v>34</v>
      </c>
      <c r="L2096" s="6">
        <v>600</v>
      </c>
      <c r="M2096" s="6">
        <v>0</v>
      </c>
      <c r="N2096" s="6">
        <v>-600</v>
      </c>
      <c r="O2096" s="6">
        <v>40303.78</v>
      </c>
      <c r="P2096" s="7">
        <v>0</v>
      </c>
      <c r="Q2096" s="6">
        <v>0</v>
      </c>
    </row>
    <row r="2097" spans="1:17">
      <c r="A2097">
        <v>2096</v>
      </c>
      <c r="B2097" s="5">
        <v>45881</v>
      </c>
      <c r="C2097" t="s">
        <v>916</v>
      </c>
      <c r="D2097" t="s">
        <v>917</v>
      </c>
      <c r="E2097" t="s">
        <v>918</v>
      </c>
      <c r="F2097">
        <v>10</v>
      </c>
      <c r="G2097" t="s">
        <v>1393</v>
      </c>
      <c r="H2097" t="s">
        <v>929</v>
      </c>
      <c r="I2097" t="s">
        <v>22</v>
      </c>
      <c r="J2097" t="s">
        <v>67</v>
      </c>
      <c r="K2097" t="s">
        <v>34</v>
      </c>
      <c r="L2097" s="6">
        <v>610</v>
      </c>
      <c r="M2097" s="6">
        <v>0</v>
      </c>
      <c r="N2097" s="6">
        <v>-610</v>
      </c>
      <c r="O2097" s="6">
        <v>39693.78</v>
      </c>
      <c r="P2097" s="7">
        <v>0</v>
      </c>
      <c r="Q2097" s="6">
        <v>0</v>
      </c>
    </row>
    <row r="2098" spans="1:17">
      <c r="A2098">
        <v>2097</v>
      </c>
      <c r="B2098" s="5">
        <v>45881</v>
      </c>
      <c r="C2098" t="s">
        <v>916</v>
      </c>
      <c r="D2098" t="s">
        <v>917</v>
      </c>
      <c r="E2098" t="s">
        <v>918</v>
      </c>
      <c r="F2098">
        <v>10</v>
      </c>
      <c r="G2098" t="s">
        <v>1394</v>
      </c>
      <c r="H2098" t="s">
        <v>929</v>
      </c>
      <c r="I2098" t="s">
        <v>22</v>
      </c>
      <c r="J2098" t="s">
        <v>67</v>
      </c>
      <c r="K2098" t="s">
        <v>34</v>
      </c>
      <c r="L2098" s="6">
        <v>1000</v>
      </c>
      <c r="M2098" s="6">
        <v>0</v>
      </c>
      <c r="N2098" s="6">
        <v>-1000</v>
      </c>
      <c r="O2098" s="6">
        <v>38693.78</v>
      </c>
      <c r="P2098" s="7">
        <v>0</v>
      </c>
      <c r="Q2098" s="6">
        <v>0</v>
      </c>
    </row>
    <row r="2099" spans="1:17">
      <c r="A2099">
        <v>2098</v>
      </c>
      <c r="B2099" s="5">
        <v>45881</v>
      </c>
      <c r="C2099" t="s">
        <v>916</v>
      </c>
      <c r="D2099" t="s">
        <v>917</v>
      </c>
      <c r="E2099" t="s">
        <v>918</v>
      </c>
      <c r="F2099">
        <v>10</v>
      </c>
      <c r="G2099" t="s">
        <v>1395</v>
      </c>
      <c r="H2099" t="s">
        <v>929</v>
      </c>
      <c r="I2099" t="s">
        <v>22</v>
      </c>
      <c r="J2099" t="s">
        <v>67</v>
      </c>
      <c r="K2099" t="s">
        <v>34</v>
      </c>
      <c r="L2099" s="6">
        <v>300</v>
      </c>
      <c r="M2099" s="6">
        <v>0</v>
      </c>
      <c r="N2099" s="6">
        <v>-300</v>
      </c>
      <c r="O2099" s="6">
        <v>38393.78</v>
      </c>
      <c r="P2099" s="7">
        <v>0</v>
      </c>
      <c r="Q2099" s="6">
        <v>0</v>
      </c>
    </row>
    <row r="2100" spans="1:17">
      <c r="A2100">
        <v>2099</v>
      </c>
      <c r="B2100" s="5">
        <v>45881</v>
      </c>
      <c r="C2100" t="s">
        <v>916</v>
      </c>
      <c r="D2100" t="s">
        <v>917</v>
      </c>
      <c r="E2100" t="s">
        <v>918</v>
      </c>
      <c r="F2100">
        <v>10</v>
      </c>
      <c r="G2100" t="s">
        <v>1396</v>
      </c>
      <c r="H2100" t="s">
        <v>66</v>
      </c>
      <c r="I2100" t="s">
        <v>22</v>
      </c>
      <c r="J2100" t="s">
        <v>67</v>
      </c>
      <c r="K2100" t="s">
        <v>34</v>
      </c>
      <c r="L2100" s="6">
        <v>577</v>
      </c>
      <c r="M2100" s="6">
        <v>0</v>
      </c>
      <c r="N2100" s="6">
        <v>-577</v>
      </c>
      <c r="O2100" s="6">
        <v>37816.78</v>
      </c>
      <c r="P2100" s="7">
        <v>0</v>
      </c>
      <c r="Q2100" s="6">
        <v>0</v>
      </c>
    </row>
    <row r="2101" spans="1:17">
      <c r="A2101">
        <v>2100</v>
      </c>
      <c r="B2101" s="5">
        <v>45881</v>
      </c>
      <c r="C2101" t="s">
        <v>916</v>
      </c>
      <c r="D2101" t="s">
        <v>917</v>
      </c>
      <c r="E2101" t="s">
        <v>918</v>
      </c>
      <c r="F2101">
        <v>10</v>
      </c>
      <c r="G2101" t="s">
        <v>900</v>
      </c>
      <c r="I2101" t="s">
        <v>16</v>
      </c>
      <c r="J2101" t="s">
        <v>52</v>
      </c>
      <c r="K2101" t="s">
        <v>35</v>
      </c>
      <c r="L2101" s="6">
        <v>0</v>
      </c>
      <c r="M2101" s="6">
        <v>711.59</v>
      </c>
      <c r="N2101" s="6">
        <v>711.59</v>
      </c>
      <c r="O2101" s="6">
        <v>38528.370000000003</v>
      </c>
      <c r="P2101" s="7">
        <v>0</v>
      </c>
      <c r="Q2101" s="6">
        <v>0</v>
      </c>
    </row>
    <row r="2102" spans="1:17">
      <c r="A2102">
        <v>2101</v>
      </c>
      <c r="B2102" s="5">
        <v>45881</v>
      </c>
      <c r="C2102" t="s">
        <v>916</v>
      </c>
      <c r="D2102" t="s">
        <v>917</v>
      </c>
      <c r="E2102" t="s">
        <v>918</v>
      </c>
      <c r="F2102">
        <v>10</v>
      </c>
      <c r="G2102" t="s">
        <v>1397</v>
      </c>
      <c r="H2102" t="s">
        <v>929</v>
      </c>
      <c r="I2102" t="s">
        <v>22</v>
      </c>
      <c r="J2102" t="s">
        <v>67</v>
      </c>
      <c r="K2102" t="s">
        <v>34</v>
      </c>
      <c r="L2102" s="6">
        <v>1000</v>
      </c>
      <c r="M2102" s="6">
        <v>0</v>
      </c>
      <c r="N2102" s="6">
        <v>-1000</v>
      </c>
      <c r="O2102" s="6">
        <v>37528.370000000003</v>
      </c>
      <c r="P2102" s="7">
        <v>0</v>
      </c>
      <c r="Q2102" s="6">
        <v>0</v>
      </c>
    </row>
    <row r="2103" spans="1:17">
      <c r="A2103">
        <v>2102</v>
      </c>
      <c r="B2103" s="5">
        <v>45881</v>
      </c>
      <c r="C2103" t="s">
        <v>916</v>
      </c>
      <c r="D2103" t="s">
        <v>917</v>
      </c>
      <c r="E2103" t="s">
        <v>918</v>
      </c>
      <c r="F2103">
        <v>10</v>
      </c>
      <c r="G2103" t="s">
        <v>1398</v>
      </c>
      <c r="H2103" t="s">
        <v>929</v>
      </c>
      <c r="I2103" t="s">
        <v>22</v>
      </c>
      <c r="J2103" t="s">
        <v>67</v>
      </c>
      <c r="K2103" t="s">
        <v>34</v>
      </c>
      <c r="L2103" s="6">
        <v>5000</v>
      </c>
      <c r="M2103" s="6">
        <v>0</v>
      </c>
      <c r="N2103" s="6">
        <v>-5000</v>
      </c>
      <c r="O2103" s="6">
        <v>32528.37</v>
      </c>
      <c r="P2103" s="7">
        <v>0</v>
      </c>
      <c r="Q2103" s="6">
        <v>0</v>
      </c>
    </row>
    <row r="2104" spans="1:17">
      <c r="A2104">
        <v>2103</v>
      </c>
      <c r="B2104" s="5">
        <v>45881</v>
      </c>
      <c r="C2104" t="s">
        <v>916</v>
      </c>
      <c r="D2104" t="s">
        <v>917</v>
      </c>
      <c r="E2104" t="s">
        <v>918</v>
      </c>
      <c r="F2104">
        <v>10</v>
      </c>
      <c r="G2104" t="s">
        <v>1399</v>
      </c>
      <c r="H2104" t="s">
        <v>66</v>
      </c>
      <c r="I2104" t="s">
        <v>22</v>
      </c>
      <c r="J2104" t="s">
        <v>67</v>
      </c>
      <c r="K2104" t="s">
        <v>34</v>
      </c>
      <c r="L2104" s="6">
        <v>2500</v>
      </c>
      <c r="M2104" s="6">
        <v>0</v>
      </c>
      <c r="N2104" s="6">
        <v>-2500</v>
      </c>
      <c r="O2104" s="6">
        <v>30028.37</v>
      </c>
      <c r="P2104" s="7">
        <v>0</v>
      </c>
      <c r="Q2104" s="6">
        <v>0</v>
      </c>
    </row>
    <row r="2105" spans="1:17">
      <c r="A2105">
        <v>2104</v>
      </c>
      <c r="B2105" s="5">
        <v>45881</v>
      </c>
      <c r="C2105" t="s">
        <v>916</v>
      </c>
      <c r="D2105" t="s">
        <v>917</v>
      </c>
      <c r="E2105" t="s">
        <v>918</v>
      </c>
      <c r="F2105">
        <v>10</v>
      </c>
      <c r="G2105" t="s">
        <v>1400</v>
      </c>
      <c r="H2105" t="s">
        <v>66</v>
      </c>
      <c r="I2105" t="s">
        <v>22</v>
      </c>
      <c r="J2105" t="s">
        <v>67</v>
      </c>
      <c r="K2105" t="s">
        <v>34</v>
      </c>
      <c r="L2105" s="6">
        <v>219.76</v>
      </c>
      <c r="M2105" s="6">
        <v>0</v>
      </c>
      <c r="N2105" s="6">
        <v>-219.76</v>
      </c>
      <c r="O2105" s="6">
        <v>29808.61</v>
      </c>
      <c r="P2105" s="7">
        <v>0</v>
      </c>
      <c r="Q2105" s="6">
        <v>0</v>
      </c>
    </row>
    <row r="2106" spans="1:17">
      <c r="A2106">
        <v>2105</v>
      </c>
      <c r="B2106" s="5">
        <v>45881</v>
      </c>
      <c r="C2106" t="s">
        <v>916</v>
      </c>
      <c r="D2106" t="s">
        <v>917</v>
      </c>
      <c r="E2106" t="s">
        <v>918</v>
      </c>
      <c r="F2106">
        <v>10</v>
      </c>
      <c r="G2106" t="s">
        <v>1401</v>
      </c>
      <c r="H2106" t="s">
        <v>929</v>
      </c>
      <c r="I2106" t="s">
        <v>22</v>
      </c>
      <c r="J2106" t="s">
        <v>67</v>
      </c>
      <c r="K2106" t="s">
        <v>34</v>
      </c>
      <c r="L2106" s="6">
        <v>1000</v>
      </c>
      <c r="M2106" s="6">
        <v>0</v>
      </c>
      <c r="N2106" s="6">
        <v>-1000</v>
      </c>
      <c r="O2106" s="6">
        <v>28808.61</v>
      </c>
      <c r="P2106" s="7">
        <v>0</v>
      </c>
      <c r="Q2106" s="6">
        <v>0</v>
      </c>
    </row>
    <row r="2107" spans="1:17">
      <c r="A2107">
        <v>2106</v>
      </c>
      <c r="B2107" s="5">
        <v>45881</v>
      </c>
      <c r="C2107" t="s">
        <v>916</v>
      </c>
      <c r="D2107" t="s">
        <v>917</v>
      </c>
      <c r="E2107" t="s">
        <v>918</v>
      </c>
      <c r="F2107">
        <v>10</v>
      </c>
      <c r="G2107" t="s">
        <v>1402</v>
      </c>
      <c r="H2107" t="s">
        <v>1403</v>
      </c>
      <c r="I2107" t="s">
        <v>18</v>
      </c>
      <c r="J2107" t="s">
        <v>345</v>
      </c>
      <c r="K2107" t="s">
        <v>34</v>
      </c>
      <c r="L2107" s="6">
        <v>200</v>
      </c>
      <c r="M2107" s="6">
        <v>0</v>
      </c>
      <c r="N2107" s="6">
        <v>-200</v>
      </c>
      <c r="O2107" s="6">
        <v>28608.61</v>
      </c>
      <c r="P2107" s="7">
        <v>0</v>
      </c>
      <c r="Q2107" s="6">
        <v>0</v>
      </c>
    </row>
    <row r="2108" spans="1:17">
      <c r="A2108">
        <v>2107</v>
      </c>
      <c r="B2108" s="5">
        <v>45881</v>
      </c>
      <c r="C2108" t="s">
        <v>916</v>
      </c>
      <c r="D2108" t="s">
        <v>917</v>
      </c>
      <c r="E2108" t="s">
        <v>918</v>
      </c>
      <c r="F2108">
        <v>10</v>
      </c>
      <c r="G2108" t="s">
        <v>346</v>
      </c>
      <c r="I2108" t="s">
        <v>14</v>
      </c>
      <c r="J2108" t="s">
        <v>46</v>
      </c>
      <c r="K2108" t="s">
        <v>34</v>
      </c>
      <c r="L2108" s="6">
        <v>40</v>
      </c>
      <c r="M2108" s="6">
        <v>0</v>
      </c>
      <c r="N2108" s="6">
        <v>-40</v>
      </c>
      <c r="O2108" s="6">
        <v>28568.61</v>
      </c>
      <c r="P2108" s="7">
        <v>0.15</v>
      </c>
      <c r="Q2108" s="6">
        <v>5.22</v>
      </c>
    </row>
    <row r="2109" spans="1:17">
      <c r="A2109">
        <v>2108</v>
      </c>
      <c r="B2109" s="5">
        <v>45881</v>
      </c>
      <c r="C2109" t="s">
        <v>916</v>
      </c>
      <c r="D2109" t="s">
        <v>917</v>
      </c>
      <c r="E2109" t="s">
        <v>918</v>
      </c>
      <c r="F2109">
        <v>10</v>
      </c>
      <c r="G2109" t="s">
        <v>1404</v>
      </c>
      <c r="H2109" t="s">
        <v>1237</v>
      </c>
      <c r="I2109" t="s">
        <v>18</v>
      </c>
      <c r="J2109" t="s">
        <v>345</v>
      </c>
      <c r="K2109" t="s">
        <v>34</v>
      </c>
      <c r="L2109" s="6">
        <v>400</v>
      </c>
      <c r="M2109" s="6">
        <v>0</v>
      </c>
      <c r="N2109" s="6">
        <v>-400</v>
      </c>
      <c r="O2109" s="6">
        <v>28168.61</v>
      </c>
      <c r="P2109" s="7">
        <v>0</v>
      </c>
      <c r="Q2109" s="6">
        <v>0</v>
      </c>
    </row>
    <row r="2110" spans="1:17">
      <c r="A2110">
        <v>2109</v>
      </c>
      <c r="B2110" s="5">
        <v>45881</v>
      </c>
      <c r="C2110" t="s">
        <v>916</v>
      </c>
      <c r="D2110" t="s">
        <v>917</v>
      </c>
      <c r="E2110" t="s">
        <v>918</v>
      </c>
      <c r="F2110">
        <v>10</v>
      </c>
      <c r="G2110" t="s">
        <v>346</v>
      </c>
      <c r="I2110" t="s">
        <v>14</v>
      </c>
      <c r="J2110" t="s">
        <v>46</v>
      </c>
      <c r="K2110" t="s">
        <v>34</v>
      </c>
      <c r="L2110" s="6">
        <v>40</v>
      </c>
      <c r="M2110" s="6">
        <v>0</v>
      </c>
      <c r="N2110" s="6">
        <v>-40</v>
      </c>
      <c r="O2110" s="6">
        <v>28128.61</v>
      </c>
      <c r="P2110" s="7">
        <v>0.15</v>
      </c>
      <c r="Q2110" s="6">
        <v>5.22</v>
      </c>
    </row>
    <row r="2111" spans="1:17">
      <c r="A2111">
        <v>2110</v>
      </c>
      <c r="B2111" s="5">
        <v>45881</v>
      </c>
      <c r="C2111" t="s">
        <v>916</v>
      </c>
      <c r="D2111" t="s">
        <v>917</v>
      </c>
      <c r="E2111" t="s">
        <v>918</v>
      </c>
      <c r="F2111">
        <v>10</v>
      </c>
      <c r="G2111" t="s">
        <v>1405</v>
      </c>
      <c r="I2111" t="s">
        <v>17</v>
      </c>
      <c r="J2111" t="s">
        <v>64</v>
      </c>
      <c r="K2111" t="s">
        <v>34</v>
      </c>
      <c r="L2111" s="6">
        <v>5000</v>
      </c>
      <c r="M2111" s="6">
        <v>0</v>
      </c>
      <c r="N2111" s="6">
        <v>-5000</v>
      </c>
      <c r="O2111" s="6">
        <v>23128.61</v>
      </c>
      <c r="P2111" s="7">
        <v>0</v>
      </c>
      <c r="Q2111" s="6">
        <v>0</v>
      </c>
    </row>
    <row r="2112" spans="1:17">
      <c r="A2112">
        <v>2111</v>
      </c>
      <c r="B2112" s="5">
        <v>45881</v>
      </c>
      <c r="C2112" t="s">
        <v>916</v>
      </c>
      <c r="D2112" t="s">
        <v>917</v>
      </c>
      <c r="E2112" t="s">
        <v>918</v>
      </c>
      <c r="F2112">
        <v>10</v>
      </c>
      <c r="G2112" t="s">
        <v>1406</v>
      </c>
      <c r="I2112" t="s">
        <v>17</v>
      </c>
      <c r="J2112" t="s">
        <v>64</v>
      </c>
      <c r="K2112" t="s">
        <v>34</v>
      </c>
      <c r="L2112" s="6">
        <v>5000</v>
      </c>
      <c r="M2112" s="6">
        <v>0</v>
      </c>
      <c r="N2112" s="6">
        <v>-5000</v>
      </c>
      <c r="O2112" s="6">
        <v>18128.61</v>
      </c>
      <c r="P2112" s="7">
        <v>0</v>
      </c>
      <c r="Q2112" s="6">
        <v>0</v>
      </c>
    </row>
    <row r="2113" spans="1:17">
      <c r="A2113">
        <v>2112</v>
      </c>
      <c r="B2113" s="5">
        <v>45881</v>
      </c>
      <c r="C2113" t="s">
        <v>916</v>
      </c>
      <c r="D2113" t="s">
        <v>917</v>
      </c>
      <c r="E2113" t="s">
        <v>918</v>
      </c>
      <c r="F2113">
        <v>10</v>
      </c>
      <c r="G2113" t="s">
        <v>1407</v>
      </c>
      <c r="I2113" t="s">
        <v>17</v>
      </c>
      <c r="J2113" t="s">
        <v>64</v>
      </c>
      <c r="K2113" t="s">
        <v>34</v>
      </c>
      <c r="L2113" s="6">
        <v>5000</v>
      </c>
      <c r="M2113" s="6">
        <v>0</v>
      </c>
      <c r="N2113" s="6">
        <v>-5000</v>
      </c>
      <c r="O2113" s="6">
        <v>13128.61</v>
      </c>
      <c r="P2113" s="7">
        <v>0</v>
      </c>
      <c r="Q2113" s="6">
        <v>0</v>
      </c>
    </row>
    <row r="2114" spans="1:17">
      <c r="A2114">
        <v>2113</v>
      </c>
      <c r="B2114" s="5">
        <v>45881</v>
      </c>
      <c r="C2114" t="s">
        <v>916</v>
      </c>
      <c r="D2114" t="s">
        <v>917</v>
      </c>
      <c r="E2114" t="s">
        <v>918</v>
      </c>
      <c r="F2114">
        <v>10</v>
      </c>
      <c r="G2114" t="s">
        <v>1408</v>
      </c>
      <c r="H2114" t="s">
        <v>929</v>
      </c>
      <c r="I2114" t="s">
        <v>22</v>
      </c>
      <c r="J2114" t="s">
        <v>67</v>
      </c>
      <c r="K2114" t="s">
        <v>34</v>
      </c>
      <c r="L2114" s="6">
        <v>500</v>
      </c>
      <c r="M2114" s="6">
        <v>0</v>
      </c>
      <c r="N2114" s="6">
        <v>-500</v>
      </c>
      <c r="O2114" s="6">
        <v>12628.61</v>
      </c>
      <c r="P2114" s="7">
        <v>0</v>
      </c>
      <c r="Q2114" s="6">
        <v>0</v>
      </c>
    </row>
    <row r="2115" spans="1:17">
      <c r="A2115">
        <v>2114</v>
      </c>
      <c r="B2115" s="5">
        <v>45881</v>
      </c>
      <c r="C2115" t="s">
        <v>916</v>
      </c>
      <c r="D2115" t="s">
        <v>917</v>
      </c>
      <c r="E2115" t="s">
        <v>918</v>
      </c>
      <c r="F2115">
        <v>10</v>
      </c>
      <c r="G2115" t="s">
        <v>1409</v>
      </c>
      <c r="H2115" t="s">
        <v>66</v>
      </c>
      <c r="I2115" t="s">
        <v>22</v>
      </c>
      <c r="J2115" t="s">
        <v>67</v>
      </c>
      <c r="K2115" t="s">
        <v>34</v>
      </c>
      <c r="L2115" s="6">
        <v>200</v>
      </c>
      <c r="M2115" s="6">
        <v>0</v>
      </c>
      <c r="N2115" s="6">
        <v>-200</v>
      </c>
      <c r="O2115" s="6">
        <v>12428.61</v>
      </c>
      <c r="P2115" s="7">
        <v>0</v>
      </c>
      <c r="Q2115" s="6">
        <v>0</v>
      </c>
    </row>
    <row r="2116" spans="1:17">
      <c r="A2116">
        <v>2115</v>
      </c>
      <c r="B2116" s="5">
        <v>45881</v>
      </c>
      <c r="C2116" t="s">
        <v>916</v>
      </c>
      <c r="D2116" t="s">
        <v>917</v>
      </c>
      <c r="E2116" t="s">
        <v>918</v>
      </c>
      <c r="F2116">
        <v>10</v>
      </c>
      <c r="G2116" t="s">
        <v>1410</v>
      </c>
      <c r="H2116" t="s">
        <v>929</v>
      </c>
      <c r="I2116" t="s">
        <v>22</v>
      </c>
      <c r="J2116" t="s">
        <v>67</v>
      </c>
      <c r="K2116" t="s">
        <v>34</v>
      </c>
      <c r="L2116" s="6">
        <v>273.97000000000003</v>
      </c>
      <c r="M2116" s="6">
        <v>0</v>
      </c>
      <c r="N2116" s="6">
        <v>-273.97000000000003</v>
      </c>
      <c r="O2116" s="6">
        <v>12154.64</v>
      </c>
      <c r="P2116" s="7">
        <v>0</v>
      </c>
      <c r="Q2116" s="6">
        <v>0</v>
      </c>
    </row>
    <row r="2117" spans="1:17">
      <c r="A2117">
        <v>2116</v>
      </c>
      <c r="B2117" s="5">
        <v>45881</v>
      </c>
      <c r="C2117" t="s">
        <v>916</v>
      </c>
      <c r="D2117" t="s">
        <v>917</v>
      </c>
      <c r="E2117" t="s">
        <v>918</v>
      </c>
      <c r="F2117">
        <v>10</v>
      </c>
      <c r="G2117" t="s">
        <v>1411</v>
      </c>
      <c r="H2117" t="s">
        <v>66</v>
      </c>
      <c r="I2117" t="s">
        <v>22</v>
      </c>
      <c r="J2117" t="s">
        <v>67</v>
      </c>
      <c r="K2117" t="s">
        <v>34</v>
      </c>
      <c r="L2117" s="6">
        <v>150</v>
      </c>
      <c r="M2117" s="6">
        <v>0</v>
      </c>
      <c r="N2117" s="6">
        <v>-150</v>
      </c>
      <c r="O2117" s="6">
        <v>12004.64</v>
      </c>
      <c r="P2117" s="7">
        <v>0</v>
      </c>
      <c r="Q2117" s="6">
        <v>0</v>
      </c>
    </row>
    <row r="2118" spans="1:17">
      <c r="A2118">
        <v>2117</v>
      </c>
      <c r="B2118" s="5">
        <v>45881</v>
      </c>
      <c r="C2118" t="s">
        <v>916</v>
      </c>
      <c r="D2118" t="s">
        <v>917</v>
      </c>
      <c r="E2118" t="s">
        <v>918</v>
      </c>
      <c r="F2118">
        <v>10</v>
      </c>
      <c r="G2118" t="s">
        <v>1412</v>
      </c>
      <c r="H2118" t="s">
        <v>66</v>
      </c>
      <c r="I2118" t="s">
        <v>22</v>
      </c>
      <c r="J2118" t="s">
        <v>67</v>
      </c>
      <c r="K2118" t="s">
        <v>34</v>
      </c>
      <c r="L2118" s="6">
        <v>95</v>
      </c>
      <c r="M2118" s="6">
        <v>0</v>
      </c>
      <c r="N2118" s="6">
        <v>-95</v>
      </c>
      <c r="O2118" s="6">
        <v>11909.64</v>
      </c>
      <c r="P2118" s="7">
        <v>0</v>
      </c>
      <c r="Q2118" s="6">
        <v>0</v>
      </c>
    </row>
    <row r="2119" spans="1:17">
      <c r="A2119">
        <v>2118</v>
      </c>
      <c r="B2119" s="5">
        <v>45881</v>
      </c>
      <c r="C2119" t="s">
        <v>916</v>
      </c>
      <c r="D2119" t="s">
        <v>917</v>
      </c>
      <c r="E2119" t="s">
        <v>918</v>
      </c>
      <c r="F2119">
        <v>10</v>
      </c>
      <c r="G2119" t="s">
        <v>1413</v>
      </c>
      <c r="H2119" t="s">
        <v>66</v>
      </c>
      <c r="I2119" t="s">
        <v>22</v>
      </c>
      <c r="J2119" t="s">
        <v>67</v>
      </c>
      <c r="K2119" t="s">
        <v>34</v>
      </c>
      <c r="L2119" s="6">
        <v>722.28</v>
      </c>
      <c r="M2119" s="6">
        <v>0</v>
      </c>
      <c r="N2119" s="6">
        <v>-722.28</v>
      </c>
      <c r="O2119" s="6">
        <v>11187.36</v>
      </c>
      <c r="P2119" s="7">
        <v>0</v>
      </c>
      <c r="Q2119" s="6">
        <v>0</v>
      </c>
    </row>
    <row r="2120" spans="1:17">
      <c r="A2120">
        <v>2119</v>
      </c>
      <c r="B2120" s="5">
        <v>45881</v>
      </c>
      <c r="C2120" t="s">
        <v>916</v>
      </c>
      <c r="D2120" t="s">
        <v>917</v>
      </c>
      <c r="E2120" t="s">
        <v>918</v>
      </c>
      <c r="F2120">
        <v>10</v>
      </c>
      <c r="G2120" t="s">
        <v>1414</v>
      </c>
      <c r="H2120" t="s">
        <v>66</v>
      </c>
      <c r="I2120" t="s">
        <v>22</v>
      </c>
      <c r="J2120" t="s">
        <v>67</v>
      </c>
      <c r="K2120" t="s">
        <v>34</v>
      </c>
      <c r="L2120" s="6">
        <v>79.28</v>
      </c>
      <c r="M2120" s="6">
        <v>0</v>
      </c>
      <c r="N2120" s="6">
        <v>-79.28</v>
      </c>
      <c r="O2120" s="6">
        <v>11108.08</v>
      </c>
      <c r="P2120" s="7">
        <v>0</v>
      </c>
      <c r="Q2120" s="6">
        <v>0</v>
      </c>
    </row>
    <row r="2121" spans="1:17">
      <c r="A2121">
        <v>2120</v>
      </c>
      <c r="B2121" s="5">
        <v>45881</v>
      </c>
      <c r="C2121" t="s">
        <v>916</v>
      </c>
      <c r="D2121" t="s">
        <v>917</v>
      </c>
      <c r="E2121" t="s">
        <v>918</v>
      </c>
      <c r="F2121">
        <v>10</v>
      </c>
      <c r="G2121" t="s">
        <v>1415</v>
      </c>
      <c r="H2121" t="s">
        <v>929</v>
      </c>
      <c r="I2121" t="s">
        <v>22</v>
      </c>
      <c r="J2121" t="s">
        <v>67</v>
      </c>
      <c r="K2121" t="s">
        <v>34</v>
      </c>
      <c r="L2121" s="6">
        <v>117</v>
      </c>
      <c r="M2121" s="6">
        <v>0</v>
      </c>
      <c r="N2121" s="6">
        <v>-117</v>
      </c>
      <c r="O2121" s="6">
        <v>10991.08</v>
      </c>
      <c r="P2121" s="7">
        <v>0</v>
      </c>
      <c r="Q2121" s="6">
        <v>0</v>
      </c>
    </row>
    <row r="2122" spans="1:17">
      <c r="A2122">
        <v>2121</v>
      </c>
      <c r="B2122" s="5">
        <v>45881</v>
      </c>
      <c r="C2122" t="s">
        <v>916</v>
      </c>
      <c r="D2122" t="s">
        <v>917</v>
      </c>
      <c r="E2122" t="s">
        <v>918</v>
      </c>
      <c r="F2122">
        <v>10</v>
      </c>
      <c r="G2122" t="s">
        <v>921</v>
      </c>
      <c r="H2122" t="s">
        <v>922</v>
      </c>
      <c r="I2122" t="s">
        <v>16</v>
      </c>
      <c r="J2122" t="s">
        <v>52</v>
      </c>
      <c r="K2122" t="s">
        <v>35</v>
      </c>
      <c r="L2122" s="6">
        <v>0</v>
      </c>
      <c r="M2122" s="6">
        <v>4000</v>
      </c>
      <c r="N2122" s="6">
        <v>4000</v>
      </c>
      <c r="O2122" s="6">
        <v>14991.08</v>
      </c>
      <c r="P2122" s="7">
        <v>0</v>
      </c>
      <c r="Q2122" s="6">
        <v>0</v>
      </c>
    </row>
    <row r="2123" spans="1:17">
      <c r="A2123">
        <v>2122</v>
      </c>
      <c r="B2123" s="5">
        <v>45881</v>
      </c>
      <c r="C2123" t="s">
        <v>916</v>
      </c>
      <c r="D2123" t="s">
        <v>917</v>
      </c>
      <c r="E2123" t="s">
        <v>918</v>
      </c>
      <c r="F2123">
        <v>10</v>
      </c>
      <c r="G2123" t="s">
        <v>1416</v>
      </c>
      <c r="H2123" t="s">
        <v>929</v>
      </c>
      <c r="I2123" t="s">
        <v>22</v>
      </c>
      <c r="J2123" t="s">
        <v>67</v>
      </c>
      <c r="K2123" t="s">
        <v>34</v>
      </c>
      <c r="L2123" s="6">
        <v>216.67</v>
      </c>
      <c r="M2123" s="6">
        <v>0</v>
      </c>
      <c r="N2123" s="6">
        <v>-216.67</v>
      </c>
      <c r="O2123" s="6">
        <v>14774.41</v>
      </c>
      <c r="P2123" s="7">
        <v>0</v>
      </c>
      <c r="Q2123" s="6">
        <v>0</v>
      </c>
    </row>
    <row r="2124" spans="1:17">
      <c r="A2124">
        <v>2123</v>
      </c>
      <c r="B2124" s="5">
        <v>45881</v>
      </c>
      <c r="C2124" t="s">
        <v>916</v>
      </c>
      <c r="D2124" t="s">
        <v>917</v>
      </c>
      <c r="E2124" t="s">
        <v>918</v>
      </c>
      <c r="F2124">
        <v>10</v>
      </c>
      <c r="G2124" t="s">
        <v>1417</v>
      </c>
      <c r="H2124" t="s">
        <v>66</v>
      </c>
      <c r="I2124" t="s">
        <v>22</v>
      </c>
      <c r="J2124" t="s">
        <v>67</v>
      </c>
      <c r="K2124" t="s">
        <v>34</v>
      </c>
      <c r="L2124" s="6">
        <v>236.39</v>
      </c>
      <c r="M2124" s="6">
        <v>0</v>
      </c>
      <c r="N2124" s="6">
        <v>-236.39</v>
      </c>
      <c r="O2124" s="6">
        <v>14538.02</v>
      </c>
      <c r="P2124" s="7">
        <v>0</v>
      </c>
      <c r="Q2124" s="6">
        <v>0</v>
      </c>
    </row>
    <row r="2125" spans="1:17">
      <c r="A2125">
        <v>2124</v>
      </c>
      <c r="B2125" s="5">
        <v>45881</v>
      </c>
      <c r="C2125" t="s">
        <v>916</v>
      </c>
      <c r="D2125" t="s">
        <v>917</v>
      </c>
      <c r="E2125" t="s">
        <v>918</v>
      </c>
      <c r="F2125">
        <v>10</v>
      </c>
      <c r="G2125" t="s">
        <v>1418</v>
      </c>
      <c r="H2125" t="s">
        <v>929</v>
      </c>
      <c r="I2125" t="s">
        <v>22</v>
      </c>
      <c r="J2125" t="s">
        <v>67</v>
      </c>
      <c r="K2125" t="s">
        <v>34</v>
      </c>
      <c r="L2125" s="6">
        <v>300</v>
      </c>
      <c r="M2125" s="6">
        <v>0</v>
      </c>
      <c r="N2125" s="6">
        <v>-300</v>
      </c>
      <c r="O2125" s="6">
        <v>14238.02</v>
      </c>
      <c r="P2125" s="7">
        <v>0</v>
      </c>
      <c r="Q2125" s="6">
        <v>0</v>
      </c>
    </row>
    <row r="2126" spans="1:17">
      <c r="A2126">
        <v>2125</v>
      </c>
      <c r="B2126" s="5">
        <v>45881</v>
      </c>
      <c r="C2126" t="s">
        <v>916</v>
      </c>
      <c r="D2126" t="s">
        <v>917</v>
      </c>
      <c r="E2126" t="s">
        <v>918</v>
      </c>
      <c r="F2126">
        <v>10</v>
      </c>
      <c r="G2126" t="s">
        <v>1419</v>
      </c>
      <c r="H2126" t="s">
        <v>929</v>
      </c>
      <c r="I2126" t="s">
        <v>22</v>
      </c>
      <c r="J2126" t="s">
        <v>67</v>
      </c>
      <c r="K2126" t="s">
        <v>34</v>
      </c>
      <c r="L2126" s="6">
        <v>300</v>
      </c>
      <c r="M2126" s="6">
        <v>0</v>
      </c>
      <c r="N2126" s="6">
        <v>-300</v>
      </c>
      <c r="O2126" s="6">
        <v>13938.02</v>
      </c>
      <c r="P2126" s="7">
        <v>0</v>
      </c>
      <c r="Q2126" s="6">
        <v>0</v>
      </c>
    </row>
    <row r="2127" spans="1:17">
      <c r="A2127">
        <v>2126</v>
      </c>
      <c r="B2127" s="5">
        <v>45881</v>
      </c>
      <c r="C2127" t="s">
        <v>916</v>
      </c>
      <c r="D2127" t="s">
        <v>917</v>
      </c>
      <c r="E2127" t="s">
        <v>918</v>
      </c>
      <c r="F2127">
        <v>10</v>
      </c>
      <c r="G2127" t="s">
        <v>1420</v>
      </c>
      <c r="H2127" t="s">
        <v>929</v>
      </c>
      <c r="I2127" t="s">
        <v>22</v>
      </c>
      <c r="J2127" t="s">
        <v>67</v>
      </c>
      <c r="K2127" t="s">
        <v>34</v>
      </c>
      <c r="L2127" s="6">
        <v>414.96</v>
      </c>
      <c r="M2127" s="6">
        <v>0</v>
      </c>
      <c r="N2127" s="6">
        <v>-414.96</v>
      </c>
      <c r="O2127" s="6">
        <v>13523.06</v>
      </c>
      <c r="P2127" s="7">
        <v>0</v>
      </c>
      <c r="Q2127" s="6">
        <v>0</v>
      </c>
    </row>
    <row r="2128" spans="1:17">
      <c r="A2128">
        <v>2127</v>
      </c>
      <c r="B2128" s="5">
        <v>45881</v>
      </c>
      <c r="C2128" t="s">
        <v>916</v>
      </c>
      <c r="D2128" t="s">
        <v>917</v>
      </c>
      <c r="E2128" t="s">
        <v>918</v>
      </c>
      <c r="F2128">
        <v>10</v>
      </c>
      <c r="G2128" t="s">
        <v>1421</v>
      </c>
      <c r="H2128" t="s">
        <v>929</v>
      </c>
      <c r="I2128" t="s">
        <v>22</v>
      </c>
      <c r="J2128" t="s">
        <v>67</v>
      </c>
      <c r="K2128" t="s">
        <v>34</v>
      </c>
      <c r="L2128" s="6">
        <v>500</v>
      </c>
      <c r="M2128" s="6">
        <v>0</v>
      </c>
      <c r="N2128" s="6">
        <v>-500</v>
      </c>
      <c r="O2128" s="6">
        <v>13023.06</v>
      </c>
      <c r="P2128" s="7">
        <v>0</v>
      </c>
      <c r="Q2128" s="6">
        <v>0</v>
      </c>
    </row>
    <row r="2129" spans="1:17">
      <c r="A2129">
        <v>2128</v>
      </c>
      <c r="B2129" s="5">
        <v>45881</v>
      </c>
      <c r="C2129" t="s">
        <v>916</v>
      </c>
      <c r="D2129" t="s">
        <v>917</v>
      </c>
      <c r="E2129" t="s">
        <v>918</v>
      </c>
      <c r="F2129">
        <v>11</v>
      </c>
      <c r="G2129" t="s">
        <v>1422</v>
      </c>
      <c r="H2129" t="s">
        <v>929</v>
      </c>
      <c r="I2129" t="s">
        <v>22</v>
      </c>
      <c r="J2129" t="s">
        <v>67</v>
      </c>
      <c r="K2129" t="s">
        <v>34</v>
      </c>
      <c r="L2129" s="6">
        <v>1000</v>
      </c>
      <c r="M2129" s="6">
        <v>0</v>
      </c>
      <c r="N2129" s="6">
        <v>-1000</v>
      </c>
      <c r="O2129" s="6">
        <v>12023.06</v>
      </c>
      <c r="P2129" s="7">
        <v>0</v>
      </c>
      <c r="Q2129" s="6">
        <v>0</v>
      </c>
    </row>
    <row r="2130" spans="1:17">
      <c r="A2130">
        <v>2129</v>
      </c>
      <c r="B2130" s="5">
        <v>45881</v>
      </c>
      <c r="C2130" t="s">
        <v>916</v>
      </c>
      <c r="D2130" t="s">
        <v>917</v>
      </c>
      <c r="E2130" t="s">
        <v>918</v>
      </c>
      <c r="F2130">
        <v>11</v>
      </c>
      <c r="G2130" t="s">
        <v>1423</v>
      </c>
      <c r="H2130" t="s">
        <v>929</v>
      </c>
      <c r="I2130" t="s">
        <v>22</v>
      </c>
      <c r="J2130" t="s">
        <v>67</v>
      </c>
      <c r="K2130" t="s">
        <v>34</v>
      </c>
      <c r="L2130" s="6">
        <v>3500</v>
      </c>
      <c r="M2130" s="6">
        <v>0</v>
      </c>
      <c r="N2130" s="6">
        <v>-3500</v>
      </c>
      <c r="O2130" s="6">
        <v>8523.06</v>
      </c>
      <c r="P2130" s="7">
        <v>0</v>
      </c>
      <c r="Q2130" s="6">
        <v>0</v>
      </c>
    </row>
    <row r="2131" spans="1:17">
      <c r="A2131">
        <v>2130</v>
      </c>
      <c r="B2131" s="5">
        <v>45881</v>
      </c>
      <c r="C2131" t="s">
        <v>916</v>
      </c>
      <c r="D2131" t="s">
        <v>917</v>
      </c>
      <c r="E2131" t="s">
        <v>918</v>
      </c>
      <c r="F2131">
        <v>11</v>
      </c>
      <c r="G2131" t="s">
        <v>1424</v>
      </c>
      <c r="H2131" t="s">
        <v>66</v>
      </c>
      <c r="I2131" t="s">
        <v>22</v>
      </c>
      <c r="J2131" t="s">
        <v>67</v>
      </c>
      <c r="K2131" t="s">
        <v>34</v>
      </c>
      <c r="L2131" s="6">
        <v>6000</v>
      </c>
      <c r="M2131" s="6">
        <v>0</v>
      </c>
      <c r="N2131" s="6">
        <v>-6000</v>
      </c>
      <c r="O2131" s="6">
        <v>2523.06</v>
      </c>
      <c r="P2131" s="7">
        <v>0</v>
      </c>
      <c r="Q2131" s="6">
        <v>0</v>
      </c>
    </row>
    <row r="2132" spans="1:17">
      <c r="A2132">
        <v>2131</v>
      </c>
      <c r="B2132" s="5">
        <v>45881</v>
      </c>
      <c r="C2132" t="s">
        <v>916</v>
      </c>
      <c r="D2132" t="s">
        <v>917</v>
      </c>
      <c r="E2132" t="s">
        <v>918</v>
      </c>
      <c r="F2132">
        <v>11</v>
      </c>
      <c r="G2132" t="s">
        <v>1425</v>
      </c>
      <c r="H2132" t="s">
        <v>1426</v>
      </c>
      <c r="I2132" t="s">
        <v>16</v>
      </c>
      <c r="J2132" t="s">
        <v>52</v>
      </c>
      <c r="K2132" t="s">
        <v>35</v>
      </c>
      <c r="L2132" s="6">
        <v>0</v>
      </c>
      <c r="M2132" s="6">
        <v>100</v>
      </c>
      <c r="N2132" s="6">
        <v>100</v>
      </c>
      <c r="O2132" s="6">
        <v>2623.06</v>
      </c>
      <c r="P2132" s="7">
        <v>0</v>
      </c>
      <c r="Q2132" s="6">
        <v>0</v>
      </c>
    </row>
    <row r="2133" spans="1:17">
      <c r="A2133">
        <v>2132</v>
      </c>
      <c r="B2133" s="5">
        <v>45881</v>
      </c>
      <c r="C2133" t="s">
        <v>916</v>
      </c>
      <c r="D2133" t="s">
        <v>917</v>
      </c>
      <c r="E2133" t="s">
        <v>918</v>
      </c>
      <c r="F2133">
        <v>11</v>
      </c>
      <c r="G2133" t="s">
        <v>1427</v>
      </c>
      <c r="H2133" t="s">
        <v>1428</v>
      </c>
      <c r="I2133" t="s">
        <v>16</v>
      </c>
      <c r="J2133" t="s">
        <v>52</v>
      </c>
      <c r="K2133" t="s">
        <v>35</v>
      </c>
      <c r="L2133" s="6">
        <v>0</v>
      </c>
      <c r="M2133" s="6">
        <v>500</v>
      </c>
      <c r="N2133" s="6">
        <v>500</v>
      </c>
      <c r="O2133" s="6">
        <v>3123.06</v>
      </c>
      <c r="P2133" s="7">
        <v>0</v>
      </c>
      <c r="Q2133" s="6">
        <v>0</v>
      </c>
    </row>
    <row r="2134" spans="1:17">
      <c r="A2134">
        <v>2133</v>
      </c>
      <c r="B2134" s="5">
        <v>45881</v>
      </c>
      <c r="C2134" t="s">
        <v>916</v>
      </c>
      <c r="D2134" t="s">
        <v>917</v>
      </c>
      <c r="E2134" t="s">
        <v>918</v>
      </c>
      <c r="F2134">
        <v>11</v>
      </c>
      <c r="G2134" t="s">
        <v>1429</v>
      </c>
      <c r="H2134" t="s">
        <v>1430</v>
      </c>
      <c r="I2134" t="s">
        <v>16</v>
      </c>
      <c r="J2134" t="s">
        <v>52</v>
      </c>
      <c r="K2134" t="s">
        <v>35</v>
      </c>
      <c r="L2134" s="6">
        <v>0</v>
      </c>
      <c r="M2134" s="6">
        <v>500</v>
      </c>
      <c r="N2134" s="6">
        <v>500</v>
      </c>
      <c r="O2134" s="6">
        <v>3623.06</v>
      </c>
      <c r="P2134" s="7">
        <v>0</v>
      </c>
      <c r="Q2134" s="6">
        <v>0</v>
      </c>
    </row>
    <row r="2135" spans="1:17">
      <c r="A2135">
        <v>2134</v>
      </c>
      <c r="B2135" s="5">
        <v>45881</v>
      </c>
      <c r="C2135" t="s">
        <v>916</v>
      </c>
      <c r="D2135" t="s">
        <v>917</v>
      </c>
      <c r="E2135" t="s">
        <v>918</v>
      </c>
      <c r="F2135">
        <v>11</v>
      </c>
      <c r="G2135" t="s">
        <v>1431</v>
      </c>
      <c r="H2135" t="s">
        <v>1432</v>
      </c>
      <c r="I2135" t="s">
        <v>16</v>
      </c>
      <c r="J2135" t="s">
        <v>52</v>
      </c>
      <c r="K2135" t="s">
        <v>35</v>
      </c>
      <c r="L2135" s="6">
        <v>0</v>
      </c>
      <c r="M2135" s="6">
        <v>500</v>
      </c>
      <c r="N2135" s="6">
        <v>500</v>
      </c>
      <c r="O2135" s="6">
        <v>4123.0600000000004</v>
      </c>
      <c r="P2135" s="7">
        <v>0</v>
      </c>
      <c r="Q2135" s="6">
        <v>0</v>
      </c>
    </row>
    <row r="2136" spans="1:17">
      <c r="A2136">
        <v>2135</v>
      </c>
      <c r="B2136" s="5">
        <v>45881</v>
      </c>
      <c r="C2136" t="s">
        <v>916</v>
      </c>
      <c r="D2136" t="s">
        <v>917</v>
      </c>
      <c r="E2136" t="s">
        <v>918</v>
      </c>
      <c r="F2136">
        <v>11</v>
      </c>
      <c r="G2136" t="s">
        <v>1014</v>
      </c>
      <c r="H2136" t="s">
        <v>1015</v>
      </c>
      <c r="I2136" t="s">
        <v>16</v>
      </c>
      <c r="J2136" t="s">
        <v>52</v>
      </c>
      <c r="K2136" t="s">
        <v>35</v>
      </c>
      <c r="L2136" s="6">
        <v>0</v>
      </c>
      <c r="M2136" s="6">
        <v>515</v>
      </c>
      <c r="N2136" s="6">
        <v>515</v>
      </c>
      <c r="O2136" s="6">
        <v>4638.0600000000004</v>
      </c>
      <c r="P2136" s="7">
        <v>0</v>
      </c>
      <c r="Q2136" s="6">
        <v>0</v>
      </c>
    </row>
    <row r="2137" spans="1:17">
      <c r="A2137">
        <v>2136</v>
      </c>
      <c r="B2137" s="5">
        <v>45881</v>
      </c>
      <c r="C2137" t="s">
        <v>916</v>
      </c>
      <c r="D2137" t="s">
        <v>917</v>
      </c>
      <c r="E2137" t="s">
        <v>918</v>
      </c>
      <c r="F2137">
        <v>11</v>
      </c>
      <c r="G2137" t="s">
        <v>1433</v>
      </c>
      <c r="I2137" t="s">
        <v>16</v>
      </c>
      <c r="J2137" t="s">
        <v>52</v>
      </c>
      <c r="K2137" t="s">
        <v>35</v>
      </c>
      <c r="L2137" s="6">
        <v>0</v>
      </c>
      <c r="M2137" s="6">
        <v>18168</v>
      </c>
      <c r="N2137" s="6">
        <v>18168</v>
      </c>
      <c r="O2137" s="6">
        <v>22806.06</v>
      </c>
      <c r="P2137" s="7">
        <v>0</v>
      </c>
      <c r="Q2137" s="6">
        <v>0</v>
      </c>
    </row>
    <row r="2138" spans="1:17">
      <c r="A2138">
        <v>2137</v>
      </c>
      <c r="B2138" s="5">
        <v>45882</v>
      </c>
      <c r="C2138" t="s">
        <v>916</v>
      </c>
      <c r="D2138" t="s">
        <v>917</v>
      </c>
      <c r="E2138" t="s">
        <v>918</v>
      </c>
      <c r="F2138">
        <v>11</v>
      </c>
      <c r="G2138" t="s">
        <v>1434</v>
      </c>
      <c r="H2138" t="s">
        <v>929</v>
      </c>
      <c r="I2138" t="s">
        <v>22</v>
      </c>
      <c r="J2138" t="s">
        <v>67</v>
      </c>
      <c r="K2138" t="s">
        <v>34</v>
      </c>
      <c r="L2138" s="6">
        <v>100</v>
      </c>
      <c r="M2138" s="6">
        <v>0</v>
      </c>
      <c r="N2138" s="6">
        <v>-100</v>
      </c>
      <c r="O2138" s="6">
        <v>22706.06</v>
      </c>
      <c r="P2138" s="7">
        <v>0</v>
      </c>
      <c r="Q2138" s="6">
        <v>0</v>
      </c>
    </row>
    <row r="2139" spans="1:17">
      <c r="A2139">
        <v>2138</v>
      </c>
      <c r="B2139" s="5">
        <v>45882</v>
      </c>
      <c r="C2139" t="s">
        <v>916</v>
      </c>
      <c r="D2139" t="s">
        <v>917</v>
      </c>
      <c r="E2139" t="s">
        <v>918</v>
      </c>
      <c r="F2139">
        <v>11</v>
      </c>
      <c r="G2139" t="s">
        <v>1435</v>
      </c>
      <c r="H2139" t="s">
        <v>66</v>
      </c>
      <c r="I2139" t="s">
        <v>22</v>
      </c>
      <c r="J2139" t="s">
        <v>67</v>
      </c>
      <c r="K2139" t="s">
        <v>34</v>
      </c>
      <c r="L2139" s="6">
        <v>4000</v>
      </c>
      <c r="M2139" s="6">
        <v>0</v>
      </c>
      <c r="N2139" s="6">
        <v>-4000</v>
      </c>
      <c r="O2139" s="6">
        <v>18706.060000000001</v>
      </c>
      <c r="P2139" s="7">
        <v>0</v>
      </c>
      <c r="Q2139" s="6">
        <v>0</v>
      </c>
    </row>
    <row r="2140" spans="1:17">
      <c r="A2140">
        <v>2139</v>
      </c>
      <c r="B2140" s="5">
        <v>45882</v>
      </c>
      <c r="C2140" t="s">
        <v>916</v>
      </c>
      <c r="D2140" t="s">
        <v>917</v>
      </c>
      <c r="E2140" t="s">
        <v>918</v>
      </c>
      <c r="F2140">
        <v>11</v>
      </c>
      <c r="G2140" t="s">
        <v>1436</v>
      </c>
      <c r="H2140" t="s">
        <v>929</v>
      </c>
      <c r="I2140" t="s">
        <v>22</v>
      </c>
      <c r="J2140" t="s">
        <v>67</v>
      </c>
      <c r="K2140" t="s">
        <v>34</v>
      </c>
      <c r="L2140" s="6">
        <v>300</v>
      </c>
      <c r="M2140" s="6">
        <v>0</v>
      </c>
      <c r="N2140" s="6">
        <v>-300</v>
      </c>
      <c r="O2140" s="6">
        <v>18406.060000000001</v>
      </c>
      <c r="P2140" s="7">
        <v>0</v>
      </c>
      <c r="Q2140" s="6">
        <v>0</v>
      </c>
    </row>
    <row r="2141" spans="1:17">
      <c r="A2141">
        <v>2140</v>
      </c>
      <c r="B2141" s="5">
        <v>45882</v>
      </c>
      <c r="C2141" t="s">
        <v>916</v>
      </c>
      <c r="D2141" t="s">
        <v>917</v>
      </c>
      <c r="E2141" t="s">
        <v>918</v>
      </c>
      <c r="F2141">
        <v>11</v>
      </c>
      <c r="G2141" t="s">
        <v>1437</v>
      </c>
      <c r="H2141" t="s">
        <v>929</v>
      </c>
      <c r="I2141" t="s">
        <v>22</v>
      </c>
      <c r="J2141" t="s">
        <v>67</v>
      </c>
      <c r="K2141" t="s">
        <v>34</v>
      </c>
      <c r="L2141" s="6">
        <v>1000</v>
      </c>
      <c r="M2141" s="6">
        <v>0</v>
      </c>
      <c r="N2141" s="6">
        <v>-1000</v>
      </c>
      <c r="O2141" s="6">
        <v>17406.060000000001</v>
      </c>
      <c r="P2141" s="7">
        <v>0</v>
      </c>
      <c r="Q2141" s="6">
        <v>0</v>
      </c>
    </row>
    <row r="2142" spans="1:17">
      <c r="A2142">
        <v>2141</v>
      </c>
      <c r="B2142" s="5">
        <v>45882</v>
      </c>
      <c r="C2142" t="s">
        <v>916</v>
      </c>
      <c r="D2142" t="s">
        <v>917</v>
      </c>
      <c r="E2142" t="s">
        <v>918</v>
      </c>
      <c r="F2142">
        <v>11</v>
      </c>
      <c r="G2142" t="s">
        <v>1438</v>
      </c>
      <c r="I2142" t="s">
        <v>15</v>
      </c>
      <c r="J2142" t="s">
        <v>52</v>
      </c>
      <c r="K2142" t="s">
        <v>35</v>
      </c>
      <c r="L2142" s="6">
        <v>0</v>
      </c>
      <c r="M2142" s="6">
        <v>33215.39</v>
      </c>
      <c r="N2142" s="6">
        <v>33215.39</v>
      </c>
      <c r="O2142" s="6">
        <v>50621.45</v>
      </c>
      <c r="P2142" s="7">
        <v>0</v>
      </c>
      <c r="Q2142" s="6">
        <v>0</v>
      </c>
    </row>
    <row r="2143" spans="1:17">
      <c r="A2143">
        <v>2142</v>
      </c>
      <c r="B2143" s="5">
        <v>45882</v>
      </c>
      <c r="C2143" t="s">
        <v>916</v>
      </c>
      <c r="D2143" t="s">
        <v>917</v>
      </c>
      <c r="E2143" t="s">
        <v>918</v>
      </c>
      <c r="F2143">
        <v>11</v>
      </c>
      <c r="G2143" t="s">
        <v>900</v>
      </c>
      <c r="I2143" t="s">
        <v>16</v>
      </c>
      <c r="J2143" t="s">
        <v>52</v>
      </c>
      <c r="K2143" t="s">
        <v>35</v>
      </c>
      <c r="L2143" s="6">
        <v>0</v>
      </c>
      <c r="M2143" s="6">
        <v>1705.92</v>
      </c>
      <c r="N2143" s="6">
        <v>1705.92</v>
      </c>
      <c r="O2143" s="6">
        <v>52327.37</v>
      </c>
      <c r="P2143" s="7">
        <v>0</v>
      </c>
      <c r="Q2143" s="6">
        <v>0</v>
      </c>
    </row>
    <row r="2144" spans="1:17">
      <c r="A2144">
        <v>2143</v>
      </c>
      <c r="B2144" s="5">
        <v>45882</v>
      </c>
      <c r="C2144" t="s">
        <v>916</v>
      </c>
      <c r="D2144" t="s">
        <v>917</v>
      </c>
      <c r="E2144" t="s">
        <v>918</v>
      </c>
      <c r="F2144">
        <v>11</v>
      </c>
      <c r="G2144" t="s">
        <v>1439</v>
      </c>
      <c r="I2144" t="s">
        <v>17</v>
      </c>
      <c r="J2144" t="s">
        <v>64</v>
      </c>
      <c r="K2144" t="s">
        <v>34</v>
      </c>
      <c r="L2144" s="6">
        <v>5000</v>
      </c>
      <c r="M2144" s="6">
        <v>0</v>
      </c>
      <c r="N2144" s="6">
        <v>-5000</v>
      </c>
      <c r="O2144" s="6">
        <v>47327.37</v>
      </c>
      <c r="P2144" s="7">
        <v>0</v>
      </c>
      <c r="Q2144" s="6">
        <v>0</v>
      </c>
    </row>
    <row r="2145" spans="1:17">
      <c r="A2145">
        <v>2144</v>
      </c>
      <c r="B2145" s="5">
        <v>45882</v>
      </c>
      <c r="C2145" t="s">
        <v>916</v>
      </c>
      <c r="D2145" t="s">
        <v>917</v>
      </c>
      <c r="E2145" t="s">
        <v>918</v>
      </c>
      <c r="F2145">
        <v>11</v>
      </c>
      <c r="G2145" t="s">
        <v>1440</v>
      </c>
      <c r="H2145" t="s">
        <v>66</v>
      </c>
      <c r="I2145" t="s">
        <v>22</v>
      </c>
      <c r="J2145" t="s">
        <v>67</v>
      </c>
      <c r="K2145" t="s">
        <v>34</v>
      </c>
      <c r="L2145" s="6">
        <v>407</v>
      </c>
      <c r="M2145" s="6">
        <v>0</v>
      </c>
      <c r="N2145" s="6">
        <v>-407</v>
      </c>
      <c r="O2145" s="6">
        <v>46920.37</v>
      </c>
      <c r="P2145" s="7">
        <v>0</v>
      </c>
      <c r="Q2145" s="6">
        <v>0</v>
      </c>
    </row>
    <row r="2146" spans="1:17">
      <c r="A2146">
        <v>2145</v>
      </c>
      <c r="B2146" s="5">
        <v>45882</v>
      </c>
      <c r="C2146" t="s">
        <v>916</v>
      </c>
      <c r="D2146" t="s">
        <v>917</v>
      </c>
      <c r="E2146" t="s">
        <v>918</v>
      </c>
      <c r="F2146">
        <v>11</v>
      </c>
      <c r="G2146" t="s">
        <v>1441</v>
      </c>
      <c r="H2146" t="s">
        <v>929</v>
      </c>
      <c r="I2146" t="s">
        <v>22</v>
      </c>
      <c r="J2146" t="s">
        <v>67</v>
      </c>
      <c r="K2146" t="s">
        <v>34</v>
      </c>
      <c r="L2146" s="6">
        <v>800</v>
      </c>
      <c r="M2146" s="6">
        <v>0</v>
      </c>
      <c r="N2146" s="6">
        <v>-800</v>
      </c>
      <c r="O2146" s="6">
        <v>46120.37</v>
      </c>
      <c r="P2146" s="7">
        <v>0</v>
      </c>
      <c r="Q2146" s="6">
        <v>0</v>
      </c>
    </row>
    <row r="2147" spans="1:17">
      <c r="A2147">
        <v>2146</v>
      </c>
      <c r="B2147" s="5">
        <v>45882</v>
      </c>
      <c r="C2147" t="s">
        <v>916</v>
      </c>
      <c r="D2147" t="s">
        <v>917</v>
      </c>
      <c r="E2147" t="s">
        <v>918</v>
      </c>
      <c r="F2147">
        <v>11</v>
      </c>
      <c r="G2147" t="s">
        <v>1442</v>
      </c>
      <c r="H2147" t="s">
        <v>929</v>
      </c>
      <c r="I2147" t="s">
        <v>22</v>
      </c>
      <c r="J2147" t="s">
        <v>67</v>
      </c>
      <c r="K2147" t="s">
        <v>34</v>
      </c>
      <c r="L2147" s="6">
        <v>280.17</v>
      </c>
      <c r="M2147" s="6">
        <v>0</v>
      </c>
      <c r="N2147" s="6">
        <v>-280.17</v>
      </c>
      <c r="O2147" s="6">
        <v>45840.2</v>
      </c>
      <c r="P2147" s="7">
        <v>0</v>
      </c>
      <c r="Q2147" s="6">
        <v>0</v>
      </c>
    </row>
    <row r="2148" spans="1:17">
      <c r="A2148">
        <v>2147</v>
      </c>
      <c r="B2148" s="5">
        <v>45882</v>
      </c>
      <c r="C2148" t="s">
        <v>916</v>
      </c>
      <c r="D2148" t="s">
        <v>917</v>
      </c>
      <c r="E2148" t="s">
        <v>918</v>
      </c>
      <c r="F2148">
        <v>11</v>
      </c>
      <c r="G2148" t="s">
        <v>1443</v>
      </c>
      <c r="H2148" t="s">
        <v>66</v>
      </c>
      <c r="I2148" t="s">
        <v>22</v>
      </c>
      <c r="J2148" t="s">
        <v>67</v>
      </c>
      <c r="K2148" t="s">
        <v>34</v>
      </c>
      <c r="L2148" s="6">
        <v>3100</v>
      </c>
      <c r="M2148" s="6">
        <v>0</v>
      </c>
      <c r="N2148" s="6">
        <v>-3100</v>
      </c>
      <c r="O2148" s="6">
        <v>42740.2</v>
      </c>
      <c r="P2148" s="7">
        <v>0</v>
      </c>
      <c r="Q2148" s="6">
        <v>0</v>
      </c>
    </row>
    <row r="2149" spans="1:17">
      <c r="A2149">
        <v>2148</v>
      </c>
      <c r="B2149" s="5">
        <v>45882</v>
      </c>
      <c r="C2149" t="s">
        <v>916</v>
      </c>
      <c r="D2149" t="s">
        <v>917</v>
      </c>
      <c r="E2149" t="s">
        <v>918</v>
      </c>
      <c r="F2149">
        <v>11</v>
      </c>
      <c r="G2149" t="s">
        <v>1444</v>
      </c>
      <c r="H2149" t="s">
        <v>66</v>
      </c>
      <c r="I2149" t="s">
        <v>22</v>
      </c>
      <c r="J2149" t="s">
        <v>67</v>
      </c>
      <c r="K2149" t="s">
        <v>34</v>
      </c>
      <c r="L2149" s="6">
        <v>1800</v>
      </c>
      <c r="M2149" s="6">
        <v>0</v>
      </c>
      <c r="N2149" s="6">
        <v>-1800</v>
      </c>
      <c r="O2149" s="6">
        <v>40940.199999999997</v>
      </c>
      <c r="P2149" s="7">
        <v>0</v>
      </c>
      <c r="Q2149" s="6">
        <v>0</v>
      </c>
    </row>
    <row r="2150" spans="1:17">
      <c r="A2150">
        <v>2149</v>
      </c>
      <c r="B2150" s="5">
        <v>45882</v>
      </c>
      <c r="C2150" t="s">
        <v>916</v>
      </c>
      <c r="D2150" t="s">
        <v>917</v>
      </c>
      <c r="E2150" t="s">
        <v>918</v>
      </c>
      <c r="F2150">
        <v>11</v>
      </c>
      <c r="G2150" t="s">
        <v>1445</v>
      </c>
      <c r="H2150" t="s">
        <v>66</v>
      </c>
      <c r="I2150" t="s">
        <v>22</v>
      </c>
      <c r="J2150" t="s">
        <v>67</v>
      </c>
      <c r="K2150" t="s">
        <v>34</v>
      </c>
      <c r="L2150" s="6">
        <v>350</v>
      </c>
      <c r="M2150" s="6">
        <v>0</v>
      </c>
      <c r="N2150" s="6">
        <v>-350</v>
      </c>
      <c r="O2150" s="6">
        <v>40590.199999999997</v>
      </c>
      <c r="P2150" s="7">
        <v>0</v>
      </c>
      <c r="Q2150" s="6">
        <v>0</v>
      </c>
    </row>
    <row r="2151" spans="1:17">
      <c r="A2151">
        <v>2150</v>
      </c>
      <c r="B2151" s="5">
        <v>45882</v>
      </c>
      <c r="C2151" t="s">
        <v>916</v>
      </c>
      <c r="D2151" t="s">
        <v>917</v>
      </c>
      <c r="E2151" t="s">
        <v>918</v>
      </c>
      <c r="F2151">
        <v>11</v>
      </c>
      <c r="G2151" t="s">
        <v>1446</v>
      </c>
      <c r="H2151" t="s">
        <v>66</v>
      </c>
      <c r="I2151" t="s">
        <v>22</v>
      </c>
      <c r="J2151" t="s">
        <v>67</v>
      </c>
      <c r="K2151" t="s">
        <v>34</v>
      </c>
      <c r="L2151" s="6">
        <v>72.41</v>
      </c>
      <c r="M2151" s="6">
        <v>0</v>
      </c>
      <c r="N2151" s="6">
        <v>-72.41</v>
      </c>
      <c r="O2151" s="6">
        <v>40517.79</v>
      </c>
      <c r="P2151" s="7">
        <v>0</v>
      </c>
      <c r="Q2151" s="6">
        <v>0</v>
      </c>
    </row>
    <row r="2152" spans="1:17">
      <c r="A2152">
        <v>2151</v>
      </c>
      <c r="B2152" s="5">
        <v>45882</v>
      </c>
      <c r="C2152" t="s">
        <v>916</v>
      </c>
      <c r="D2152" t="s">
        <v>917</v>
      </c>
      <c r="E2152" t="s">
        <v>918</v>
      </c>
      <c r="F2152">
        <v>11</v>
      </c>
      <c r="G2152" t="s">
        <v>1447</v>
      </c>
      <c r="H2152" t="s">
        <v>929</v>
      </c>
      <c r="I2152" t="s">
        <v>22</v>
      </c>
      <c r="J2152" t="s">
        <v>67</v>
      </c>
      <c r="K2152" t="s">
        <v>34</v>
      </c>
      <c r="L2152" s="6">
        <v>1172</v>
      </c>
      <c r="M2152" s="6">
        <v>0</v>
      </c>
      <c r="N2152" s="6">
        <v>-1172</v>
      </c>
      <c r="O2152" s="6">
        <v>39345.79</v>
      </c>
      <c r="P2152" s="7">
        <v>0</v>
      </c>
      <c r="Q2152" s="6">
        <v>0</v>
      </c>
    </row>
    <row r="2153" spans="1:17">
      <c r="A2153">
        <v>2152</v>
      </c>
      <c r="B2153" s="5">
        <v>45882</v>
      </c>
      <c r="C2153" t="s">
        <v>916</v>
      </c>
      <c r="D2153" t="s">
        <v>917</v>
      </c>
      <c r="E2153" t="s">
        <v>918</v>
      </c>
      <c r="F2153">
        <v>11</v>
      </c>
      <c r="G2153" t="s">
        <v>1448</v>
      </c>
      <c r="H2153" t="s">
        <v>66</v>
      </c>
      <c r="I2153" t="s">
        <v>22</v>
      </c>
      <c r="J2153" t="s">
        <v>67</v>
      </c>
      <c r="K2153" t="s">
        <v>34</v>
      </c>
      <c r="L2153" s="6">
        <v>15</v>
      </c>
      <c r="M2153" s="6">
        <v>0</v>
      </c>
      <c r="N2153" s="6">
        <v>-15</v>
      </c>
      <c r="O2153" s="6">
        <v>39330.79</v>
      </c>
      <c r="P2153" s="7">
        <v>0</v>
      </c>
      <c r="Q2153" s="6">
        <v>0</v>
      </c>
    </row>
    <row r="2154" spans="1:17">
      <c r="A2154">
        <v>2153</v>
      </c>
      <c r="B2154" s="5">
        <v>45882</v>
      </c>
      <c r="C2154" t="s">
        <v>916</v>
      </c>
      <c r="D2154" t="s">
        <v>917</v>
      </c>
      <c r="E2154" t="s">
        <v>918</v>
      </c>
      <c r="F2154">
        <v>11</v>
      </c>
      <c r="G2154" t="s">
        <v>1449</v>
      </c>
      <c r="H2154" t="s">
        <v>929</v>
      </c>
      <c r="I2154" t="s">
        <v>22</v>
      </c>
      <c r="J2154" t="s">
        <v>67</v>
      </c>
      <c r="K2154" t="s">
        <v>34</v>
      </c>
      <c r="L2154" s="6">
        <v>800</v>
      </c>
      <c r="M2154" s="6">
        <v>0</v>
      </c>
      <c r="N2154" s="6">
        <v>-800</v>
      </c>
      <c r="O2154" s="6">
        <v>38530.79</v>
      </c>
      <c r="P2154" s="7">
        <v>0</v>
      </c>
      <c r="Q2154" s="6">
        <v>0</v>
      </c>
    </row>
    <row r="2155" spans="1:17">
      <c r="A2155">
        <v>2154</v>
      </c>
      <c r="B2155" s="5">
        <v>45882</v>
      </c>
      <c r="C2155" t="s">
        <v>916</v>
      </c>
      <c r="D2155" t="s">
        <v>917</v>
      </c>
      <c r="E2155" t="s">
        <v>918</v>
      </c>
      <c r="F2155">
        <v>11</v>
      </c>
      <c r="G2155" t="s">
        <v>1450</v>
      </c>
      <c r="H2155" t="s">
        <v>66</v>
      </c>
      <c r="I2155" t="s">
        <v>22</v>
      </c>
      <c r="J2155" t="s">
        <v>67</v>
      </c>
      <c r="K2155" t="s">
        <v>34</v>
      </c>
      <c r="L2155" s="6">
        <v>1000</v>
      </c>
      <c r="M2155" s="6">
        <v>0</v>
      </c>
      <c r="N2155" s="6">
        <v>-1000</v>
      </c>
      <c r="O2155" s="6">
        <v>37530.79</v>
      </c>
      <c r="P2155" s="7">
        <v>0</v>
      </c>
      <c r="Q2155" s="6">
        <v>0</v>
      </c>
    </row>
    <row r="2156" spans="1:17">
      <c r="A2156">
        <v>2155</v>
      </c>
      <c r="B2156" s="5">
        <v>45882</v>
      </c>
      <c r="C2156" t="s">
        <v>916</v>
      </c>
      <c r="D2156" t="s">
        <v>917</v>
      </c>
      <c r="E2156" t="s">
        <v>918</v>
      </c>
      <c r="F2156">
        <v>11</v>
      </c>
      <c r="G2156" t="s">
        <v>1451</v>
      </c>
      <c r="H2156" t="s">
        <v>929</v>
      </c>
      <c r="I2156" t="s">
        <v>22</v>
      </c>
      <c r="J2156" t="s">
        <v>67</v>
      </c>
      <c r="K2156" t="s">
        <v>34</v>
      </c>
      <c r="L2156" s="6">
        <v>350</v>
      </c>
      <c r="M2156" s="6">
        <v>0</v>
      </c>
      <c r="N2156" s="6">
        <v>-350</v>
      </c>
      <c r="O2156" s="6">
        <v>37180.79</v>
      </c>
      <c r="P2156" s="7">
        <v>0</v>
      </c>
      <c r="Q2156" s="6">
        <v>0</v>
      </c>
    </row>
    <row r="2157" spans="1:17">
      <c r="A2157">
        <v>2156</v>
      </c>
      <c r="B2157" s="5">
        <v>45882</v>
      </c>
      <c r="C2157" t="s">
        <v>916</v>
      </c>
      <c r="D2157" t="s">
        <v>917</v>
      </c>
      <c r="E2157" t="s">
        <v>918</v>
      </c>
      <c r="F2157">
        <v>11</v>
      </c>
      <c r="G2157" t="s">
        <v>1452</v>
      </c>
      <c r="H2157" t="s">
        <v>929</v>
      </c>
      <c r="I2157" t="s">
        <v>22</v>
      </c>
      <c r="J2157" t="s">
        <v>67</v>
      </c>
      <c r="K2157" t="s">
        <v>34</v>
      </c>
      <c r="L2157" s="6">
        <v>49.74</v>
      </c>
      <c r="M2157" s="6">
        <v>0</v>
      </c>
      <c r="N2157" s="6">
        <v>-49.74</v>
      </c>
      <c r="O2157" s="6">
        <v>37131.050000000003</v>
      </c>
      <c r="P2157" s="7">
        <v>0</v>
      </c>
      <c r="Q2157" s="6">
        <v>0</v>
      </c>
    </row>
    <row r="2158" spans="1:17">
      <c r="A2158">
        <v>2157</v>
      </c>
      <c r="B2158" s="5">
        <v>45882</v>
      </c>
      <c r="C2158" t="s">
        <v>916</v>
      </c>
      <c r="D2158" t="s">
        <v>917</v>
      </c>
      <c r="E2158" t="s">
        <v>918</v>
      </c>
      <c r="F2158">
        <v>11</v>
      </c>
      <c r="G2158" t="s">
        <v>1453</v>
      </c>
      <c r="H2158" t="s">
        <v>66</v>
      </c>
      <c r="I2158" t="s">
        <v>22</v>
      </c>
      <c r="J2158" t="s">
        <v>67</v>
      </c>
      <c r="K2158" t="s">
        <v>34</v>
      </c>
      <c r="L2158" s="6">
        <v>100</v>
      </c>
      <c r="M2158" s="6">
        <v>0</v>
      </c>
      <c r="N2158" s="6">
        <v>-100</v>
      </c>
      <c r="O2158" s="6">
        <v>37031.050000000003</v>
      </c>
      <c r="P2158" s="7">
        <v>0</v>
      </c>
      <c r="Q2158" s="6">
        <v>0</v>
      </c>
    </row>
    <row r="2159" spans="1:17">
      <c r="A2159">
        <v>2158</v>
      </c>
      <c r="B2159" s="5">
        <v>45882</v>
      </c>
      <c r="C2159" t="s">
        <v>916</v>
      </c>
      <c r="D2159" t="s">
        <v>917</v>
      </c>
      <c r="E2159" t="s">
        <v>918</v>
      </c>
      <c r="F2159">
        <v>11</v>
      </c>
      <c r="G2159" t="s">
        <v>1454</v>
      </c>
      <c r="H2159" t="s">
        <v>66</v>
      </c>
      <c r="I2159" t="s">
        <v>22</v>
      </c>
      <c r="J2159" t="s">
        <v>67</v>
      </c>
      <c r="K2159" t="s">
        <v>34</v>
      </c>
      <c r="L2159" s="6">
        <v>112</v>
      </c>
      <c r="M2159" s="6">
        <v>0</v>
      </c>
      <c r="N2159" s="6">
        <v>-112</v>
      </c>
      <c r="O2159" s="6">
        <v>36919.050000000003</v>
      </c>
      <c r="P2159" s="7">
        <v>0</v>
      </c>
      <c r="Q2159" s="6">
        <v>0</v>
      </c>
    </row>
    <row r="2160" spans="1:17">
      <c r="A2160">
        <v>2159</v>
      </c>
      <c r="B2160" s="5">
        <v>45882</v>
      </c>
      <c r="C2160" t="s">
        <v>916</v>
      </c>
      <c r="D2160" t="s">
        <v>917</v>
      </c>
      <c r="E2160" t="s">
        <v>918</v>
      </c>
      <c r="F2160">
        <v>11</v>
      </c>
      <c r="G2160" t="s">
        <v>1455</v>
      </c>
      <c r="H2160" t="s">
        <v>66</v>
      </c>
      <c r="I2160" t="s">
        <v>22</v>
      </c>
      <c r="J2160" t="s">
        <v>67</v>
      </c>
      <c r="K2160" t="s">
        <v>34</v>
      </c>
      <c r="L2160" s="6">
        <v>143.41</v>
      </c>
      <c r="M2160" s="6">
        <v>0</v>
      </c>
      <c r="N2160" s="6">
        <v>-143.41</v>
      </c>
      <c r="O2160" s="6">
        <v>36775.64</v>
      </c>
      <c r="P2160" s="7">
        <v>0</v>
      </c>
      <c r="Q2160" s="6">
        <v>0</v>
      </c>
    </row>
    <row r="2161" spans="1:17">
      <c r="A2161">
        <v>2160</v>
      </c>
      <c r="B2161" s="5">
        <v>45882</v>
      </c>
      <c r="C2161" t="s">
        <v>916</v>
      </c>
      <c r="D2161" t="s">
        <v>917</v>
      </c>
      <c r="E2161" t="s">
        <v>918</v>
      </c>
      <c r="F2161">
        <v>11</v>
      </c>
      <c r="G2161" t="s">
        <v>1456</v>
      </c>
      <c r="H2161" t="s">
        <v>929</v>
      </c>
      <c r="I2161" t="s">
        <v>22</v>
      </c>
      <c r="J2161" t="s">
        <v>67</v>
      </c>
      <c r="K2161" t="s">
        <v>34</v>
      </c>
      <c r="L2161" s="6">
        <v>150</v>
      </c>
      <c r="M2161" s="6">
        <v>0</v>
      </c>
      <c r="N2161" s="6">
        <v>-150</v>
      </c>
      <c r="O2161" s="6">
        <v>36625.64</v>
      </c>
      <c r="P2161" s="7">
        <v>0</v>
      </c>
      <c r="Q2161" s="6">
        <v>0</v>
      </c>
    </row>
    <row r="2162" spans="1:17">
      <c r="A2162">
        <v>2161</v>
      </c>
      <c r="B2162" s="5">
        <v>45882</v>
      </c>
      <c r="C2162" t="s">
        <v>916</v>
      </c>
      <c r="D2162" t="s">
        <v>917</v>
      </c>
      <c r="E2162" t="s">
        <v>918</v>
      </c>
      <c r="F2162">
        <v>11</v>
      </c>
      <c r="G2162" t="s">
        <v>1457</v>
      </c>
      <c r="H2162" t="s">
        <v>929</v>
      </c>
      <c r="I2162" t="s">
        <v>22</v>
      </c>
      <c r="J2162" t="s">
        <v>67</v>
      </c>
      <c r="K2162" t="s">
        <v>34</v>
      </c>
      <c r="L2162" s="6">
        <v>206.56</v>
      </c>
      <c r="M2162" s="6">
        <v>0</v>
      </c>
      <c r="N2162" s="6">
        <v>-206.56</v>
      </c>
      <c r="O2162" s="6">
        <v>36419.08</v>
      </c>
      <c r="P2162" s="7">
        <v>0</v>
      </c>
      <c r="Q2162" s="6">
        <v>0</v>
      </c>
    </row>
    <row r="2163" spans="1:17">
      <c r="A2163">
        <v>2162</v>
      </c>
      <c r="B2163" s="5">
        <v>45882</v>
      </c>
      <c r="C2163" t="s">
        <v>916</v>
      </c>
      <c r="D2163" t="s">
        <v>917</v>
      </c>
      <c r="E2163" t="s">
        <v>918</v>
      </c>
      <c r="F2163">
        <v>11</v>
      </c>
      <c r="G2163" t="s">
        <v>1458</v>
      </c>
      <c r="H2163" t="s">
        <v>929</v>
      </c>
      <c r="I2163" t="s">
        <v>22</v>
      </c>
      <c r="J2163" t="s">
        <v>67</v>
      </c>
      <c r="K2163" t="s">
        <v>34</v>
      </c>
      <c r="L2163" s="6">
        <v>250</v>
      </c>
      <c r="M2163" s="6">
        <v>0</v>
      </c>
      <c r="N2163" s="6">
        <v>-250</v>
      </c>
      <c r="O2163" s="6">
        <v>36169.08</v>
      </c>
      <c r="P2163" s="7">
        <v>0</v>
      </c>
      <c r="Q2163" s="6">
        <v>0</v>
      </c>
    </row>
    <row r="2164" spans="1:17">
      <c r="A2164">
        <v>2163</v>
      </c>
      <c r="B2164" s="5">
        <v>45882</v>
      </c>
      <c r="C2164" t="s">
        <v>916</v>
      </c>
      <c r="D2164" t="s">
        <v>917</v>
      </c>
      <c r="E2164" t="s">
        <v>918</v>
      </c>
      <c r="F2164">
        <v>11</v>
      </c>
      <c r="G2164" t="s">
        <v>1459</v>
      </c>
      <c r="H2164" t="s">
        <v>929</v>
      </c>
      <c r="I2164" t="s">
        <v>22</v>
      </c>
      <c r="J2164" t="s">
        <v>67</v>
      </c>
      <c r="K2164" t="s">
        <v>34</v>
      </c>
      <c r="L2164" s="6">
        <v>403.45</v>
      </c>
      <c r="M2164" s="6">
        <v>0</v>
      </c>
      <c r="N2164" s="6">
        <v>-403.45</v>
      </c>
      <c r="O2164" s="6">
        <v>35765.629999999997</v>
      </c>
      <c r="P2164" s="7">
        <v>0</v>
      </c>
      <c r="Q2164" s="6">
        <v>0</v>
      </c>
    </row>
    <row r="2165" spans="1:17">
      <c r="A2165">
        <v>2164</v>
      </c>
      <c r="B2165" s="5">
        <v>45882</v>
      </c>
      <c r="C2165" t="s">
        <v>916</v>
      </c>
      <c r="D2165" t="s">
        <v>917</v>
      </c>
      <c r="E2165" t="s">
        <v>918</v>
      </c>
      <c r="F2165">
        <v>11</v>
      </c>
      <c r="G2165" t="s">
        <v>1460</v>
      </c>
      <c r="H2165" t="s">
        <v>929</v>
      </c>
      <c r="I2165" t="s">
        <v>22</v>
      </c>
      <c r="J2165" t="s">
        <v>67</v>
      </c>
      <c r="K2165" t="s">
        <v>34</v>
      </c>
      <c r="L2165" s="6">
        <v>1000</v>
      </c>
      <c r="M2165" s="6">
        <v>0</v>
      </c>
      <c r="N2165" s="6">
        <v>-1000</v>
      </c>
      <c r="O2165" s="6">
        <v>34765.629999999997</v>
      </c>
      <c r="P2165" s="7">
        <v>0</v>
      </c>
      <c r="Q2165" s="6">
        <v>0</v>
      </c>
    </row>
    <row r="2166" spans="1:17">
      <c r="A2166">
        <v>2165</v>
      </c>
      <c r="B2166" s="5">
        <v>45882</v>
      </c>
      <c r="C2166" t="s">
        <v>916</v>
      </c>
      <c r="D2166" t="s">
        <v>917</v>
      </c>
      <c r="E2166" t="s">
        <v>918</v>
      </c>
      <c r="F2166">
        <v>11</v>
      </c>
      <c r="G2166" t="s">
        <v>1461</v>
      </c>
      <c r="H2166" t="s">
        <v>929</v>
      </c>
      <c r="I2166" t="s">
        <v>22</v>
      </c>
      <c r="J2166" t="s">
        <v>67</v>
      </c>
      <c r="K2166" t="s">
        <v>34</v>
      </c>
      <c r="L2166" s="6">
        <v>1400</v>
      </c>
      <c r="M2166" s="6">
        <v>0</v>
      </c>
      <c r="N2166" s="6">
        <v>-1400</v>
      </c>
      <c r="O2166" s="6">
        <v>33365.629999999997</v>
      </c>
      <c r="P2166" s="7">
        <v>0</v>
      </c>
      <c r="Q2166" s="6">
        <v>0</v>
      </c>
    </row>
    <row r="2167" spans="1:17">
      <c r="A2167">
        <v>2166</v>
      </c>
      <c r="B2167" s="5">
        <v>45882</v>
      </c>
      <c r="C2167" t="s">
        <v>916</v>
      </c>
      <c r="D2167" t="s">
        <v>917</v>
      </c>
      <c r="E2167" t="s">
        <v>918</v>
      </c>
      <c r="F2167">
        <v>11</v>
      </c>
      <c r="G2167" t="s">
        <v>1462</v>
      </c>
      <c r="H2167" t="s">
        <v>66</v>
      </c>
      <c r="I2167" t="s">
        <v>22</v>
      </c>
      <c r="J2167" t="s">
        <v>67</v>
      </c>
      <c r="K2167" t="s">
        <v>34</v>
      </c>
      <c r="L2167" s="6">
        <v>2255.96</v>
      </c>
      <c r="M2167" s="6">
        <v>0</v>
      </c>
      <c r="N2167" s="6">
        <v>-2255.96</v>
      </c>
      <c r="O2167" s="6">
        <v>31109.67</v>
      </c>
      <c r="P2167" s="7">
        <v>0</v>
      </c>
      <c r="Q2167" s="6">
        <v>0</v>
      </c>
    </row>
    <row r="2168" spans="1:17">
      <c r="A2168">
        <v>2167</v>
      </c>
      <c r="B2168" s="5">
        <v>45882</v>
      </c>
      <c r="C2168" t="s">
        <v>916</v>
      </c>
      <c r="D2168" t="s">
        <v>917</v>
      </c>
      <c r="E2168" t="s">
        <v>918</v>
      </c>
      <c r="F2168">
        <v>11</v>
      </c>
      <c r="G2168" t="s">
        <v>1463</v>
      </c>
      <c r="H2168" t="s">
        <v>1464</v>
      </c>
      <c r="I2168" t="s">
        <v>16</v>
      </c>
      <c r="J2168" t="s">
        <v>52</v>
      </c>
      <c r="K2168" t="s">
        <v>35</v>
      </c>
      <c r="L2168" s="6">
        <v>0</v>
      </c>
      <c r="M2168" s="6">
        <v>120</v>
      </c>
      <c r="N2168" s="6">
        <v>120</v>
      </c>
      <c r="O2168" s="6">
        <v>31229.67</v>
      </c>
      <c r="P2168" s="7">
        <v>0</v>
      </c>
      <c r="Q2168" s="6">
        <v>0</v>
      </c>
    </row>
    <row r="2169" spans="1:17">
      <c r="A2169">
        <v>2168</v>
      </c>
      <c r="B2169" s="5">
        <v>45882</v>
      </c>
      <c r="C2169" t="s">
        <v>916</v>
      </c>
      <c r="D2169" t="s">
        <v>917</v>
      </c>
      <c r="E2169" t="s">
        <v>918</v>
      </c>
      <c r="F2169">
        <v>11</v>
      </c>
      <c r="G2169" t="s">
        <v>1369</v>
      </c>
      <c r="H2169" t="s">
        <v>1370</v>
      </c>
      <c r="I2169" t="s">
        <v>16</v>
      </c>
      <c r="J2169" t="s">
        <v>52</v>
      </c>
      <c r="K2169" t="s">
        <v>35</v>
      </c>
      <c r="L2169" s="6">
        <v>0</v>
      </c>
      <c r="M2169" s="6">
        <v>264</v>
      </c>
      <c r="N2169" s="6">
        <v>264</v>
      </c>
      <c r="O2169" s="6">
        <v>31493.67</v>
      </c>
      <c r="P2169" s="7">
        <v>0</v>
      </c>
      <c r="Q2169" s="6">
        <v>0</v>
      </c>
    </row>
    <row r="2170" spans="1:17">
      <c r="A2170">
        <v>2169</v>
      </c>
      <c r="B2170" s="5">
        <v>45882</v>
      </c>
      <c r="C2170" t="s">
        <v>916</v>
      </c>
      <c r="D2170" t="s">
        <v>917</v>
      </c>
      <c r="E2170" t="s">
        <v>918</v>
      </c>
      <c r="F2170">
        <v>11</v>
      </c>
      <c r="G2170" t="s">
        <v>1306</v>
      </c>
      <c r="H2170" t="s">
        <v>1307</v>
      </c>
      <c r="I2170" t="s">
        <v>16</v>
      </c>
      <c r="J2170" t="s">
        <v>52</v>
      </c>
      <c r="K2170" t="s">
        <v>35</v>
      </c>
      <c r="L2170" s="6">
        <v>0</v>
      </c>
      <c r="M2170" s="6">
        <v>300</v>
      </c>
      <c r="N2170" s="6">
        <v>300</v>
      </c>
      <c r="O2170" s="6">
        <v>31793.67</v>
      </c>
      <c r="P2170" s="7">
        <v>0</v>
      </c>
      <c r="Q2170" s="6">
        <v>0</v>
      </c>
    </row>
    <row r="2171" spans="1:17">
      <c r="A2171">
        <v>2170</v>
      </c>
      <c r="B2171" s="5">
        <v>45882</v>
      </c>
      <c r="C2171" t="s">
        <v>916</v>
      </c>
      <c r="D2171" t="s">
        <v>917</v>
      </c>
      <c r="E2171" t="s">
        <v>918</v>
      </c>
      <c r="F2171">
        <v>11</v>
      </c>
      <c r="G2171" t="s">
        <v>1306</v>
      </c>
      <c r="H2171" t="s">
        <v>1307</v>
      </c>
      <c r="I2171" t="s">
        <v>16</v>
      </c>
      <c r="J2171" t="s">
        <v>52</v>
      </c>
      <c r="K2171" t="s">
        <v>35</v>
      </c>
      <c r="L2171" s="6">
        <v>0</v>
      </c>
      <c r="M2171" s="6">
        <v>700</v>
      </c>
      <c r="N2171" s="6">
        <v>700</v>
      </c>
      <c r="O2171" s="6">
        <v>32493.67</v>
      </c>
      <c r="P2171" s="7">
        <v>0</v>
      </c>
      <c r="Q2171" s="6">
        <v>0</v>
      </c>
    </row>
    <row r="2172" spans="1:17">
      <c r="A2172">
        <v>2171</v>
      </c>
      <c r="B2172" s="5">
        <v>45882</v>
      </c>
      <c r="C2172" t="s">
        <v>916</v>
      </c>
      <c r="D2172" t="s">
        <v>917</v>
      </c>
      <c r="E2172" t="s">
        <v>918</v>
      </c>
      <c r="F2172">
        <v>11</v>
      </c>
      <c r="G2172" t="s">
        <v>1465</v>
      </c>
      <c r="I2172" t="s">
        <v>16</v>
      </c>
      <c r="J2172" t="s">
        <v>52</v>
      </c>
      <c r="K2172" t="s">
        <v>35</v>
      </c>
      <c r="L2172" s="6">
        <v>0</v>
      </c>
      <c r="M2172" s="6">
        <v>98792</v>
      </c>
      <c r="N2172" s="6">
        <v>98792</v>
      </c>
      <c r="O2172" s="6">
        <v>131285.67000000001</v>
      </c>
      <c r="P2172" s="7">
        <v>0</v>
      </c>
      <c r="Q2172" s="6">
        <v>0</v>
      </c>
    </row>
    <row r="2173" spans="1:17">
      <c r="A2173">
        <v>2172</v>
      </c>
      <c r="B2173" s="5">
        <v>45883</v>
      </c>
      <c r="C2173" t="s">
        <v>916</v>
      </c>
      <c r="D2173" t="s">
        <v>917</v>
      </c>
      <c r="E2173" t="s">
        <v>918</v>
      </c>
      <c r="F2173">
        <v>11</v>
      </c>
      <c r="G2173" t="s">
        <v>1159</v>
      </c>
      <c r="H2173" t="s">
        <v>1160</v>
      </c>
      <c r="I2173" t="s">
        <v>16</v>
      </c>
      <c r="J2173" t="s">
        <v>52</v>
      </c>
      <c r="K2173" t="s">
        <v>35</v>
      </c>
      <c r="L2173" s="6">
        <v>0</v>
      </c>
      <c r="M2173" s="6">
        <v>300</v>
      </c>
      <c r="N2173" s="6">
        <v>300</v>
      </c>
      <c r="O2173" s="6">
        <v>131585.67000000001</v>
      </c>
      <c r="P2173" s="7">
        <v>0</v>
      </c>
      <c r="Q2173" s="6">
        <v>0</v>
      </c>
    </row>
    <row r="2174" spans="1:17">
      <c r="A2174">
        <v>2173</v>
      </c>
      <c r="B2174" s="5">
        <v>45883</v>
      </c>
      <c r="C2174" t="s">
        <v>916</v>
      </c>
      <c r="D2174" t="s">
        <v>917</v>
      </c>
      <c r="E2174" t="s">
        <v>918</v>
      </c>
      <c r="F2174">
        <v>11</v>
      </c>
      <c r="G2174" t="s">
        <v>1379</v>
      </c>
      <c r="H2174" t="s">
        <v>1380</v>
      </c>
      <c r="I2174" t="s">
        <v>16</v>
      </c>
      <c r="J2174" t="s">
        <v>52</v>
      </c>
      <c r="K2174" t="s">
        <v>35</v>
      </c>
      <c r="L2174" s="6">
        <v>0</v>
      </c>
      <c r="M2174" s="6">
        <v>300</v>
      </c>
      <c r="N2174" s="6">
        <v>300</v>
      </c>
      <c r="O2174" s="6">
        <v>131885.67000000001</v>
      </c>
      <c r="P2174" s="7">
        <v>0</v>
      </c>
      <c r="Q2174" s="6">
        <v>0</v>
      </c>
    </row>
    <row r="2175" spans="1:17">
      <c r="A2175">
        <v>2174</v>
      </c>
      <c r="B2175" s="5">
        <v>45883</v>
      </c>
      <c r="C2175" t="s">
        <v>916</v>
      </c>
      <c r="D2175" t="s">
        <v>917</v>
      </c>
      <c r="E2175" t="s">
        <v>918</v>
      </c>
      <c r="F2175">
        <v>11</v>
      </c>
      <c r="G2175" t="s">
        <v>1466</v>
      </c>
      <c r="H2175" t="s">
        <v>1467</v>
      </c>
      <c r="I2175" t="s">
        <v>16</v>
      </c>
      <c r="J2175" t="s">
        <v>52</v>
      </c>
      <c r="K2175" t="s">
        <v>35</v>
      </c>
      <c r="L2175" s="6">
        <v>0</v>
      </c>
      <c r="M2175" s="6">
        <v>49</v>
      </c>
      <c r="N2175" s="6">
        <v>49</v>
      </c>
      <c r="O2175" s="6">
        <v>131934.67000000001</v>
      </c>
      <c r="P2175" s="7">
        <v>0</v>
      </c>
      <c r="Q2175" s="6">
        <v>0</v>
      </c>
    </row>
    <row r="2176" spans="1:17">
      <c r="A2176">
        <v>2175</v>
      </c>
      <c r="B2176" s="5">
        <v>45883</v>
      </c>
      <c r="C2176" t="s">
        <v>916</v>
      </c>
      <c r="D2176" t="s">
        <v>917</v>
      </c>
      <c r="E2176" t="s">
        <v>918</v>
      </c>
      <c r="F2176">
        <v>11</v>
      </c>
      <c r="G2176" t="s">
        <v>1155</v>
      </c>
      <c r="H2176" t="s">
        <v>1156</v>
      </c>
      <c r="I2176" t="s">
        <v>16</v>
      </c>
      <c r="J2176" t="s">
        <v>52</v>
      </c>
      <c r="K2176" t="s">
        <v>35</v>
      </c>
      <c r="L2176" s="6">
        <v>0</v>
      </c>
      <c r="M2176" s="6">
        <v>1000</v>
      </c>
      <c r="N2176" s="6">
        <v>1000</v>
      </c>
      <c r="O2176" s="6">
        <v>132934.67000000001</v>
      </c>
      <c r="P2176" s="7">
        <v>0</v>
      </c>
      <c r="Q2176" s="6">
        <v>0</v>
      </c>
    </row>
    <row r="2177" spans="1:17">
      <c r="A2177">
        <v>2176</v>
      </c>
      <c r="B2177" s="5">
        <v>45883</v>
      </c>
      <c r="C2177" t="s">
        <v>916</v>
      </c>
      <c r="D2177" t="s">
        <v>917</v>
      </c>
      <c r="E2177" t="s">
        <v>918</v>
      </c>
      <c r="F2177">
        <v>11</v>
      </c>
      <c r="G2177" t="s">
        <v>1468</v>
      </c>
      <c r="H2177" t="s">
        <v>1469</v>
      </c>
      <c r="I2177" t="s">
        <v>16</v>
      </c>
      <c r="J2177" t="s">
        <v>52</v>
      </c>
      <c r="K2177" t="s">
        <v>35</v>
      </c>
      <c r="L2177" s="6">
        <v>0</v>
      </c>
      <c r="M2177" s="6">
        <v>600</v>
      </c>
      <c r="N2177" s="6">
        <v>600</v>
      </c>
      <c r="O2177" s="6">
        <v>133534.67000000001</v>
      </c>
      <c r="P2177" s="7">
        <v>0</v>
      </c>
      <c r="Q2177" s="6">
        <v>0</v>
      </c>
    </row>
    <row r="2178" spans="1:17">
      <c r="A2178">
        <v>2177</v>
      </c>
      <c r="B2178" s="5">
        <v>45883</v>
      </c>
      <c r="C2178" t="s">
        <v>916</v>
      </c>
      <c r="D2178" t="s">
        <v>917</v>
      </c>
      <c r="E2178" t="s">
        <v>918</v>
      </c>
      <c r="F2178">
        <v>11</v>
      </c>
      <c r="G2178" t="s">
        <v>1470</v>
      </c>
      <c r="H2178" t="s">
        <v>1471</v>
      </c>
      <c r="I2178" t="s">
        <v>16</v>
      </c>
      <c r="J2178" t="s">
        <v>52</v>
      </c>
      <c r="K2178" t="s">
        <v>35</v>
      </c>
      <c r="L2178" s="6">
        <v>0</v>
      </c>
      <c r="M2178" s="6">
        <v>2636</v>
      </c>
      <c r="N2178" s="6">
        <v>2636</v>
      </c>
      <c r="O2178" s="6">
        <v>136170.67000000001</v>
      </c>
      <c r="P2178" s="7">
        <v>0</v>
      </c>
      <c r="Q2178" s="6">
        <v>0</v>
      </c>
    </row>
    <row r="2179" spans="1:17">
      <c r="A2179">
        <v>2178</v>
      </c>
      <c r="B2179" s="5">
        <v>45883</v>
      </c>
      <c r="C2179" t="s">
        <v>916</v>
      </c>
      <c r="D2179" t="s">
        <v>917</v>
      </c>
      <c r="E2179" t="s">
        <v>918</v>
      </c>
      <c r="F2179">
        <v>12</v>
      </c>
      <c r="G2179" t="s">
        <v>1159</v>
      </c>
      <c r="H2179" t="s">
        <v>1160</v>
      </c>
      <c r="I2179" t="s">
        <v>16</v>
      </c>
      <c r="J2179" t="s">
        <v>52</v>
      </c>
      <c r="K2179" t="s">
        <v>35</v>
      </c>
      <c r="L2179" s="6">
        <v>0</v>
      </c>
      <c r="M2179" s="6">
        <v>500</v>
      </c>
      <c r="N2179" s="6">
        <v>500</v>
      </c>
      <c r="O2179" s="6">
        <v>136670.67000000001</v>
      </c>
      <c r="P2179" s="7">
        <v>0</v>
      </c>
      <c r="Q2179" s="6">
        <v>0</v>
      </c>
    </row>
    <row r="2180" spans="1:17">
      <c r="A2180">
        <v>2179</v>
      </c>
      <c r="B2180" s="5">
        <v>45883</v>
      </c>
      <c r="C2180" t="s">
        <v>916</v>
      </c>
      <c r="D2180" t="s">
        <v>917</v>
      </c>
      <c r="E2180" t="s">
        <v>918</v>
      </c>
      <c r="F2180">
        <v>12</v>
      </c>
      <c r="G2180" t="s">
        <v>1468</v>
      </c>
      <c r="H2180" t="s">
        <v>1469</v>
      </c>
      <c r="I2180" t="s">
        <v>16</v>
      </c>
      <c r="J2180" t="s">
        <v>52</v>
      </c>
      <c r="K2180" t="s">
        <v>35</v>
      </c>
      <c r="L2180" s="6">
        <v>0</v>
      </c>
      <c r="M2180" s="6">
        <v>500</v>
      </c>
      <c r="N2180" s="6">
        <v>500</v>
      </c>
      <c r="O2180" s="6">
        <v>137170.67000000001</v>
      </c>
      <c r="P2180" s="7">
        <v>0</v>
      </c>
      <c r="Q2180" s="6">
        <v>0</v>
      </c>
    </row>
    <row r="2181" spans="1:17">
      <c r="A2181">
        <v>2180</v>
      </c>
      <c r="B2181" s="5">
        <v>45883</v>
      </c>
      <c r="C2181" t="s">
        <v>916</v>
      </c>
      <c r="D2181" t="s">
        <v>917</v>
      </c>
      <c r="E2181" t="s">
        <v>918</v>
      </c>
      <c r="F2181">
        <v>12</v>
      </c>
      <c r="G2181" t="s">
        <v>1472</v>
      </c>
      <c r="I2181" t="s">
        <v>15</v>
      </c>
      <c r="J2181" t="s">
        <v>52</v>
      </c>
      <c r="K2181" t="s">
        <v>35</v>
      </c>
      <c r="L2181" s="6">
        <v>0</v>
      </c>
      <c r="M2181" s="6">
        <v>16775</v>
      </c>
      <c r="N2181" s="6">
        <v>16775</v>
      </c>
      <c r="O2181" s="6">
        <v>153945.67000000001</v>
      </c>
      <c r="P2181" s="7">
        <v>0</v>
      </c>
      <c r="Q2181" s="6">
        <v>0</v>
      </c>
    </row>
    <row r="2182" spans="1:17">
      <c r="A2182">
        <v>2181</v>
      </c>
      <c r="B2182" s="5">
        <v>45883</v>
      </c>
      <c r="C2182" t="s">
        <v>916</v>
      </c>
      <c r="D2182" t="s">
        <v>917</v>
      </c>
      <c r="E2182" t="s">
        <v>918</v>
      </c>
      <c r="F2182">
        <v>12</v>
      </c>
      <c r="G2182" t="s">
        <v>900</v>
      </c>
      <c r="I2182" t="s">
        <v>16</v>
      </c>
      <c r="J2182" t="s">
        <v>52</v>
      </c>
      <c r="K2182" t="s">
        <v>35</v>
      </c>
      <c r="L2182" s="6">
        <v>0</v>
      </c>
      <c r="M2182" s="6">
        <v>1537.22</v>
      </c>
      <c r="N2182" s="6">
        <v>1537.22</v>
      </c>
      <c r="O2182" s="6">
        <v>155482.89000000001</v>
      </c>
      <c r="P2182" s="7">
        <v>0</v>
      </c>
      <c r="Q2182" s="6">
        <v>0</v>
      </c>
    </row>
    <row r="2183" spans="1:17">
      <c r="A2183">
        <v>2182</v>
      </c>
      <c r="B2183" s="5">
        <v>45883</v>
      </c>
      <c r="C2183" t="s">
        <v>916</v>
      </c>
      <c r="D2183" t="s">
        <v>917</v>
      </c>
      <c r="E2183" t="s">
        <v>918</v>
      </c>
      <c r="F2183">
        <v>12</v>
      </c>
      <c r="G2183" t="s">
        <v>1470</v>
      </c>
      <c r="H2183" t="s">
        <v>1471</v>
      </c>
      <c r="I2183" t="s">
        <v>16</v>
      </c>
      <c r="J2183" t="s">
        <v>52</v>
      </c>
      <c r="K2183" t="s">
        <v>35</v>
      </c>
      <c r="L2183" s="6">
        <v>0</v>
      </c>
      <c r="M2183" s="6">
        <v>966</v>
      </c>
      <c r="N2183" s="6">
        <v>966</v>
      </c>
      <c r="O2183" s="6">
        <v>156448.89000000001</v>
      </c>
      <c r="P2183" s="7">
        <v>0</v>
      </c>
      <c r="Q2183" s="6">
        <v>0</v>
      </c>
    </row>
    <row r="2184" spans="1:17">
      <c r="A2184">
        <v>2183</v>
      </c>
      <c r="B2184" s="5">
        <v>45883</v>
      </c>
      <c r="C2184" t="s">
        <v>916</v>
      </c>
      <c r="D2184" t="s">
        <v>917</v>
      </c>
      <c r="E2184" t="s">
        <v>918</v>
      </c>
      <c r="F2184">
        <v>12</v>
      </c>
      <c r="G2184" t="s">
        <v>1473</v>
      </c>
      <c r="H2184" t="s">
        <v>929</v>
      </c>
      <c r="I2184" t="s">
        <v>22</v>
      </c>
      <c r="J2184" t="s">
        <v>67</v>
      </c>
      <c r="K2184" t="s">
        <v>34</v>
      </c>
      <c r="L2184" s="6">
        <v>7904.67</v>
      </c>
      <c r="M2184" s="6">
        <v>0</v>
      </c>
      <c r="N2184" s="6">
        <v>-7904.67</v>
      </c>
      <c r="O2184" s="6">
        <v>148544.22</v>
      </c>
      <c r="P2184" s="7">
        <v>0</v>
      </c>
      <c r="Q2184" s="6">
        <v>0</v>
      </c>
    </row>
    <row r="2185" spans="1:17">
      <c r="A2185">
        <v>2184</v>
      </c>
      <c r="B2185" s="5">
        <v>45883</v>
      </c>
      <c r="C2185" t="s">
        <v>916</v>
      </c>
      <c r="D2185" t="s">
        <v>917</v>
      </c>
      <c r="E2185" t="s">
        <v>918</v>
      </c>
      <c r="F2185">
        <v>12</v>
      </c>
      <c r="G2185" t="s">
        <v>1474</v>
      </c>
      <c r="H2185" t="s">
        <v>929</v>
      </c>
      <c r="I2185" t="s">
        <v>22</v>
      </c>
      <c r="J2185" t="s">
        <v>67</v>
      </c>
      <c r="K2185" t="s">
        <v>34</v>
      </c>
      <c r="L2185" s="6">
        <v>51</v>
      </c>
      <c r="M2185" s="6">
        <v>0</v>
      </c>
      <c r="N2185" s="6">
        <v>-51</v>
      </c>
      <c r="O2185" s="6">
        <v>148493.22</v>
      </c>
      <c r="P2185" s="7">
        <v>0</v>
      </c>
      <c r="Q2185" s="6">
        <v>0</v>
      </c>
    </row>
    <row r="2186" spans="1:17">
      <c r="A2186">
        <v>2185</v>
      </c>
      <c r="B2186" s="5">
        <v>45883</v>
      </c>
      <c r="C2186" t="s">
        <v>916</v>
      </c>
      <c r="D2186" t="s">
        <v>917</v>
      </c>
      <c r="E2186" t="s">
        <v>918</v>
      </c>
      <c r="F2186">
        <v>12</v>
      </c>
      <c r="G2186" t="s">
        <v>1475</v>
      </c>
      <c r="H2186" t="s">
        <v>66</v>
      </c>
      <c r="I2186" t="s">
        <v>22</v>
      </c>
      <c r="J2186" t="s">
        <v>67</v>
      </c>
      <c r="K2186" t="s">
        <v>34</v>
      </c>
      <c r="L2186" s="6">
        <v>2000</v>
      </c>
      <c r="M2186" s="6">
        <v>0</v>
      </c>
      <c r="N2186" s="6">
        <v>-2000</v>
      </c>
      <c r="O2186" s="6">
        <v>146493.22</v>
      </c>
      <c r="P2186" s="7">
        <v>0</v>
      </c>
      <c r="Q2186" s="6">
        <v>0</v>
      </c>
    </row>
    <row r="2187" spans="1:17">
      <c r="A2187">
        <v>2186</v>
      </c>
      <c r="B2187" s="5">
        <v>45883</v>
      </c>
      <c r="C2187" t="s">
        <v>916</v>
      </c>
      <c r="D2187" t="s">
        <v>917</v>
      </c>
      <c r="E2187" t="s">
        <v>918</v>
      </c>
      <c r="F2187">
        <v>12</v>
      </c>
      <c r="G2187" t="s">
        <v>1476</v>
      </c>
      <c r="H2187" t="s">
        <v>929</v>
      </c>
      <c r="I2187" t="s">
        <v>22</v>
      </c>
      <c r="J2187" t="s">
        <v>67</v>
      </c>
      <c r="K2187" t="s">
        <v>34</v>
      </c>
      <c r="L2187" s="6">
        <v>50</v>
      </c>
      <c r="M2187" s="6">
        <v>0</v>
      </c>
      <c r="N2187" s="6">
        <v>-50</v>
      </c>
      <c r="O2187" s="6">
        <v>146443.22</v>
      </c>
      <c r="P2187" s="7">
        <v>0</v>
      </c>
      <c r="Q2187" s="6">
        <v>0</v>
      </c>
    </row>
    <row r="2188" spans="1:17">
      <c r="A2188">
        <v>2187</v>
      </c>
      <c r="B2188" s="5">
        <v>45883</v>
      </c>
      <c r="C2188" t="s">
        <v>916</v>
      </c>
      <c r="D2188" t="s">
        <v>917</v>
      </c>
      <c r="E2188" t="s">
        <v>918</v>
      </c>
      <c r="F2188">
        <v>12</v>
      </c>
      <c r="G2188" t="s">
        <v>1477</v>
      </c>
      <c r="H2188" t="s">
        <v>929</v>
      </c>
      <c r="I2188" t="s">
        <v>22</v>
      </c>
      <c r="J2188" t="s">
        <v>67</v>
      </c>
      <c r="K2188" t="s">
        <v>34</v>
      </c>
      <c r="L2188" s="6">
        <v>1000</v>
      </c>
      <c r="M2188" s="6">
        <v>0</v>
      </c>
      <c r="N2188" s="6">
        <v>-1000</v>
      </c>
      <c r="O2188" s="6">
        <v>145443.22</v>
      </c>
      <c r="P2188" s="7">
        <v>0</v>
      </c>
      <c r="Q2188" s="6">
        <v>0</v>
      </c>
    </row>
    <row r="2189" spans="1:17">
      <c r="A2189">
        <v>2188</v>
      </c>
      <c r="B2189" s="5">
        <v>45883</v>
      </c>
      <c r="C2189" t="s">
        <v>916</v>
      </c>
      <c r="D2189" t="s">
        <v>917</v>
      </c>
      <c r="E2189" t="s">
        <v>918</v>
      </c>
      <c r="F2189">
        <v>12</v>
      </c>
      <c r="G2189" t="s">
        <v>1478</v>
      </c>
      <c r="H2189" t="s">
        <v>66</v>
      </c>
      <c r="I2189" t="s">
        <v>22</v>
      </c>
      <c r="J2189" t="s">
        <v>67</v>
      </c>
      <c r="K2189" t="s">
        <v>34</v>
      </c>
      <c r="L2189" s="6">
        <v>310</v>
      </c>
      <c r="M2189" s="6">
        <v>0</v>
      </c>
      <c r="N2189" s="6">
        <v>-310</v>
      </c>
      <c r="O2189" s="6">
        <v>145133.22</v>
      </c>
      <c r="P2189" s="7">
        <v>0</v>
      </c>
      <c r="Q2189" s="6">
        <v>0</v>
      </c>
    </row>
    <row r="2190" spans="1:17">
      <c r="A2190">
        <v>2189</v>
      </c>
      <c r="B2190" s="5">
        <v>45883</v>
      </c>
      <c r="C2190" t="s">
        <v>916</v>
      </c>
      <c r="D2190" t="s">
        <v>917</v>
      </c>
      <c r="E2190" t="s">
        <v>918</v>
      </c>
      <c r="F2190">
        <v>12</v>
      </c>
      <c r="G2190" t="s">
        <v>1479</v>
      </c>
      <c r="H2190" t="s">
        <v>929</v>
      </c>
      <c r="I2190" t="s">
        <v>22</v>
      </c>
      <c r="J2190" t="s">
        <v>67</v>
      </c>
      <c r="K2190" t="s">
        <v>34</v>
      </c>
      <c r="L2190" s="6">
        <v>2000</v>
      </c>
      <c r="M2190" s="6">
        <v>0</v>
      </c>
      <c r="N2190" s="6">
        <v>-2000</v>
      </c>
      <c r="O2190" s="6">
        <v>143133.22</v>
      </c>
      <c r="P2190" s="7">
        <v>0</v>
      </c>
      <c r="Q2190" s="6">
        <v>0</v>
      </c>
    </row>
    <row r="2191" spans="1:17">
      <c r="A2191">
        <v>2190</v>
      </c>
      <c r="B2191" s="5">
        <v>45883</v>
      </c>
      <c r="C2191" t="s">
        <v>916</v>
      </c>
      <c r="D2191" t="s">
        <v>917</v>
      </c>
      <c r="E2191" t="s">
        <v>918</v>
      </c>
      <c r="F2191">
        <v>12</v>
      </c>
      <c r="G2191" t="s">
        <v>1480</v>
      </c>
      <c r="H2191" t="s">
        <v>66</v>
      </c>
      <c r="I2191" t="s">
        <v>22</v>
      </c>
      <c r="J2191" t="s">
        <v>67</v>
      </c>
      <c r="K2191" t="s">
        <v>34</v>
      </c>
      <c r="L2191" s="6">
        <v>855.22</v>
      </c>
      <c r="M2191" s="6">
        <v>0</v>
      </c>
      <c r="N2191" s="6">
        <v>-855.22</v>
      </c>
      <c r="O2191" s="6">
        <v>142278</v>
      </c>
      <c r="P2191" s="7">
        <v>0</v>
      </c>
      <c r="Q2191" s="6">
        <v>0</v>
      </c>
    </row>
    <row r="2192" spans="1:17">
      <c r="A2192">
        <v>2191</v>
      </c>
      <c r="B2192" s="5">
        <v>45883</v>
      </c>
      <c r="C2192" t="s">
        <v>916</v>
      </c>
      <c r="D2192" t="s">
        <v>917</v>
      </c>
      <c r="E2192" t="s">
        <v>918</v>
      </c>
      <c r="F2192">
        <v>12</v>
      </c>
      <c r="G2192" t="s">
        <v>1481</v>
      </c>
      <c r="H2192" t="s">
        <v>66</v>
      </c>
      <c r="I2192" t="s">
        <v>22</v>
      </c>
      <c r="J2192" t="s">
        <v>67</v>
      </c>
      <c r="K2192" t="s">
        <v>34</v>
      </c>
      <c r="L2192" s="6">
        <v>43.66</v>
      </c>
      <c r="M2192" s="6">
        <v>0</v>
      </c>
      <c r="N2192" s="6">
        <v>-43.66</v>
      </c>
      <c r="O2192" s="6">
        <v>142234.34</v>
      </c>
      <c r="P2192" s="7">
        <v>0</v>
      </c>
      <c r="Q2192" s="6">
        <v>0</v>
      </c>
    </row>
    <row r="2193" spans="1:18">
      <c r="A2193">
        <v>2192</v>
      </c>
      <c r="B2193" s="5">
        <v>45883</v>
      </c>
      <c r="C2193" t="s">
        <v>916</v>
      </c>
      <c r="D2193" t="s">
        <v>917</v>
      </c>
      <c r="E2193" t="s">
        <v>918</v>
      </c>
      <c r="F2193">
        <v>12</v>
      </c>
      <c r="G2193" t="s">
        <v>1482</v>
      </c>
      <c r="H2193" t="s">
        <v>66</v>
      </c>
      <c r="I2193" t="s">
        <v>22</v>
      </c>
      <c r="J2193" t="s">
        <v>67</v>
      </c>
      <c r="K2193" t="s">
        <v>34</v>
      </c>
      <c r="L2193" s="6">
        <v>105.6</v>
      </c>
      <c r="M2193" s="6">
        <v>0</v>
      </c>
      <c r="N2193" s="6">
        <v>-105.6</v>
      </c>
      <c r="O2193" s="6">
        <v>142128.74</v>
      </c>
      <c r="P2193" s="7">
        <v>0</v>
      </c>
      <c r="Q2193" s="6">
        <v>0</v>
      </c>
    </row>
    <row r="2194" spans="1:18">
      <c r="A2194">
        <v>2193</v>
      </c>
      <c r="B2194" s="5">
        <v>45883</v>
      </c>
      <c r="C2194" t="s">
        <v>916</v>
      </c>
      <c r="D2194" t="s">
        <v>917</v>
      </c>
      <c r="E2194" t="s">
        <v>918</v>
      </c>
      <c r="F2194">
        <v>12</v>
      </c>
      <c r="G2194" t="s">
        <v>1483</v>
      </c>
      <c r="H2194" t="s">
        <v>929</v>
      </c>
      <c r="I2194" t="s">
        <v>22</v>
      </c>
      <c r="J2194" t="s">
        <v>67</v>
      </c>
      <c r="K2194" t="s">
        <v>34</v>
      </c>
      <c r="L2194" s="6">
        <v>200</v>
      </c>
      <c r="M2194" s="6">
        <v>0</v>
      </c>
      <c r="N2194" s="6">
        <v>-200</v>
      </c>
      <c r="O2194" s="6">
        <v>141928.74</v>
      </c>
      <c r="P2194" s="7">
        <v>0</v>
      </c>
      <c r="Q2194" s="6">
        <v>0</v>
      </c>
    </row>
    <row r="2195" spans="1:18">
      <c r="A2195">
        <v>2194</v>
      </c>
      <c r="B2195" s="5">
        <v>45883</v>
      </c>
      <c r="C2195" t="s">
        <v>916</v>
      </c>
      <c r="D2195" t="s">
        <v>917</v>
      </c>
      <c r="E2195" t="s">
        <v>918</v>
      </c>
      <c r="F2195">
        <v>12</v>
      </c>
      <c r="G2195" t="s">
        <v>1484</v>
      </c>
      <c r="H2195" t="s">
        <v>929</v>
      </c>
      <c r="I2195" t="s">
        <v>22</v>
      </c>
      <c r="J2195" t="s">
        <v>67</v>
      </c>
      <c r="K2195" t="s">
        <v>34</v>
      </c>
      <c r="L2195" s="6">
        <v>500</v>
      </c>
      <c r="M2195" s="6">
        <v>0</v>
      </c>
      <c r="N2195" s="6">
        <v>-500</v>
      </c>
      <c r="O2195" s="6">
        <v>141428.74</v>
      </c>
      <c r="P2195" s="7">
        <v>0</v>
      </c>
      <c r="Q2195" s="6">
        <v>0</v>
      </c>
    </row>
    <row r="2196" spans="1:18">
      <c r="A2196">
        <v>2195</v>
      </c>
      <c r="B2196" s="5">
        <v>45883</v>
      </c>
      <c r="C2196" t="s">
        <v>916</v>
      </c>
      <c r="D2196" t="s">
        <v>917</v>
      </c>
      <c r="E2196" t="s">
        <v>918</v>
      </c>
      <c r="F2196">
        <v>12</v>
      </c>
      <c r="G2196" t="s">
        <v>1485</v>
      </c>
      <c r="H2196" t="s">
        <v>66</v>
      </c>
      <c r="I2196" t="s">
        <v>22</v>
      </c>
      <c r="J2196" t="s">
        <v>67</v>
      </c>
      <c r="K2196" t="s">
        <v>34</v>
      </c>
      <c r="L2196" s="6">
        <v>7.42</v>
      </c>
      <c r="M2196" s="6">
        <v>0</v>
      </c>
      <c r="N2196" s="6">
        <v>-7.42</v>
      </c>
      <c r="O2196" s="6">
        <v>141421.32</v>
      </c>
      <c r="P2196" s="7">
        <v>0</v>
      </c>
      <c r="Q2196" s="6">
        <v>0</v>
      </c>
    </row>
    <row r="2197" spans="1:18">
      <c r="A2197">
        <v>2196</v>
      </c>
      <c r="B2197" s="5">
        <v>45883</v>
      </c>
      <c r="C2197" t="s">
        <v>916</v>
      </c>
      <c r="D2197" t="s">
        <v>917</v>
      </c>
      <c r="E2197" t="s">
        <v>918</v>
      </c>
      <c r="F2197">
        <v>12</v>
      </c>
      <c r="G2197" t="s">
        <v>1486</v>
      </c>
      <c r="H2197" t="s">
        <v>66</v>
      </c>
      <c r="I2197" t="s">
        <v>22</v>
      </c>
      <c r="J2197" t="s">
        <v>67</v>
      </c>
      <c r="K2197" t="s">
        <v>34</v>
      </c>
      <c r="L2197" s="6">
        <v>152</v>
      </c>
      <c r="M2197" s="6">
        <v>0</v>
      </c>
      <c r="N2197" s="6">
        <v>-152</v>
      </c>
      <c r="O2197" s="6">
        <v>141269.32</v>
      </c>
      <c r="P2197" s="7">
        <v>0</v>
      </c>
      <c r="Q2197" s="6">
        <v>0</v>
      </c>
    </row>
    <row r="2198" spans="1:18">
      <c r="A2198">
        <v>2197</v>
      </c>
      <c r="B2198" s="5">
        <v>45883</v>
      </c>
      <c r="C2198" t="s">
        <v>916</v>
      </c>
      <c r="D2198" t="s">
        <v>917</v>
      </c>
      <c r="E2198" t="s">
        <v>918</v>
      </c>
      <c r="F2198">
        <v>12</v>
      </c>
      <c r="G2198" t="s">
        <v>1487</v>
      </c>
      <c r="H2198" t="s">
        <v>929</v>
      </c>
      <c r="I2198" t="s">
        <v>22</v>
      </c>
      <c r="J2198" t="s">
        <v>67</v>
      </c>
      <c r="K2198" t="s">
        <v>34</v>
      </c>
      <c r="L2198" s="6">
        <v>500</v>
      </c>
      <c r="M2198" s="6">
        <v>0</v>
      </c>
      <c r="N2198" s="6">
        <v>-500</v>
      </c>
      <c r="O2198" s="6">
        <v>140769.32</v>
      </c>
      <c r="P2198" s="7">
        <v>0</v>
      </c>
      <c r="Q2198" s="6">
        <v>0</v>
      </c>
    </row>
    <row r="2199" spans="1:18">
      <c r="A2199">
        <v>2198</v>
      </c>
      <c r="B2199" s="5">
        <v>45883</v>
      </c>
      <c r="C2199" t="s">
        <v>916</v>
      </c>
      <c r="D2199" t="s">
        <v>917</v>
      </c>
      <c r="E2199" t="s">
        <v>918</v>
      </c>
      <c r="F2199">
        <v>12</v>
      </c>
      <c r="G2199" t="s">
        <v>1488</v>
      </c>
      <c r="H2199" t="s">
        <v>929</v>
      </c>
      <c r="I2199" t="s">
        <v>22</v>
      </c>
      <c r="J2199" t="s">
        <v>67</v>
      </c>
      <c r="K2199" t="s">
        <v>34</v>
      </c>
      <c r="L2199" s="6">
        <v>150</v>
      </c>
      <c r="M2199" s="6">
        <v>0</v>
      </c>
      <c r="N2199" s="6">
        <v>-150</v>
      </c>
      <c r="O2199" s="6">
        <v>140619.32</v>
      </c>
      <c r="P2199" s="7">
        <v>0</v>
      </c>
      <c r="Q2199" s="6">
        <v>0</v>
      </c>
    </row>
    <row r="2200" spans="1:18">
      <c r="A2200">
        <v>2199</v>
      </c>
      <c r="B2200" s="5">
        <v>45883</v>
      </c>
      <c r="C2200" t="s">
        <v>916</v>
      </c>
      <c r="D2200" t="s">
        <v>917</v>
      </c>
      <c r="E2200" t="s">
        <v>918</v>
      </c>
      <c r="F2200">
        <v>12</v>
      </c>
      <c r="G2200" t="s">
        <v>1489</v>
      </c>
      <c r="H2200" t="s">
        <v>929</v>
      </c>
      <c r="I2200" t="s">
        <v>22</v>
      </c>
      <c r="J2200" t="s">
        <v>67</v>
      </c>
      <c r="K2200" t="s">
        <v>34</v>
      </c>
      <c r="L2200" s="6">
        <v>630</v>
      </c>
      <c r="M2200" s="6">
        <v>0</v>
      </c>
      <c r="N2200" s="6">
        <v>-630</v>
      </c>
      <c r="O2200" s="6">
        <v>139989.32</v>
      </c>
      <c r="P2200" s="7">
        <v>0</v>
      </c>
      <c r="Q2200" s="6">
        <v>0</v>
      </c>
    </row>
    <row r="2201" spans="1:18">
      <c r="A2201">
        <v>2200</v>
      </c>
      <c r="B2201" s="5">
        <v>45883</v>
      </c>
      <c r="C2201" t="s">
        <v>916</v>
      </c>
      <c r="D2201" t="s">
        <v>917</v>
      </c>
      <c r="E2201" t="s">
        <v>918</v>
      </c>
      <c r="F2201">
        <v>12</v>
      </c>
      <c r="G2201" t="s">
        <v>1490</v>
      </c>
      <c r="H2201" t="s">
        <v>929</v>
      </c>
      <c r="I2201" t="s">
        <v>22</v>
      </c>
      <c r="J2201" t="s">
        <v>67</v>
      </c>
      <c r="K2201" t="s">
        <v>34</v>
      </c>
      <c r="L2201" s="6">
        <v>214</v>
      </c>
      <c r="M2201" s="6">
        <v>0</v>
      </c>
      <c r="N2201" s="6">
        <v>-214</v>
      </c>
      <c r="O2201" s="6">
        <v>139775.32</v>
      </c>
      <c r="P2201" s="7">
        <v>0</v>
      </c>
      <c r="Q2201" s="6">
        <v>0</v>
      </c>
    </row>
    <row r="2202" spans="1:18">
      <c r="A2202">
        <v>2201</v>
      </c>
      <c r="B2202" s="5">
        <v>45883</v>
      </c>
      <c r="C2202" t="s">
        <v>916</v>
      </c>
      <c r="D2202" t="s">
        <v>917</v>
      </c>
      <c r="E2202" t="s">
        <v>918</v>
      </c>
      <c r="F2202">
        <v>12</v>
      </c>
      <c r="G2202" t="s">
        <v>1491</v>
      </c>
      <c r="I2202" t="s">
        <v>20</v>
      </c>
      <c r="J2202" t="s">
        <v>20</v>
      </c>
      <c r="K2202" t="s">
        <v>35</v>
      </c>
      <c r="L2202" s="6">
        <v>0</v>
      </c>
      <c r="M2202" s="6">
        <v>310</v>
      </c>
      <c r="N2202" s="6">
        <v>310</v>
      </c>
      <c r="O2202" s="6">
        <v>140085.32</v>
      </c>
      <c r="P2202" s="7">
        <v>0</v>
      </c>
      <c r="Q2202" s="6">
        <v>0</v>
      </c>
      <c r="R2202" t="s">
        <v>169</v>
      </c>
    </row>
    <row r="2203" spans="1:18">
      <c r="A2203">
        <v>2202</v>
      </c>
      <c r="B2203" s="5">
        <v>45883</v>
      </c>
      <c r="C2203" t="s">
        <v>916</v>
      </c>
      <c r="D2203" t="s">
        <v>917</v>
      </c>
      <c r="E2203" t="s">
        <v>918</v>
      </c>
      <c r="F2203">
        <v>12</v>
      </c>
      <c r="G2203" t="s">
        <v>1468</v>
      </c>
      <c r="H2203" t="s">
        <v>1469</v>
      </c>
      <c r="I2203" t="s">
        <v>16</v>
      </c>
      <c r="J2203" t="s">
        <v>52</v>
      </c>
      <c r="K2203" t="s">
        <v>35</v>
      </c>
      <c r="L2203" s="6">
        <v>0</v>
      </c>
      <c r="M2203" s="6">
        <v>600</v>
      </c>
      <c r="N2203" s="6">
        <v>600</v>
      </c>
      <c r="O2203" s="6">
        <v>140685.32</v>
      </c>
      <c r="P2203" s="7">
        <v>0</v>
      </c>
      <c r="Q2203" s="6">
        <v>0</v>
      </c>
    </row>
    <row r="2204" spans="1:18">
      <c r="A2204">
        <v>2203</v>
      </c>
      <c r="B2204" s="5">
        <v>45883</v>
      </c>
      <c r="C2204" t="s">
        <v>916</v>
      </c>
      <c r="D2204" t="s">
        <v>917</v>
      </c>
      <c r="E2204" t="s">
        <v>918</v>
      </c>
      <c r="F2204">
        <v>12</v>
      </c>
      <c r="G2204" t="s">
        <v>1492</v>
      </c>
      <c r="H2204" t="s">
        <v>66</v>
      </c>
      <c r="I2204" t="s">
        <v>22</v>
      </c>
      <c r="J2204" t="s">
        <v>67</v>
      </c>
      <c r="K2204" t="s">
        <v>34</v>
      </c>
      <c r="L2204" s="6">
        <v>500</v>
      </c>
      <c r="M2204" s="6">
        <v>0</v>
      </c>
      <c r="N2204" s="6">
        <v>-500</v>
      </c>
      <c r="O2204" s="6">
        <v>140185.32</v>
      </c>
      <c r="P2204" s="7">
        <v>0</v>
      </c>
      <c r="Q2204" s="6">
        <v>0</v>
      </c>
    </row>
    <row r="2205" spans="1:18">
      <c r="A2205">
        <v>2204</v>
      </c>
      <c r="B2205" s="5">
        <v>45883</v>
      </c>
      <c r="C2205" t="s">
        <v>916</v>
      </c>
      <c r="D2205" t="s">
        <v>917</v>
      </c>
      <c r="E2205" t="s">
        <v>918</v>
      </c>
      <c r="F2205">
        <v>12</v>
      </c>
      <c r="G2205" t="s">
        <v>1493</v>
      </c>
      <c r="H2205" t="s">
        <v>929</v>
      </c>
      <c r="I2205" t="s">
        <v>22</v>
      </c>
      <c r="J2205" t="s">
        <v>67</v>
      </c>
      <c r="K2205" t="s">
        <v>34</v>
      </c>
      <c r="L2205" s="6">
        <v>1400</v>
      </c>
      <c r="M2205" s="6">
        <v>0</v>
      </c>
      <c r="N2205" s="6">
        <v>-1400</v>
      </c>
      <c r="O2205" s="6">
        <v>138785.32</v>
      </c>
      <c r="P2205" s="7">
        <v>0</v>
      </c>
      <c r="Q2205" s="6">
        <v>0</v>
      </c>
    </row>
    <row r="2206" spans="1:18">
      <c r="A2206">
        <v>2205</v>
      </c>
      <c r="B2206" s="5">
        <v>45883</v>
      </c>
      <c r="C2206" t="s">
        <v>916</v>
      </c>
      <c r="D2206" t="s">
        <v>917</v>
      </c>
      <c r="E2206" t="s">
        <v>918</v>
      </c>
      <c r="F2206">
        <v>12</v>
      </c>
      <c r="G2206" t="s">
        <v>1494</v>
      </c>
      <c r="H2206" t="s">
        <v>66</v>
      </c>
      <c r="I2206" t="s">
        <v>22</v>
      </c>
      <c r="J2206" t="s">
        <v>67</v>
      </c>
      <c r="K2206" t="s">
        <v>34</v>
      </c>
      <c r="L2206" s="6">
        <v>5089.3900000000003</v>
      </c>
      <c r="M2206" s="6">
        <v>0</v>
      </c>
      <c r="N2206" s="6">
        <v>-5089.3900000000003</v>
      </c>
      <c r="O2206" s="6">
        <v>133695.93</v>
      </c>
      <c r="P2206" s="7">
        <v>0</v>
      </c>
      <c r="Q2206" s="6">
        <v>0</v>
      </c>
    </row>
    <row r="2207" spans="1:18">
      <c r="A2207">
        <v>2206</v>
      </c>
      <c r="B2207" s="5">
        <v>45883</v>
      </c>
      <c r="C2207" t="s">
        <v>916</v>
      </c>
      <c r="D2207" t="s">
        <v>917</v>
      </c>
      <c r="E2207" t="s">
        <v>918</v>
      </c>
      <c r="F2207">
        <v>12</v>
      </c>
      <c r="G2207" t="s">
        <v>1495</v>
      </c>
      <c r="H2207" t="s">
        <v>929</v>
      </c>
      <c r="I2207" t="s">
        <v>22</v>
      </c>
      <c r="J2207" t="s">
        <v>67</v>
      </c>
      <c r="K2207" t="s">
        <v>34</v>
      </c>
      <c r="L2207" s="6">
        <v>185</v>
      </c>
      <c r="M2207" s="6">
        <v>0</v>
      </c>
      <c r="N2207" s="6">
        <v>-185</v>
      </c>
      <c r="O2207" s="6">
        <v>133510.93</v>
      </c>
      <c r="P2207" s="7">
        <v>0</v>
      </c>
      <c r="Q2207" s="6">
        <v>0</v>
      </c>
    </row>
    <row r="2208" spans="1:18">
      <c r="A2208">
        <v>2207</v>
      </c>
      <c r="B2208" s="5">
        <v>45883</v>
      </c>
      <c r="C2208" t="s">
        <v>916</v>
      </c>
      <c r="D2208" t="s">
        <v>917</v>
      </c>
      <c r="E2208" t="s">
        <v>918</v>
      </c>
      <c r="F2208">
        <v>12</v>
      </c>
      <c r="G2208" t="s">
        <v>1496</v>
      </c>
      <c r="H2208" t="s">
        <v>929</v>
      </c>
      <c r="I2208" t="s">
        <v>22</v>
      </c>
      <c r="J2208" t="s">
        <v>67</v>
      </c>
      <c r="K2208" t="s">
        <v>34</v>
      </c>
      <c r="L2208" s="6">
        <v>50</v>
      </c>
      <c r="M2208" s="6">
        <v>0</v>
      </c>
      <c r="N2208" s="6">
        <v>-50</v>
      </c>
      <c r="O2208" s="6">
        <v>133460.93</v>
      </c>
      <c r="P2208" s="7">
        <v>0</v>
      </c>
      <c r="Q2208" s="6">
        <v>0</v>
      </c>
    </row>
    <row r="2209" spans="1:17">
      <c r="A2209">
        <v>2208</v>
      </c>
      <c r="B2209" s="5">
        <v>45883</v>
      </c>
      <c r="C2209" t="s">
        <v>916</v>
      </c>
      <c r="D2209" t="s">
        <v>917</v>
      </c>
      <c r="E2209" t="s">
        <v>918</v>
      </c>
      <c r="F2209">
        <v>12</v>
      </c>
      <c r="G2209" t="s">
        <v>1497</v>
      </c>
      <c r="H2209" t="s">
        <v>66</v>
      </c>
      <c r="I2209" t="s">
        <v>22</v>
      </c>
      <c r="J2209" t="s">
        <v>67</v>
      </c>
      <c r="K2209" t="s">
        <v>34</v>
      </c>
      <c r="L2209" s="6">
        <v>100.1</v>
      </c>
      <c r="M2209" s="6">
        <v>0</v>
      </c>
      <c r="N2209" s="6">
        <v>-100.1</v>
      </c>
      <c r="O2209" s="6">
        <v>133360.82999999999</v>
      </c>
      <c r="P2209" s="7">
        <v>0</v>
      </c>
      <c r="Q2209" s="6">
        <v>0</v>
      </c>
    </row>
    <row r="2210" spans="1:17">
      <c r="A2210">
        <v>2209</v>
      </c>
      <c r="B2210" s="5">
        <v>45883</v>
      </c>
      <c r="C2210" t="s">
        <v>916</v>
      </c>
      <c r="D2210" t="s">
        <v>917</v>
      </c>
      <c r="E2210" t="s">
        <v>918</v>
      </c>
      <c r="F2210">
        <v>12</v>
      </c>
      <c r="G2210" t="s">
        <v>1498</v>
      </c>
      <c r="H2210" t="s">
        <v>929</v>
      </c>
      <c r="I2210" t="s">
        <v>22</v>
      </c>
      <c r="J2210" t="s">
        <v>67</v>
      </c>
      <c r="K2210" t="s">
        <v>34</v>
      </c>
      <c r="L2210" s="6">
        <v>925.54</v>
      </c>
      <c r="M2210" s="6">
        <v>0</v>
      </c>
      <c r="N2210" s="6">
        <v>-925.54</v>
      </c>
      <c r="O2210" s="6">
        <v>132435.29</v>
      </c>
      <c r="P2210" s="7">
        <v>0</v>
      </c>
      <c r="Q2210" s="6">
        <v>0</v>
      </c>
    </row>
    <row r="2211" spans="1:17">
      <c r="A2211">
        <v>2210</v>
      </c>
      <c r="B2211" s="5">
        <v>45883</v>
      </c>
      <c r="C2211" t="s">
        <v>916</v>
      </c>
      <c r="D2211" t="s">
        <v>917</v>
      </c>
      <c r="E2211" t="s">
        <v>918</v>
      </c>
      <c r="F2211">
        <v>12</v>
      </c>
      <c r="G2211" t="s">
        <v>1499</v>
      </c>
      <c r="H2211" t="s">
        <v>929</v>
      </c>
      <c r="I2211" t="s">
        <v>22</v>
      </c>
      <c r="J2211" t="s">
        <v>67</v>
      </c>
      <c r="K2211" t="s">
        <v>34</v>
      </c>
      <c r="L2211" s="6">
        <v>124</v>
      </c>
      <c r="M2211" s="6">
        <v>0</v>
      </c>
      <c r="N2211" s="6">
        <v>-124</v>
      </c>
      <c r="O2211" s="6">
        <v>132311.29</v>
      </c>
      <c r="P2211" s="7">
        <v>0</v>
      </c>
      <c r="Q2211" s="6">
        <v>0</v>
      </c>
    </row>
    <row r="2212" spans="1:17">
      <c r="A2212">
        <v>2211</v>
      </c>
      <c r="B2212" s="5">
        <v>45883</v>
      </c>
      <c r="C2212" t="s">
        <v>916</v>
      </c>
      <c r="D2212" t="s">
        <v>917</v>
      </c>
      <c r="E2212" t="s">
        <v>918</v>
      </c>
      <c r="F2212">
        <v>12</v>
      </c>
      <c r="G2212" t="s">
        <v>1500</v>
      </c>
      <c r="H2212" t="s">
        <v>66</v>
      </c>
      <c r="I2212" t="s">
        <v>22</v>
      </c>
      <c r="J2212" t="s">
        <v>67</v>
      </c>
      <c r="K2212" t="s">
        <v>34</v>
      </c>
      <c r="L2212" s="6">
        <v>1250</v>
      </c>
      <c r="M2212" s="6">
        <v>0</v>
      </c>
      <c r="N2212" s="6">
        <v>-1250</v>
      </c>
      <c r="O2212" s="6">
        <v>131061.29</v>
      </c>
      <c r="P2212" s="7">
        <v>0</v>
      </c>
      <c r="Q2212" s="6">
        <v>0</v>
      </c>
    </row>
    <row r="2213" spans="1:17">
      <c r="A2213">
        <v>2212</v>
      </c>
      <c r="B2213" s="5">
        <v>45883</v>
      </c>
      <c r="C2213" t="s">
        <v>916</v>
      </c>
      <c r="D2213" t="s">
        <v>917</v>
      </c>
      <c r="E2213" t="s">
        <v>918</v>
      </c>
      <c r="F2213">
        <v>12</v>
      </c>
      <c r="G2213" t="s">
        <v>1501</v>
      </c>
      <c r="H2213" t="s">
        <v>929</v>
      </c>
      <c r="I2213" t="s">
        <v>22</v>
      </c>
      <c r="J2213" t="s">
        <v>67</v>
      </c>
      <c r="K2213" t="s">
        <v>34</v>
      </c>
      <c r="L2213" s="6">
        <v>600</v>
      </c>
      <c r="M2213" s="6">
        <v>0</v>
      </c>
      <c r="N2213" s="6">
        <v>-600</v>
      </c>
      <c r="O2213" s="6">
        <v>130461.29</v>
      </c>
      <c r="P2213" s="7">
        <v>0</v>
      </c>
      <c r="Q2213" s="6">
        <v>0</v>
      </c>
    </row>
    <row r="2214" spans="1:17">
      <c r="A2214">
        <v>2213</v>
      </c>
      <c r="B2214" s="5">
        <v>45883</v>
      </c>
      <c r="C2214" t="s">
        <v>916</v>
      </c>
      <c r="D2214" t="s">
        <v>917</v>
      </c>
      <c r="E2214" t="s">
        <v>918</v>
      </c>
      <c r="F2214">
        <v>12</v>
      </c>
      <c r="G2214" t="s">
        <v>1502</v>
      </c>
      <c r="H2214" t="s">
        <v>66</v>
      </c>
      <c r="I2214" t="s">
        <v>22</v>
      </c>
      <c r="J2214" t="s">
        <v>67</v>
      </c>
      <c r="K2214" t="s">
        <v>34</v>
      </c>
      <c r="L2214" s="6">
        <v>400</v>
      </c>
      <c r="M2214" s="6">
        <v>0</v>
      </c>
      <c r="N2214" s="6">
        <v>-400</v>
      </c>
      <c r="O2214" s="6">
        <v>130061.29</v>
      </c>
      <c r="P2214" s="7">
        <v>0</v>
      </c>
      <c r="Q2214" s="6">
        <v>0</v>
      </c>
    </row>
    <row r="2215" spans="1:17">
      <c r="A2215">
        <v>2214</v>
      </c>
      <c r="B2215" s="5">
        <v>45883</v>
      </c>
      <c r="C2215" t="s">
        <v>916</v>
      </c>
      <c r="D2215" t="s">
        <v>917</v>
      </c>
      <c r="E2215" t="s">
        <v>918</v>
      </c>
      <c r="F2215">
        <v>12</v>
      </c>
      <c r="G2215" t="s">
        <v>1503</v>
      </c>
      <c r="H2215" t="s">
        <v>929</v>
      </c>
      <c r="I2215" t="s">
        <v>22</v>
      </c>
      <c r="J2215" t="s">
        <v>67</v>
      </c>
      <c r="K2215" t="s">
        <v>34</v>
      </c>
      <c r="L2215" s="6">
        <v>1477.17</v>
      </c>
      <c r="M2215" s="6">
        <v>0</v>
      </c>
      <c r="N2215" s="6">
        <v>-1477.17</v>
      </c>
      <c r="O2215" s="6">
        <v>128584.12</v>
      </c>
      <c r="P2215" s="7">
        <v>0</v>
      </c>
      <c r="Q2215" s="6">
        <v>0</v>
      </c>
    </row>
    <row r="2216" spans="1:17">
      <c r="A2216">
        <v>2215</v>
      </c>
      <c r="B2216" s="5">
        <v>45883</v>
      </c>
      <c r="C2216" t="s">
        <v>916</v>
      </c>
      <c r="D2216" t="s">
        <v>917</v>
      </c>
      <c r="E2216" t="s">
        <v>918</v>
      </c>
      <c r="F2216">
        <v>12</v>
      </c>
      <c r="G2216" t="s">
        <v>1504</v>
      </c>
      <c r="H2216" t="s">
        <v>66</v>
      </c>
      <c r="I2216" t="s">
        <v>22</v>
      </c>
      <c r="J2216" t="s">
        <v>67</v>
      </c>
      <c r="K2216" t="s">
        <v>34</v>
      </c>
      <c r="L2216" s="6">
        <v>100</v>
      </c>
      <c r="M2216" s="6">
        <v>0</v>
      </c>
      <c r="N2216" s="6">
        <v>-100</v>
      </c>
      <c r="O2216" s="6">
        <v>128484.12</v>
      </c>
      <c r="P2216" s="7">
        <v>0</v>
      </c>
      <c r="Q2216" s="6">
        <v>0</v>
      </c>
    </row>
    <row r="2217" spans="1:17">
      <c r="A2217">
        <v>2216</v>
      </c>
      <c r="B2217" s="5">
        <v>45883</v>
      </c>
      <c r="C2217" t="s">
        <v>916</v>
      </c>
      <c r="D2217" t="s">
        <v>917</v>
      </c>
      <c r="E2217" t="s">
        <v>918</v>
      </c>
      <c r="F2217">
        <v>12</v>
      </c>
      <c r="G2217" t="s">
        <v>1505</v>
      </c>
      <c r="H2217" t="s">
        <v>66</v>
      </c>
      <c r="I2217" t="s">
        <v>22</v>
      </c>
      <c r="J2217" t="s">
        <v>67</v>
      </c>
      <c r="K2217" t="s">
        <v>34</v>
      </c>
      <c r="L2217" s="6">
        <v>310</v>
      </c>
      <c r="M2217" s="6">
        <v>0</v>
      </c>
      <c r="N2217" s="6">
        <v>-310</v>
      </c>
      <c r="O2217" s="6">
        <v>128174.12</v>
      </c>
      <c r="P2217" s="7">
        <v>0</v>
      </c>
      <c r="Q2217" s="6">
        <v>0</v>
      </c>
    </row>
    <row r="2218" spans="1:17">
      <c r="A2218">
        <v>2217</v>
      </c>
      <c r="B2218" s="5">
        <v>45883</v>
      </c>
      <c r="C2218" t="s">
        <v>916</v>
      </c>
      <c r="D2218" t="s">
        <v>917</v>
      </c>
      <c r="E2218" t="s">
        <v>918</v>
      </c>
      <c r="F2218">
        <v>12</v>
      </c>
      <c r="G2218" t="s">
        <v>1506</v>
      </c>
      <c r="I2218" t="s">
        <v>17</v>
      </c>
      <c r="J2218" t="s">
        <v>64</v>
      </c>
      <c r="K2218" t="s">
        <v>34</v>
      </c>
      <c r="L2218" s="6">
        <v>4000</v>
      </c>
      <c r="M2218" s="6">
        <v>0</v>
      </c>
      <c r="N2218" s="6">
        <v>-4000</v>
      </c>
      <c r="O2218" s="6">
        <v>124174.12</v>
      </c>
      <c r="P2218" s="7">
        <v>0</v>
      </c>
      <c r="Q2218" s="6">
        <v>0</v>
      </c>
    </row>
    <row r="2219" spans="1:17">
      <c r="A2219">
        <v>2218</v>
      </c>
      <c r="B2219" s="5">
        <v>45883</v>
      </c>
      <c r="C2219" t="s">
        <v>916</v>
      </c>
      <c r="D2219" t="s">
        <v>917</v>
      </c>
      <c r="E2219" t="s">
        <v>918</v>
      </c>
      <c r="F2219">
        <v>12</v>
      </c>
      <c r="G2219" t="s">
        <v>1507</v>
      </c>
      <c r="I2219" t="s">
        <v>17</v>
      </c>
      <c r="J2219" t="s">
        <v>64</v>
      </c>
      <c r="K2219" t="s">
        <v>34</v>
      </c>
      <c r="L2219" s="6">
        <v>100000</v>
      </c>
      <c r="M2219" s="6">
        <v>0</v>
      </c>
      <c r="N2219" s="6">
        <v>-100000</v>
      </c>
      <c r="O2219" s="6">
        <v>24174.12</v>
      </c>
      <c r="P2219" s="7">
        <v>0</v>
      </c>
      <c r="Q2219" s="6">
        <v>0</v>
      </c>
    </row>
    <row r="2220" spans="1:17">
      <c r="A2220">
        <v>2219</v>
      </c>
      <c r="B2220" s="5">
        <v>45883</v>
      </c>
      <c r="C2220" t="s">
        <v>916</v>
      </c>
      <c r="D2220" t="s">
        <v>917</v>
      </c>
      <c r="E2220" t="s">
        <v>918</v>
      </c>
      <c r="F2220">
        <v>12</v>
      </c>
      <c r="G2220" t="s">
        <v>1508</v>
      </c>
      <c r="H2220" t="s">
        <v>66</v>
      </c>
      <c r="I2220" t="s">
        <v>22</v>
      </c>
      <c r="J2220" t="s">
        <v>67</v>
      </c>
      <c r="K2220" t="s">
        <v>34</v>
      </c>
      <c r="L2220" s="6">
        <v>99.54</v>
      </c>
      <c r="M2220" s="6">
        <v>0</v>
      </c>
      <c r="N2220" s="6">
        <v>-99.54</v>
      </c>
      <c r="O2220" s="6">
        <v>24074.58</v>
      </c>
      <c r="P2220" s="7">
        <v>0</v>
      </c>
      <c r="Q2220" s="6">
        <v>0</v>
      </c>
    </row>
    <row r="2221" spans="1:17">
      <c r="A2221">
        <v>2220</v>
      </c>
      <c r="B2221" s="5">
        <v>45883</v>
      </c>
      <c r="C2221" t="s">
        <v>916</v>
      </c>
      <c r="D2221" t="s">
        <v>917</v>
      </c>
      <c r="E2221" t="s">
        <v>918</v>
      </c>
      <c r="F2221">
        <v>12</v>
      </c>
      <c r="G2221" t="s">
        <v>1509</v>
      </c>
      <c r="H2221" t="s">
        <v>66</v>
      </c>
      <c r="I2221" t="s">
        <v>22</v>
      </c>
      <c r="J2221" t="s">
        <v>67</v>
      </c>
      <c r="K2221" t="s">
        <v>34</v>
      </c>
      <c r="L2221" s="6">
        <v>100</v>
      </c>
      <c r="M2221" s="6">
        <v>0</v>
      </c>
      <c r="N2221" s="6">
        <v>-100</v>
      </c>
      <c r="O2221" s="6">
        <v>23974.58</v>
      </c>
      <c r="P2221" s="7">
        <v>0</v>
      </c>
      <c r="Q2221" s="6">
        <v>0</v>
      </c>
    </row>
    <row r="2222" spans="1:17">
      <c r="A2222">
        <v>2221</v>
      </c>
      <c r="B2222" s="5">
        <v>45883</v>
      </c>
      <c r="C2222" t="s">
        <v>916</v>
      </c>
      <c r="D2222" t="s">
        <v>917</v>
      </c>
      <c r="E2222" t="s">
        <v>918</v>
      </c>
      <c r="F2222">
        <v>12</v>
      </c>
      <c r="G2222" t="s">
        <v>1510</v>
      </c>
      <c r="H2222" t="s">
        <v>66</v>
      </c>
      <c r="I2222" t="s">
        <v>22</v>
      </c>
      <c r="J2222" t="s">
        <v>67</v>
      </c>
      <c r="K2222" t="s">
        <v>34</v>
      </c>
      <c r="L2222" s="6">
        <v>103</v>
      </c>
      <c r="M2222" s="6">
        <v>0</v>
      </c>
      <c r="N2222" s="6">
        <v>-103</v>
      </c>
      <c r="O2222" s="6">
        <v>23871.58</v>
      </c>
      <c r="P2222" s="7">
        <v>0</v>
      </c>
      <c r="Q2222" s="6">
        <v>0</v>
      </c>
    </row>
    <row r="2223" spans="1:17">
      <c r="A2223">
        <v>2222</v>
      </c>
      <c r="B2223" s="5">
        <v>45883</v>
      </c>
      <c r="C2223" t="s">
        <v>916</v>
      </c>
      <c r="D2223" t="s">
        <v>917</v>
      </c>
      <c r="E2223" t="s">
        <v>918</v>
      </c>
      <c r="F2223">
        <v>12</v>
      </c>
      <c r="G2223" t="s">
        <v>1511</v>
      </c>
      <c r="H2223" t="s">
        <v>66</v>
      </c>
      <c r="I2223" t="s">
        <v>22</v>
      </c>
      <c r="J2223" t="s">
        <v>67</v>
      </c>
      <c r="K2223" t="s">
        <v>34</v>
      </c>
      <c r="L2223" s="6">
        <v>150</v>
      </c>
      <c r="M2223" s="6">
        <v>0</v>
      </c>
      <c r="N2223" s="6">
        <v>-150</v>
      </c>
      <c r="O2223" s="6">
        <v>23721.58</v>
      </c>
      <c r="P2223" s="7">
        <v>0</v>
      </c>
      <c r="Q2223" s="6">
        <v>0</v>
      </c>
    </row>
    <row r="2224" spans="1:17">
      <c r="A2224">
        <v>2223</v>
      </c>
      <c r="B2224" s="5">
        <v>45883</v>
      </c>
      <c r="C2224" t="s">
        <v>916</v>
      </c>
      <c r="D2224" t="s">
        <v>917</v>
      </c>
      <c r="E2224" t="s">
        <v>918</v>
      </c>
      <c r="F2224">
        <v>12</v>
      </c>
      <c r="G2224" t="s">
        <v>1512</v>
      </c>
      <c r="H2224" t="s">
        <v>929</v>
      </c>
      <c r="I2224" t="s">
        <v>22</v>
      </c>
      <c r="J2224" t="s">
        <v>67</v>
      </c>
      <c r="K2224" t="s">
        <v>34</v>
      </c>
      <c r="L2224" s="6">
        <v>220</v>
      </c>
      <c r="M2224" s="6">
        <v>0</v>
      </c>
      <c r="N2224" s="6">
        <v>-220</v>
      </c>
      <c r="O2224" s="6">
        <v>23501.58</v>
      </c>
      <c r="P2224" s="7">
        <v>0</v>
      </c>
      <c r="Q2224" s="6">
        <v>0</v>
      </c>
    </row>
    <row r="2225" spans="1:17">
      <c r="A2225">
        <v>2224</v>
      </c>
      <c r="B2225" s="5">
        <v>45883</v>
      </c>
      <c r="C2225" t="s">
        <v>916</v>
      </c>
      <c r="D2225" t="s">
        <v>917</v>
      </c>
      <c r="E2225" t="s">
        <v>918</v>
      </c>
      <c r="F2225">
        <v>12</v>
      </c>
      <c r="G2225" t="s">
        <v>1513</v>
      </c>
      <c r="H2225" t="s">
        <v>66</v>
      </c>
      <c r="I2225" t="s">
        <v>22</v>
      </c>
      <c r="J2225" t="s">
        <v>67</v>
      </c>
      <c r="K2225" t="s">
        <v>34</v>
      </c>
      <c r="L2225" s="6">
        <v>6000</v>
      </c>
      <c r="M2225" s="6">
        <v>0</v>
      </c>
      <c r="N2225" s="6">
        <v>-6000</v>
      </c>
      <c r="O2225" s="6">
        <v>17501.580000000002</v>
      </c>
      <c r="P2225" s="7">
        <v>0</v>
      </c>
      <c r="Q2225" s="6">
        <v>0</v>
      </c>
    </row>
    <row r="2226" spans="1:17">
      <c r="A2226">
        <v>2225</v>
      </c>
      <c r="B2226" s="5">
        <v>45883</v>
      </c>
      <c r="C2226" t="s">
        <v>916</v>
      </c>
      <c r="D2226" t="s">
        <v>917</v>
      </c>
      <c r="E2226" t="s">
        <v>918</v>
      </c>
      <c r="F2226">
        <v>12</v>
      </c>
      <c r="G2226" t="s">
        <v>1006</v>
      </c>
      <c r="H2226" t="s">
        <v>1007</v>
      </c>
      <c r="I2226" t="s">
        <v>16</v>
      </c>
      <c r="J2226" t="s">
        <v>52</v>
      </c>
      <c r="K2226" t="s">
        <v>35</v>
      </c>
      <c r="L2226" s="6">
        <v>0</v>
      </c>
      <c r="M2226" s="6">
        <v>50</v>
      </c>
      <c r="N2226" s="6">
        <v>50</v>
      </c>
      <c r="O2226" s="6">
        <v>17551.580000000002</v>
      </c>
      <c r="P2226" s="7">
        <v>0</v>
      </c>
      <c r="Q2226" s="6">
        <v>0</v>
      </c>
    </row>
    <row r="2227" spans="1:17">
      <c r="A2227">
        <v>2226</v>
      </c>
      <c r="B2227" s="5">
        <v>45883</v>
      </c>
      <c r="C2227" t="s">
        <v>916</v>
      </c>
      <c r="D2227" t="s">
        <v>917</v>
      </c>
      <c r="E2227" t="s">
        <v>918</v>
      </c>
      <c r="F2227">
        <v>12</v>
      </c>
      <c r="G2227" t="s">
        <v>1006</v>
      </c>
      <c r="H2227" t="s">
        <v>1007</v>
      </c>
      <c r="I2227" t="s">
        <v>16</v>
      </c>
      <c r="J2227" t="s">
        <v>52</v>
      </c>
      <c r="K2227" t="s">
        <v>35</v>
      </c>
      <c r="L2227" s="6">
        <v>0</v>
      </c>
      <c r="M2227" s="6">
        <v>50</v>
      </c>
      <c r="N2227" s="6">
        <v>50</v>
      </c>
      <c r="O2227" s="6">
        <v>17601.580000000002</v>
      </c>
      <c r="P2227" s="7">
        <v>0</v>
      </c>
      <c r="Q2227" s="6">
        <v>0</v>
      </c>
    </row>
    <row r="2228" spans="1:17">
      <c r="A2228">
        <v>2227</v>
      </c>
      <c r="B2228" s="5">
        <v>45883</v>
      </c>
      <c r="C2228" t="s">
        <v>916</v>
      </c>
      <c r="D2228" t="s">
        <v>917</v>
      </c>
      <c r="E2228" t="s">
        <v>918</v>
      </c>
      <c r="F2228">
        <v>12</v>
      </c>
      <c r="G2228" t="s">
        <v>1004</v>
      </c>
      <c r="H2228" t="s">
        <v>1005</v>
      </c>
      <c r="I2228" t="s">
        <v>16</v>
      </c>
      <c r="J2228" t="s">
        <v>52</v>
      </c>
      <c r="K2228" t="s">
        <v>35</v>
      </c>
      <c r="L2228" s="6">
        <v>0</v>
      </c>
      <c r="M2228" s="6">
        <v>100</v>
      </c>
      <c r="N2228" s="6">
        <v>100</v>
      </c>
      <c r="O2228" s="6">
        <v>17701.580000000002</v>
      </c>
      <c r="P2228" s="7">
        <v>0</v>
      </c>
      <c r="Q2228" s="6">
        <v>0</v>
      </c>
    </row>
    <row r="2229" spans="1:17">
      <c r="A2229">
        <v>2228</v>
      </c>
      <c r="B2229" s="5">
        <v>45883</v>
      </c>
      <c r="C2229" t="s">
        <v>916</v>
      </c>
      <c r="D2229" t="s">
        <v>917</v>
      </c>
      <c r="E2229" t="s">
        <v>918</v>
      </c>
      <c r="F2229">
        <v>12</v>
      </c>
      <c r="G2229" t="s">
        <v>1033</v>
      </c>
      <c r="H2229" t="s">
        <v>1034</v>
      </c>
      <c r="I2229" t="s">
        <v>16</v>
      </c>
      <c r="J2229" t="s">
        <v>52</v>
      </c>
      <c r="K2229" t="s">
        <v>35</v>
      </c>
      <c r="L2229" s="6">
        <v>0</v>
      </c>
      <c r="M2229" s="6">
        <v>100</v>
      </c>
      <c r="N2229" s="6">
        <v>100</v>
      </c>
      <c r="O2229" s="6">
        <v>17801.580000000002</v>
      </c>
      <c r="P2229" s="7">
        <v>0</v>
      </c>
      <c r="Q2229" s="6">
        <v>0</v>
      </c>
    </row>
    <row r="2230" spans="1:17">
      <c r="A2230">
        <v>2229</v>
      </c>
      <c r="B2230" s="5">
        <v>45883</v>
      </c>
      <c r="C2230" t="s">
        <v>916</v>
      </c>
      <c r="D2230" t="s">
        <v>917</v>
      </c>
      <c r="E2230" t="s">
        <v>918</v>
      </c>
      <c r="F2230">
        <v>12</v>
      </c>
      <c r="G2230" t="s">
        <v>1369</v>
      </c>
      <c r="H2230" t="s">
        <v>1370</v>
      </c>
      <c r="I2230" t="s">
        <v>16</v>
      </c>
      <c r="J2230" t="s">
        <v>52</v>
      </c>
      <c r="K2230" t="s">
        <v>35</v>
      </c>
      <c r="L2230" s="6">
        <v>0</v>
      </c>
      <c r="M2230" s="6">
        <v>105</v>
      </c>
      <c r="N2230" s="6">
        <v>105</v>
      </c>
      <c r="O2230" s="6">
        <v>17906.580000000002</v>
      </c>
      <c r="P2230" s="7">
        <v>0</v>
      </c>
      <c r="Q2230" s="6">
        <v>0</v>
      </c>
    </row>
    <row r="2231" spans="1:17">
      <c r="A2231">
        <v>2230</v>
      </c>
      <c r="B2231" s="5">
        <v>45883</v>
      </c>
      <c r="C2231" t="s">
        <v>916</v>
      </c>
      <c r="D2231" t="s">
        <v>917</v>
      </c>
      <c r="E2231" t="s">
        <v>918</v>
      </c>
      <c r="F2231">
        <v>12</v>
      </c>
      <c r="G2231" t="s">
        <v>1033</v>
      </c>
      <c r="H2231" t="s">
        <v>1034</v>
      </c>
      <c r="I2231" t="s">
        <v>16</v>
      </c>
      <c r="J2231" t="s">
        <v>52</v>
      </c>
      <c r="K2231" t="s">
        <v>35</v>
      </c>
      <c r="L2231" s="6">
        <v>0</v>
      </c>
      <c r="M2231" s="6">
        <v>150</v>
      </c>
      <c r="N2231" s="6">
        <v>150</v>
      </c>
      <c r="O2231" s="6">
        <v>18056.580000000002</v>
      </c>
      <c r="P2231" s="7">
        <v>0</v>
      </c>
      <c r="Q2231" s="6">
        <v>0</v>
      </c>
    </row>
    <row r="2232" spans="1:17">
      <c r="A2232">
        <v>2231</v>
      </c>
      <c r="B2232" s="5">
        <v>45883</v>
      </c>
      <c r="C2232" t="s">
        <v>916</v>
      </c>
      <c r="D2232" t="s">
        <v>917</v>
      </c>
      <c r="E2232" t="s">
        <v>918</v>
      </c>
      <c r="F2232">
        <v>12</v>
      </c>
      <c r="G2232" t="s">
        <v>1369</v>
      </c>
      <c r="H2232" t="s">
        <v>1370</v>
      </c>
      <c r="I2232" t="s">
        <v>16</v>
      </c>
      <c r="J2232" t="s">
        <v>52</v>
      </c>
      <c r="K2232" t="s">
        <v>35</v>
      </c>
      <c r="L2232" s="6">
        <v>0</v>
      </c>
      <c r="M2232" s="6">
        <v>176</v>
      </c>
      <c r="N2232" s="6">
        <v>176</v>
      </c>
      <c r="O2232" s="6">
        <v>18232.580000000002</v>
      </c>
      <c r="P2232" s="7">
        <v>0</v>
      </c>
      <c r="Q2232" s="6">
        <v>0</v>
      </c>
    </row>
    <row r="2233" spans="1:17">
      <c r="A2233">
        <v>2232</v>
      </c>
      <c r="B2233" s="5">
        <v>45883</v>
      </c>
      <c r="C2233" t="s">
        <v>916</v>
      </c>
      <c r="D2233" t="s">
        <v>917</v>
      </c>
      <c r="E2233" t="s">
        <v>918</v>
      </c>
      <c r="F2233">
        <v>12</v>
      </c>
      <c r="G2233" t="s">
        <v>1147</v>
      </c>
      <c r="H2233" t="s">
        <v>1148</v>
      </c>
      <c r="I2233" t="s">
        <v>16</v>
      </c>
      <c r="J2233" t="s">
        <v>52</v>
      </c>
      <c r="K2233" t="s">
        <v>35</v>
      </c>
      <c r="L2233" s="6">
        <v>0</v>
      </c>
      <c r="M2233" s="6">
        <v>500</v>
      </c>
      <c r="N2233" s="6">
        <v>500</v>
      </c>
      <c r="O2233" s="6">
        <v>18732.580000000002</v>
      </c>
      <c r="P2233" s="7">
        <v>0</v>
      </c>
      <c r="Q2233" s="6">
        <v>0</v>
      </c>
    </row>
    <row r="2234" spans="1:17">
      <c r="A2234">
        <v>2233</v>
      </c>
      <c r="B2234" s="5">
        <v>45883</v>
      </c>
      <c r="C2234" t="s">
        <v>916</v>
      </c>
      <c r="D2234" t="s">
        <v>917</v>
      </c>
      <c r="E2234" t="s">
        <v>918</v>
      </c>
      <c r="F2234">
        <v>12</v>
      </c>
      <c r="G2234" t="s">
        <v>1012</v>
      </c>
      <c r="H2234" t="s">
        <v>1013</v>
      </c>
      <c r="I2234" t="s">
        <v>16</v>
      </c>
      <c r="J2234" t="s">
        <v>52</v>
      </c>
      <c r="K2234" t="s">
        <v>35</v>
      </c>
      <c r="L2234" s="6">
        <v>0</v>
      </c>
      <c r="M2234" s="6">
        <v>500</v>
      </c>
      <c r="N2234" s="6">
        <v>500</v>
      </c>
      <c r="O2234" s="6">
        <v>19232.580000000002</v>
      </c>
      <c r="P2234" s="7">
        <v>0</v>
      </c>
      <c r="Q2234" s="6">
        <v>0</v>
      </c>
    </row>
    <row r="2235" spans="1:17">
      <c r="A2235">
        <v>2234</v>
      </c>
      <c r="B2235" s="5">
        <v>45883</v>
      </c>
      <c r="C2235" t="s">
        <v>916</v>
      </c>
      <c r="D2235" t="s">
        <v>917</v>
      </c>
      <c r="E2235" t="s">
        <v>918</v>
      </c>
      <c r="F2235">
        <v>12</v>
      </c>
      <c r="G2235" t="s">
        <v>1306</v>
      </c>
      <c r="H2235" t="s">
        <v>1307</v>
      </c>
      <c r="I2235" t="s">
        <v>16</v>
      </c>
      <c r="J2235" t="s">
        <v>52</v>
      </c>
      <c r="K2235" t="s">
        <v>35</v>
      </c>
      <c r="L2235" s="6">
        <v>0</v>
      </c>
      <c r="M2235" s="6">
        <v>750</v>
      </c>
      <c r="N2235" s="6">
        <v>750</v>
      </c>
      <c r="O2235" s="6">
        <v>19982.580000000002</v>
      </c>
      <c r="P2235" s="7">
        <v>0</v>
      </c>
      <c r="Q2235" s="6">
        <v>0</v>
      </c>
    </row>
    <row r="2236" spans="1:17">
      <c r="A2236">
        <v>2235</v>
      </c>
      <c r="B2236" s="5">
        <v>45883</v>
      </c>
      <c r="C2236" t="s">
        <v>916</v>
      </c>
      <c r="D2236" t="s">
        <v>917</v>
      </c>
      <c r="E2236" t="s">
        <v>918</v>
      </c>
      <c r="F2236">
        <v>12</v>
      </c>
      <c r="G2236" t="s">
        <v>1022</v>
      </c>
      <c r="H2236" t="s">
        <v>1023</v>
      </c>
      <c r="I2236" t="s">
        <v>16</v>
      </c>
      <c r="J2236" t="s">
        <v>52</v>
      </c>
      <c r="K2236" t="s">
        <v>35</v>
      </c>
      <c r="L2236" s="6">
        <v>0</v>
      </c>
      <c r="M2236" s="6">
        <v>1000</v>
      </c>
      <c r="N2236" s="6">
        <v>1000</v>
      </c>
      <c r="O2236" s="6">
        <v>20982.58</v>
      </c>
      <c r="P2236" s="7">
        <v>0</v>
      </c>
      <c r="Q2236" s="6">
        <v>0</v>
      </c>
    </row>
    <row r="2237" spans="1:17">
      <c r="A2237">
        <v>2236</v>
      </c>
      <c r="B2237" s="5">
        <v>45883</v>
      </c>
      <c r="C2237" t="s">
        <v>916</v>
      </c>
      <c r="D2237" t="s">
        <v>917</v>
      </c>
      <c r="E2237" t="s">
        <v>918</v>
      </c>
      <c r="F2237">
        <v>12</v>
      </c>
      <c r="G2237" t="s">
        <v>1514</v>
      </c>
      <c r="I2237" t="s">
        <v>16</v>
      </c>
      <c r="J2237" t="s">
        <v>52</v>
      </c>
      <c r="K2237" t="s">
        <v>35</v>
      </c>
      <c r="L2237" s="6">
        <v>0</v>
      </c>
      <c r="M2237" s="6">
        <v>16660</v>
      </c>
      <c r="N2237" s="6">
        <v>16660</v>
      </c>
      <c r="O2237" s="6">
        <v>37642.58</v>
      </c>
      <c r="P2237" s="7">
        <v>0</v>
      </c>
      <c r="Q2237" s="6">
        <v>0</v>
      </c>
    </row>
    <row r="2238" spans="1:17">
      <c r="A2238">
        <v>2237</v>
      </c>
      <c r="B2238" s="5">
        <v>45883</v>
      </c>
      <c r="C2238" t="s">
        <v>916</v>
      </c>
      <c r="D2238" t="s">
        <v>917</v>
      </c>
      <c r="E2238" t="s">
        <v>918</v>
      </c>
      <c r="F2238">
        <v>12</v>
      </c>
      <c r="G2238" t="s">
        <v>1515</v>
      </c>
      <c r="H2238" t="s">
        <v>1516</v>
      </c>
      <c r="I2238" t="s">
        <v>18</v>
      </c>
      <c r="J2238" t="s">
        <v>345</v>
      </c>
      <c r="K2238" t="s">
        <v>34</v>
      </c>
      <c r="L2238" s="6">
        <v>1300</v>
      </c>
      <c r="M2238" s="6">
        <v>0</v>
      </c>
      <c r="N2238" s="6">
        <v>-1300</v>
      </c>
      <c r="O2238" s="6">
        <v>36342.58</v>
      </c>
      <c r="P2238" s="7">
        <v>0</v>
      </c>
      <c r="Q2238" s="6">
        <v>0</v>
      </c>
    </row>
    <row r="2239" spans="1:17">
      <c r="A2239">
        <v>2238</v>
      </c>
      <c r="B2239" s="5">
        <v>45883</v>
      </c>
      <c r="C2239" t="s">
        <v>916</v>
      </c>
      <c r="D2239" t="s">
        <v>917</v>
      </c>
      <c r="E2239" t="s">
        <v>918</v>
      </c>
      <c r="F2239">
        <v>13</v>
      </c>
      <c r="G2239" t="s">
        <v>346</v>
      </c>
      <c r="I2239" t="s">
        <v>14</v>
      </c>
      <c r="J2239" t="s">
        <v>46</v>
      </c>
      <c r="K2239" t="s">
        <v>34</v>
      </c>
      <c r="L2239" s="6">
        <v>40</v>
      </c>
      <c r="M2239" s="6">
        <v>0</v>
      </c>
      <c r="N2239" s="6">
        <v>-40</v>
      </c>
      <c r="O2239" s="6">
        <v>36302.58</v>
      </c>
      <c r="P2239" s="7">
        <v>0.15</v>
      </c>
      <c r="Q2239" s="6">
        <v>5.22</v>
      </c>
    </row>
    <row r="2240" spans="1:17">
      <c r="A2240">
        <v>2239</v>
      </c>
      <c r="B2240" s="5">
        <v>45884</v>
      </c>
      <c r="C2240" t="s">
        <v>916</v>
      </c>
      <c r="D2240" t="s">
        <v>917</v>
      </c>
      <c r="E2240" t="s">
        <v>918</v>
      </c>
      <c r="F2240">
        <v>13</v>
      </c>
      <c r="G2240" t="s">
        <v>1517</v>
      </c>
      <c r="H2240" t="s">
        <v>1518</v>
      </c>
      <c r="I2240" t="s">
        <v>16</v>
      </c>
      <c r="J2240" t="s">
        <v>52</v>
      </c>
      <c r="K2240" t="s">
        <v>35</v>
      </c>
      <c r="L2240" s="6">
        <v>0</v>
      </c>
      <c r="M2240" s="6">
        <v>200</v>
      </c>
      <c r="N2240" s="6">
        <v>200</v>
      </c>
      <c r="O2240" s="6">
        <v>36502.58</v>
      </c>
      <c r="P2240" s="7">
        <v>0</v>
      </c>
      <c r="Q2240" s="6">
        <v>0</v>
      </c>
    </row>
    <row r="2241" spans="1:17">
      <c r="A2241">
        <v>2240</v>
      </c>
      <c r="B2241" s="5">
        <v>45884</v>
      </c>
      <c r="C2241" t="s">
        <v>916</v>
      </c>
      <c r="D2241" t="s">
        <v>917</v>
      </c>
      <c r="E2241" t="s">
        <v>918</v>
      </c>
      <c r="F2241">
        <v>13</v>
      </c>
      <c r="G2241" t="s">
        <v>1519</v>
      </c>
      <c r="H2241" t="s">
        <v>66</v>
      </c>
      <c r="I2241" t="s">
        <v>22</v>
      </c>
      <c r="J2241" t="s">
        <v>67</v>
      </c>
      <c r="K2241" t="s">
        <v>34</v>
      </c>
      <c r="L2241" s="6">
        <v>2556.5100000000002</v>
      </c>
      <c r="M2241" s="6">
        <v>0</v>
      </c>
      <c r="N2241" s="6">
        <v>-2556.5100000000002</v>
      </c>
      <c r="O2241" s="6">
        <v>33946.07</v>
      </c>
      <c r="P2241" s="7">
        <v>0</v>
      </c>
      <c r="Q2241" s="6">
        <v>0</v>
      </c>
    </row>
    <row r="2242" spans="1:17">
      <c r="A2242">
        <v>2241</v>
      </c>
      <c r="B2242" s="5">
        <v>45884</v>
      </c>
      <c r="C2242" t="s">
        <v>916</v>
      </c>
      <c r="D2242" t="s">
        <v>917</v>
      </c>
      <c r="E2242" t="s">
        <v>918</v>
      </c>
      <c r="F2242">
        <v>13</v>
      </c>
      <c r="G2242" t="s">
        <v>1520</v>
      </c>
      <c r="H2242" t="s">
        <v>929</v>
      </c>
      <c r="I2242" t="s">
        <v>22</v>
      </c>
      <c r="J2242" t="s">
        <v>67</v>
      </c>
      <c r="K2242" t="s">
        <v>34</v>
      </c>
      <c r="L2242" s="6">
        <v>310</v>
      </c>
      <c r="M2242" s="6">
        <v>0</v>
      </c>
      <c r="N2242" s="6">
        <v>-310</v>
      </c>
      <c r="O2242" s="6">
        <v>33636.07</v>
      </c>
      <c r="P2242" s="7">
        <v>0</v>
      </c>
      <c r="Q2242" s="6">
        <v>0</v>
      </c>
    </row>
    <row r="2243" spans="1:17">
      <c r="A2243">
        <v>2242</v>
      </c>
      <c r="B2243" s="5">
        <v>45884</v>
      </c>
      <c r="C2243" t="s">
        <v>916</v>
      </c>
      <c r="D2243" t="s">
        <v>917</v>
      </c>
      <c r="E2243" t="s">
        <v>918</v>
      </c>
      <c r="F2243">
        <v>13</v>
      </c>
      <c r="G2243" t="s">
        <v>1521</v>
      </c>
      <c r="H2243" t="s">
        <v>66</v>
      </c>
      <c r="I2243" t="s">
        <v>22</v>
      </c>
      <c r="J2243" t="s">
        <v>67</v>
      </c>
      <c r="K2243" t="s">
        <v>34</v>
      </c>
      <c r="L2243" s="6">
        <v>200</v>
      </c>
      <c r="M2243" s="6">
        <v>0</v>
      </c>
      <c r="N2243" s="6">
        <v>-200</v>
      </c>
      <c r="O2243" s="6">
        <v>33436.07</v>
      </c>
      <c r="P2243" s="7">
        <v>0</v>
      </c>
      <c r="Q2243" s="6">
        <v>0</v>
      </c>
    </row>
    <row r="2244" spans="1:17">
      <c r="A2244">
        <v>2243</v>
      </c>
      <c r="B2244" s="5">
        <v>45884</v>
      </c>
      <c r="C2244" t="s">
        <v>916</v>
      </c>
      <c r="D2244" t="s">
        <v>917</v>
      </c>
      <c r="E2244" t="s">
        <v>918</v>
      </c>
      <c r="F2244">
        <v>13</v>
      </c>
      <c r="G2244" t="s">
        <v>1522</v>
      </c>
      <c r="H2244" t="s">
        <v>929</v>
      </c>
      <c r="I2244" t="s">
        <v>22</v>
      </c>
      <c r="J2244" t="s">
        <v>67</v>
      </c>
      <c r="K2244" t="s">
        <v>34</v>
      </c>
      <c r="L2244" s="6">
        <v>240</v>
      </c>
      <c r="M2244" s="6">
        <v>0</v>
      </c>
      <c r="N2244" s="6">
        <v>-240</v>
      </c>
      <c r="O2244" s="6">
        <v>33196.07</v>
      </c>
      <c r="P2244" s="7">
        <v>0</v>
      </c>
      <c r="Q2244" s="6">
        <v>0</v>
      </c>
    </row>
    <row r="2245" spans="1:17">
      <c r="A2245">
        <v>2244</v>
      </c>
      <c r="B2245" s="5">
        <v>45884</v>
      </c>
      <c r="C2245" t="s">
        <v>916</v>
      </c>
      <c r="D2245" t="s">
        <v>917</v>
      </c>
      <c r="E2245" t="s">
        <v>918</v>
      </c>
      <c r="F2245">
        <v>13</v>
      </c>
      <c r="G2245" t="s">
        <v>1523</v>
      </c>
      <c r="H2245" t="s">
        <v>66</v>
      </c>
      <c r="I2245" t="s">
        <v>22</v>
      </c>
      <c r="J2245" t="s">
        <v>67</v>
      </c>
      <c r="K2245" t="s">
        <v>34</v>
      </c>
      <c r="L2245" s="6">
        <v>120</v>
      </c>
      <c r="M2245" s="6">
        <v>0</v>
      </c>
      <c r="N2245" s="6">
        <v>-120</v>
      </c>
      <c r="O2245" s="6">
        <v>33076.07</v>
      </c>
      <c r="P2245" s="7">
        <v>0</v>
      </c>
      <c r="Q2245" s="6">
        <v>0</v>
      </c>
    </row>
    <row r="2246" spans="1:17">
      <c r="A2246">
        <v>2245</v>
      </c>
      <c r="B2246" s="5">
        <v>45884</v>
      </c>
      <c r="C2246" t="s">
        <v>916</v>
      </c>
      <c r="D2246" t="s">
        <v>917</v>
      </c>
      <c r="E2246" t="s">
        <v>918</v>
      </c>
      <c r="F2246">
        <v>13</v>
      </c>
      <c r="G2246" t="s">
        <v>1524</v>
      </c>
      <c r="H2246" t="s">
        <v>66</v>
      </c>
      <c r="I2246" t="s">
        <v>22</v>
      </c>
      <c r="J2246" t="s">
        <v>67</v>
      </c>
      <c r="K2246" t="s">
        <v>34</v>
      </c>
      <c r="L2246" s="6">
        <v>26932</v>
      </c>
      <c r="M2246" s="6">
        <v>0</v>
      </c>
      <c r="N2246" s="6">
        <v>-26932</v>
      </c>
      <c r="O2246" s="6">
        <v>6144.07</v>
      </c>
      <c r="P2246" s="7">
        <v>0</v>
      </c>
      <c r="Q2246" s="6">
        <v>0</v>
      </c>
    </row>
    <row r="2247" spans="1:17">
      <c r="A2247">
        <v>2246</v>
      </c>
      <c r="B2247" s="5">
        <v>45884</v>
      </c>
      <c r="C2247" t="s">
        <v>916</v>
      </c>
      <c r="D2247" t="s">
        <v>917</v>
      </c>
      <c r="E2247" t="s">
        <v>918</v>
      </c>
      <c r="F2247">
        <v>13</v>
      </c>
      <c r="G2247" t="s">
        <v>1525</v>
      </c>
      <c r="I2247" t="s">
        <v>15</v>
      </c>
      <c r="J2247" t="s">
        <v>52</v>
      </c>
      <c r="K2247" t="s">
        <v>35</v>
      </c>
      <c r="L2247" s="6">
        <v>0</v>
      </c>
      <c r="M2247" s="6">
        <v>21112</v>
      </c>
      <c r="N2247" s="6">
        <v>21112</v>
      </c>
      <c r="O2247" s="6">
        <v>27256.07</v>
      </c>
      <c r="P2247" s="7">
        <v>0</v>
      </c>
      <c r="Q2247" s="6">
        <v>0</v>
      </c>
    </row>
    <row r="2248" spans="1:17">
      <c r="A2248">
        <v>2247</v>
      </c>
      <c r="B2248" s="5">
        <v>45884</v>
      </c>
      <c r="C2248" t="s">
        <v>916</v>
      </c>
      <c r="D2248" t="s">
        <v>917</v>
      </c>
      <c r="E2248" t="s">
        <v>918</v>
      </c>
      <c r="F2248">
        <v>13</v>
      </c>
      <c r="G2248" t="s">
        <v>1526</v>
      </c>
      <c r="I2248" t="s">
        <v>17</v>
      </c>
      <c r="J2248" t="s">
        <v>64</v>
      </c>
      <c r="K2248" t="s">
        <v>35</v>
      </c>
      <c r="L2248" s="6">
        <v>0</v>
      </c>
      <c r="M2248" s="6">
        <v>50000</v>
      </c>
      <c r="N2248" s="6">
        <v>50000</v>
      </c>
      <c r="O2248" s="6">
        <v>77256.070000000007</v>
      </c>
      <c r="P2248" s="7">
        <v>0</v>
      </c>
      <c r="Q2248" s="6">
        <v>0</v>
      </c>
    </row>
    <row r="2249" spans="1:17">
      <c r="A2249">
        <v>2248</v>
      </c>
      <c r="B2249" s="5">
        <v>45884</v>
      </c>
      <c r="C2249" t="s">
        <v>916</v>
      </c>
      <c r="D2249" t="s">
        <v>917</v>
      </c>
      <c r="E2249" t="s">
        <v>918</v>
      </c>
      <c r="F2249">
        <v>13</v>
      </c>
      <c r="G2249" t="s">
        <v>1527</v>
      </c>
      <c r="H2249" t="s">
        <v>929</v>
      </c>
      <c r="I2249" t="s">
        <v>22</v>
      </c>
      <c r="J2249" t="s">
        <v>67</v>
      </c>
      <c r="K2249" t="s">
        <v>34</v>
      </c>
      <c r="L2249" s="6">
        <v>80</v>
      </c>
      <c r="M2249" s="6">
        <v>0</v>
      </c>
      <c r="N2249" s="6">
        <v>-80</v>
      </c>
      <c r="O2249" s="6">
        <v>77176.070000000007</v>
      </c>
      <c r="P2249" s="7">
        <v>0</v>
      </c>
      <c r="Q2249" s="6">
        <v>0</v>
      </c>
    </row>
    <row r="2250" spans="1:17">
      <c r="A2250">
        <v>2249</v>
      </c>
      <c r="B2250" s="5">
        <v>45884</v>
      </c>
      <c r="C2250" t="s">
        <v>916</v>
      </c>
      <c r="D2250" t="s">
        <v>917</v>
      </c>
      <c r="E2250" t="s">
        <v>918</v>
      </c>
      <c r="F2250">
        <v>13</v>
      </c>
      <c r="G2250" t="s">
        <v>1528</v>
      </c>
      <c r="H2250" t="s">
        <v>929</v>
      </c>
      <c r="I2250" t="s">
        <v>22</v>
      </c>
      <c r="J2250" t="s">
        <v>67</v>
      </c>
      <c r="K2250" t="s">
        <v>34</v>
      </c>
      <c r="L2250" s="6">
        <v>73</v>
      </c>
      <c r="M2250" s="6">
        <v>0</v>
      </c>
      <c r="N2250" s="6">
        <v>-73</v>
      </c>
      <c r="O2250" s="6">
        <v>77103.070000000007</v>
      </c>
      <c r="P2250" s="7">
        <v>0</v>
      </c>
      <c r="Q2250" s="6">
        <v>0</v>
      </c>
    </row>
    <row r="2251" spans="1:17">
      <c r="A2251">
        <v>2250</v>
      </c>
      <c r="B2251" s="5">
        <v>45884</v>
      </c>
      <c r="C2251" t="s">
        <v>916</v>
      </c>
      <c r="D2251" t="s">
        <v>917</v>
      </c>
      <c r="E2251" t="s">
        <v>918</v>
      </c>
      <c r="F2251">
        <v>13</v>
      </c>
      <c r="G2251" t="s">
        <v>1529</v>
      </c>
      <c r="H2251" t="s">
        <v>66</v>
      </c>
      <c r="I2251" t="s">
        <v>22</v>
      </c>
      <c r="J2251" t="s">
        <v>67</v>
      </c>
      <c r="K2251" t="s">
        <v>34</v>
      </c>
      <c r="L2251" s="6">
        <v>250.52</v>
      </c>
      <c r="M2251" s="6">
        <v>0</v>
      </c>
      <c r="N2251" s="6">
        <v>-250.52</v>
      </c>
      <c r="O2251" s="6">
        <v>76852.55</v>
      </c>
      <c r="P2251" s="7">
        <v>0</v>
      </c>
      <c r="Q2251" s="6">
        <v>0</v>
      </c>
    </row>
    <row r="2252" spans="1:17">
      <c r="A2252">
        <v>2251</v>
      </c>
      <c r="B2252" s="5">
        <v>45884</v>
      </c>
      <c r="C2252" t="s">
        <v>916</v>
      </c>
      <c r="D2252" t="s">
        <v>917</v>
      </c>
      <c r="E2252" t="s">
        <v>918</v>
      </c>
      <c r="F2252">
        <v>13</v>
      </c>
      <c r="G2252" t="s">
        <v>1530</v>
      </c>
      <c r="H2252" t="s">
        <v>929</v>
      </c>
      <c r="I2252" t="s">
        <v>22</v>
      </c>
      <c r="J2252" t="s">
        <v>67</v>
      </c>
      <c r="K2252" t="s">
        <v>34</v>
      </c>
      <c r="L2252" s="6">
        <v>157.97</v>
      </c>
      <c r="M2252" s="6">
        <v>0</v>
      </c>
      <c r="N2252" s="6">
        <v>-157.97</v>
      </c>
      <c r="O2252" s="6">
        <v>76694.58</v>
      </c>
      <c r="P2252" s="7">
        <v>0</v>
      </c>
      <c r="Q2252" s="6">
        <v>0</v>
      </c>
    </row>
    <row r="2253" spans="1:17">
      <c r="A2253">
        <v>2252</v>
      </c>
      <c r="B2253" s="5">
        <v>45884</v>
      </c>
      <c r="C2253" t="s">
        <v>916</v>
      </c>
      <c r="D2253" t="s">
        <v>917</v>
      </c>
      <c r="E2253" t="s">
        <v>918</v>
      </c>
      <c r="F2253">
        <v>13</v>
      </c>
      <c r="G2253" t="s">
        <v>1531</v>
      </c>
      <c r="H2253" t="s">
        <v>929</v>
      </c>
      <c r="I2253" t="s">
        <v>22</v>
      </c>
      <c r="J2253" t="s">
        <v>67</v>
      </c>
      <c r="K2253" t="s">
        <v>34</v>
      </c>
      <c r="L2253" s="6">
        <v>14000</v>
      </c>
      <c r="M2253" s="6">
        <v>0</v>
      </c>
      <c r="N2253" s="6">
        <v>-14000</v>
      </c>
      <c r="O2253" s="6">
        <v>62694.58</v>
      </c>
      <c r="P2253" s="7">
        <v>0</v>
      </c>
      <c r="Q2253" s="6">
        <v>0</v>
      </c>
    </row>
    <row r="2254" spans="1:17">
      <c r="A2254">
        <v>2253</v>
      </c>
      <c r="B2254" s="5">
        <v>45884</v>
      </c>
      <c r="C2254" t="s">
        <v>916</v>
      </c>
      <c r="D2254" t="s">
        <v>917</v>
      </c>
      <c r="E2254" t="s">
        <v>918</v>
      </c>
      <c r="F2254">
        <v>13</v>
      </c>
      <c r="G2254" t="s">
        <v>1532</v>
      </c>
      <c r="H2254" t="s">
        <v>929</v>
      </c>
      <c r="I2254" t="s">
        <v>22</v>
      </c>
      <c r="J2254" t="s">
        <v>67</v>
      </c>
      <c r="K2254" t="s">
        <v>34</v>
      </c>
      <c r="L2254" s="6">
        <v>7295.3</v>
      </c>
      <c r="M2254" s="6">
        <v>0</v>
      </c>
      <c r="N2254" s="6">
        <v>-7295.3</v>
      </c>
      <c r="O2254" s="6">
        <v>55399.28</v>
      </c>
      <c r="P2254" s="7">
        <v>0</v>
      </c>
      <c r="Q2254" s="6">
        <v>0</v>
      </c>
    </row>
    <row r="2255" spans="1:17">
      <c r="A2255">
        <v>2254</v>
      </c>
      <c r="B2255" s="5">
        <v>45884</v>
      </c>
      <c r="C2255" t="s">
        <v>916</v>
      </c>
      <c r="D2255" t="s">
        <v>917</v>
      </c>
      <c r="E2255" t="s">
        <v>918</v>
      </c>
      <c r="F2255">
        <v>13</v>
      </c>
      <c r="G2255" t="s">
        <v>1533</v>
      </c>
      <c r="H2255" t="s">
        <v>66</v>
      </c>
      <c r="I2255" t="s">
        <v>22</v>
      </c>
      <c r="J2255" t="s">
        <v>67</v>
      </c>
      <c r="K2255" t="s">
        <v>34</v>
      </c>
      <c r="L2255" s="6">
        <v>50000</v>
      </c>
      <c r="M2255" s="6">
        <v>0</v>
      </c>
      <c r="N2255" s="6">
        <v>-50000</v>
      </c>
      <c r="O2255" s="6">
        <v>5399.28</v>
      </c>
      <c r="P2255" s="7">
        <v>0</v>
      </c>
      <c r="Q2255" s="6">
        <v>0</v>
      </c>
    </row>
    <row r="2256" spans="1:17">
      <c r="A2256">
        <v>2255</v>
      </c>
      <c r="B2256" s="5">
        <v>45884</v>
      </c>
      <c r="C2256" t="s">
        <v>916</v>
      </c>
      <c r="D2256" t="s">
        <v>917</v>
      </c>
      <c r="E2256" t="s">
        <v>918</v>
      </c>
      <c r="F2256">
        <v>13</v>
      </c>
      <c r="G2256" t="s">
        <v>900</v>
      </c>
      <c r="I2256" t="s">
        <v>16</v>
      </c>
      <c r="J2256" t="s">
        <v>52</v>
      </c>
      <c r="K2256" t="s">
        <v>35</v>
      </c>
      <c r="L2256" s="6">
        <v>0</v>
      </c>
      <c r="M2256" s="6">
        <v>1930.24</v>
      </c>
      <c r="N2256" s="6">
        <v>1930.24</v>
      </c>
      <c r="O2256" s="6">
        <v>7329.52</v>
      </c>
      <c r="P2256" s="7">
        <v>0</v>
      </c>
      <c r="Q2256" s="6">
        <v>0</v>
      </c>
    </row>
    <row r="2257" spans="1:17">
      <c r="A2257">
        <v>2256</v>
      </c>
      <c r="B2257" s="5">
        <v>45884</v>
      </c>
      <c r="C2257" t="s">
        <v>916</v>
      </c>
      <c r="D2257" t="s">
        <v>917</v>
      </c>
      <c r="E2257" t="s">
        <v>918</v>
      </c>
      <c r="F2257">
        <v>13</v>
      </c>
      <c r="G2257" t="s">
        <v>1534</v>
      </c>
      <c r="H2257" t="s">
        <v>66</v>
      </c>
      <c r="I2257" t="s">
        <v>22</v>
      </c>
      <c r="J2257" t="s">
        <v>67</v>
      </c>
      <c r="K2257" t="s">
        <v>34</v>
      </c>
      <c r="L2257" s="6">
        <v>500</v>
      </c>
      <c r="M2257" s="6">
        <v>0</v>
      </c>
      <c r="N2257" s="6">
        <v>-500</v>
      </c>
      <c r="O2257" s="6">
        <v>6829.52</v>
      </c>
      <c r="P2257" s="7">
        <v>0</v>
      </c>
      <c r="Q2257" s="6">
        <v>0</v>
      </c>
    </row>
    <row r="2258" spans="1:17">
      <c r="A2258">
        <v>2257</v>
      </c>
      <c r="B2258" s="5">
        <v>45884</v>
      </c>
      <c r="C2258" t="s">
        <v>916</v>
      </c>
      <c r="D2258" t="s">
        <v>917</v>
      </c>
      <c r="E2258" t="s">
        <v>918</v>
      </c>
      <c r="F2258">
        <v>13</v>
      </c>
      <c r="G2258" t="s">
        <v>1535</v>
      </c>
      <c r="H2258" t="s">
        <v>66</v>
      </c>
      <c r="I2258" t="s">
        <v>22</v>
      </c>
      <c r="J2258" t="s">
        <v>67</v>
      </c>
      <c r="K2258" t="s">
        <v>34</v>
      </c>
      <c r="L2258" s="6">
        <v>600</v>
      </c>
      <c r="M2258" s="6">
        <v>0</v>
      </c>
      <c r="N2258" s="6">
        <v>-600</v>
      </c>
      <c r="O2258" s="6">
        <v>6229.52</v>
      </c>
      <c r="P2258" s="7">
        <v>0</v>
      </c>
      <c r="Q2258" s="6">
        <v>0</v>
      </c>
    </row>
    <row r="2259" spans="1:17">
      <c r="A2259">
        <v>2258</v>
      </c>
      <c r="B2259" s="5">
        <v>45884</v>
      </c>
      <c r="C2259" t="s">
        <v>916</v>
      </c>
      <c r="D2259" t="s">
        <v>917</v>
      </c>
      <c r="E2259" t="s">
        <v>918</v>
      </c>
      <c r="F2259">
        <v>13</v>
      </c>
      <c r="G2259" t="s">
        <v>1536</v>
      </c>
      <c r="H2259" t="s">
        <v>929</v>
      </c>
      <c r="I2259" t="s">
        <v>22</v>
      </c>
      <c r="J2259" t="s">
        <v>67</v>
      </c>
      <c r="K2259" t="s">
        <v>34</v>
      </c>
      <c r="L2259" s="6">
        <v>619.37</v>
      </c>
      <c r="M2259" s="6">
        <v>0</v>
      </c>
      <c r="N2259" s="6">
        <v>-619.37</v>
      </c>
      <c r="O2259" s="6">
        <v>5610.15</v>
      </c>
      <c r="P2259" s="7">
        <v>0</v>
      </c>
      <c r="Q2259" s="6">
        <v>0</v>
      </c>
    </row>
    <row r="2260" spans="1:17">
      <c r="A2260">
        <v>2259</v>
      </c>
      <c r="B2260" s="5">
        <v>45884</v>
      </c>
      <c r="C2260" t="s">
        <v>916</v>
      </c>
      <c r="D2260" t="s">
        <v>917</v>
      </c>
      <c r="E2260" t="s">
        <v>918</v>
      </c>
      <c r="F2260">
        <v>13</v>
      </c>
      <c r="G2260" t="s">
        <v>1537</v>
      </c>
      <c r="H2260" t="s">
        <v>66</v>
      </c>
      <c r="I2260" t="s">
        <v>22</v>
      </c>
      <c r="J2260" t="s">
        <v>67</v>
      </c>
      <c r="K2260" t="s">
        <v>34</v>
      </c>
      <c r="L2260" s="6">
        <v>750</v>
      </c>
      <c r="M2260" s="6">
        <v>0</v>
      </c>
      <c r="N2260" s="6">
        <v>-750</v>
      </c>
      <c r="O2260" s="6">
        <v>4860.1499999999996</v>
      </c>
      <c r="P2260" s="7">
        <v>0</v>
      </c>
      <c r="Q2260" s="6">
        <v>0</v>
      </c>
    </row>
    <row r="2261" spans="1:17">
      <c r="A2261">
        <v>2260</v>
      </c>
      <c r="B2261" s="5">
        <v>45884</v>
      </c>
      <c r="C2261" t="s">
        <v>916</v>
      </c>
      <c r="D2261" t="s">
        <v>917</v>
      </c>
      <c r="E2261" t="s">
        <v>918</v>
      </c>
      <c r="F2261">
        <v>13</v>
      </c>
      <c r="G2261" t="s">
        <v>1538</v>
      </c>
      <c r="H2261" t="s">
        <v>929</v>
      </c>
      <c r="I2261" t="s">
        <v>22</v>
      </c>
      <c r="J2261" t="s">
        <v>67</v>
      </c>
      <c r="K2261" t="s">
        <v>34</v>
      </c>
      <c r="L2261" s="6">
        <v>22</v>
      </c>
      <c r="M2261" s="6">
        <v>0</v>
      </c>
      <c r="N2261" s="6">
        <v>-22</v>
      </c>
      <c r="O2261" s="6">
        <v>4838.1499999999996</v>
      </c>
      <c r="P2261" s="7">
        <v>0</v>
      </c>
      <c r="Q2261" s="6">
        <v>0</v>
      </c>
    </row>
    <row r="2262" spans="1:17">
      <c r="A2262">
        <v>2261</v>
      </c>
      <c r="B2262" s="5">
        <v>45884</v>
      </c>
      <c r="C2262" t="s">
        <v>916</v>
      </c>
      <c r="D2262" t="s">
        <v>917</v>
      </c>
      <c r="E2262" t="s">
        <v>918</v>
      </c>
      <c r="F2262">
        <v>13</v>
      </c>
      <c r="G2262" t="s">
        <v>1539</v>
      </c>
      <c r="H2262" t="s">
        <v>929</v>
      </c>
      <c r="I2262" t="s">
        <v>22</v>
      </c>
      <c r="J2262" t="s">
        <v>67</v>
      </c>
      <c r="K2262" t="s">
        <v>34</v>
      </c>
      <c r="L2262" s="6">
        <v>20</v>
      </c>
      <c r="M2262" s="6">
        <v>0</v>
      </c>
      <c r="N2262" s="6">
        <v>-20</v>
      </c>
      <c r="O2262" s="6">
        <v>4818.1499999999996</v>
      </c>
      <c r="P2262" s="7">
        <v>0</v>
      </c>
      <c r="Q2262" s="6">
        <v>0</v>
      </c>
    </row>
    <row r="2263" spans="1:17">
      <c r="A2263">
        <v>2262</v>
      </c>
      <c r="B2263" s="5">
        <v>45884</v>
      </c>
      <c r="C2263" t="s">
        <v>916</v>
      </c>
      <c r="D2263" t="s">
        <v>917</v>
      </c>
      <c r="E2263" t="s">
        <v>918</v>
      </c>
      <c r="F2263">
        <v>13</v>
      </c>
      <c r="G2263" t="s">
        <v>1540</v>
      </c>
      <c r="H2263" t="s">
        <v>929</v>
      </c>
      <c r="I2263" t="s">
        <v>22</v>
      </c>
      <c r="J2263" t="s">
        <v>67</v>
      </c>
      <c r="K2263" t="s">
        <v>34</v>
      </c>
      <c r="L2263" s="6">
        <v>124.16</v>
      </c>
      <c r="M2263" s="6">
        <v>0</v>
      </c>
      <c r="N2263" s="6">
        <v>-124.16</v>
      </c>
      <c r="O2263" s="6">
        <v>4693.99</v>
      </c>
      <c r="P2263" s="7">
        <v>0</v>
      </c>
      <c r="Q2263" s="6">
        <v>0</v>
      </c>
    </row>
    <row r="2264" spans="1:17">
      <c r="A2264">
        <v>2263</v>
      </c>
      <c r="B2264" s="5">
        <v>45884</v>
      </c>
      <c r="C2264" t="s">
        <v>916</v>
      </c>
      <c r="D2264" t="s">
        <v>917</v>
      </c>
      <c r="E2264" t="s">
        <v>918</v>
      </c>
      <c r="F2264">
        <v>13</v>
      </c>
      <c r="G2264" t="s">
        <v>1541</v>
      </c>
      <c r="H2264" t="s">
        <v>66</v>
      </c>
      <c r="I2264" t="s">
        <v>22</v>
      </c>
      <c r="J2264" t="s">
        <v>67</v>
      </c>
      <c r="K2264" t="s">
        <v>34</v>
      </c>
      <c r="L2264" s="6">
        <v>82.59</v>
      </c>
      <c r="M2264" s="6">
        <v>0</v>
      </c>
      <c r="N2264" s="6">
        <v>-82.59</v>
      </c>
      <c r="O2264" s="6">
        <v>4611.3999999999996</v>
      </c>
      <c r="P2264" s="7">
        <v>0</v>
      </c>
      <c r="Q2264" s="6">
        <v>0</v>
      </c>
    </row>
    <row r="2265" spans="1:17">
      <c r="A2265">
        <v>2264</v>
      </c>
      <c r="B2265" s="5">
        <v>45884</v>
      </c>
      <c r="C2265" t="s">
        <v>916</v>
      </c>
      <c r="D2265" t="s">
        <v>917</v>
      </c>
      <c r="E2265" t="s">
        <v>918</v>
      </c>
      <c r="F2265">
        <v>13</v>
      </c>
      <c r="G2265" t="s">
        <v>1542</v>
      </c>
      <c r="H2265" t="s">
        <v>1543</v>
      </c>
      <c r="I2265" t="s">
        <v>18</v>
      </c>
      <c r="J2265" t="s">
        <v>345</v>
      </c>
      <c r="K2265" t="s">
        <v>34</v>
      </c>
      <c r="L2265" s="6">
        <v>98</v>
      </c>
      <c r="M2265" s="6">
        <v>0</v>
      </c>
      <c r="N2265" s="6">
        <v>-98</v>
      </c>
      <c r="O2265" s="6">
        <v>4513.3999999999996</v>
      </c>
      <c r="P2265" s="7">
        <v>0</v>
      </c>
      <c r="Q2265" s="6">
        <v>0</v>
      </c>
    </row>
    <row r="2266" spans="1:17">
      <c r="A2266">
        <v>2265</v>
      </c>
      <c r="B2266" s="5">
        <v>45884</v>
      </c>
      <c r="C2266" t="s">
        <v>916</v>
      </c>
      <c r="D2266" t="s">
        <v>917</v>
      </c>
      <c r="E2266" t="s">
        <v>918</v>
      </c>
      <c r="F2266">
        <v>13</v>
      </c>
      <c r="G2266" t="s">
        <v>346</v>
      </c>
      <c r="I2266" t="s">
        <v>14</v>
      </c>
      <c r="J2266" t="s">
        <v>46</v>
      </c>
      <c r="K2266" t="s">
        <v>34</v>
      </c>
      <c r="L2266" s="6">
        <v>40</v>
      </c>
      <c r="M2266" s="6">
        <v>0</v>
      </c>
      <c r="N2266" s="6">
        <v>-40</v>
      </c>
      <c r="O2266" s="6">
        <v>4473.3999999999996</v>
      </c>
      <c r="P2266" s="7">
        <v>0.15</v>
      </c>
      <c r="Q2266" s="6">
        <v>5.22</v>
      </c>
    </row>
    <row r="2267" spans="1:17">
      <c r="A2267">
        <v>2266</v>
      </c>
      <c r="B2267" s="5">
        <v>45884</v>
      </c>
      <c r="C2267" t="s">
        <v>916</v>
      </c>
      <c r="D2267" t="s">
        <v>917</v>
      </c>
      <c r="E2267" t="s">
        <v>918</v>
      </c>
      <c r="F2267">
        <v>13</v>
      </c>
      <c r="G2267" t="s">
        <v>1029</v>
      </c>
      <c r="H2267" t="s">
        <v>1030</v>
      </c>
      <c r="I2267" t="s">
        <v>16</v>
      </c>
      <c r="J2267" t="s">
        <v>52</v>
      </c>
      <c r="K2267" t="s">
        <v>35</v>
      </c>
      <c r="L2267" s="6">
        <v>0</v>
      </c>
      <c r="M2267" s="6">
        <v>100</v>
      </c>
      <c r="N2267" s="6">
        <v>100</v>
      </c>
      <c r="O2267" s="6">
        <v>4573.3999999999996</v>
      </c>
      <c r="P2267" s="7">
        <v>0</v>
      </c>
      <c r="Q2267" s="6">
        <v>0</v>
      </c>
    </row>
    <row r="2268" spans="1:17">
      <c r="A2268">
        <v>2267</v>
      </c>
      <c r="B2268" s="5">
        <v>45884</v>
      </c>
      <c r="C2268" t="s">
        <v>916</v>
      </c>
      <c r="D2268" t="s">
        <v>917</v>
      </c>
      <c r="E2268" t="s">
        <v>918</v>
      </c>
      <c r="F2268">
        <v>13</v>
      </c>
      <c r="G2268" t="s">
        <v>1544</v>
      </c>
      <c r="H2268" t="s">
        <v>1545</v>
      </c>
      <c r="I2268" t="s">
        <v>16</v>
      </c>
      <c r="J2268" t="s">
        <v>52</v>
      </c>
      <c r="K2268" t="s">
        <v>35</v>
      </c>
      <c r="L2268" s="6">
        <v>0</v>
      </c>
      <c r="M2268" s="6">
        <v>150</v>
      </c>
      <c r="N2268" s="6">
        <v>150</v>
      </c>
      <c r="O2268" s="6">
        <v>4723.3999999999996</v>
      </c>
      <c r="P2268" s="7">
        <v>0</v>
      </c>
      <c r="Q2268" s="6">
        <v>0</v>
      </c>
    </row>
    <row r="2269" spans="1:17">
      <c r="A2269">
        <v>2268</v>
      </c>
      <c r="B2269" s="5">
        <v>45884</v>
      </c>
      <c r="C2269" t="s">
        <v>916</v>
      </c>
      <c r="D2269" t="s">
        <v>917</v>
      </c>
      <c r="E2269" t="s">
        <v>918</v>
      </c>
      <c r="F2269">
        <v>13</v>
      </c>
      <c r="G2269" t="s">
        <v>1546</v>
      </c>
      <c r="H2269" t="s">
        <v>1547</v>
      </c>
      <c r="I2269" t="s">
        <v>16</v>
      </c>
      <c r="J2269" t="s">
        <v>52</v>
      </c>
      <c r="K2269" t="s">
        <v>35</v>
      </c>
      <c r="L2269" s="6">
        <v>0</v>
      </c>
      <c r="M2269" s="6">
        <v>150</v>
      </c>
      <c r="N2269" s="6">
        <v>150</v>
      </c>
      <c r="O2269" s="6">
        <v>4873.3999999999996</v>
      </c>
      <c r="P2269" s="7">
        <v>0</v>
      </c>
      <c r="Q2269" s="6">
        <v>0</v>
      </c>
    </row>
    <row r="2270" spans="1:17">
      <c r="A2270">
        <v>2269</v>
      </c>
      <c r="B2270" s="5">
        <v>45884</v>
      </c>
      <c r="C2270" t="s">
        <v>916</v>
      </c>
      <c r="D2270" t="s">
        <v>917</v>
      </c>
      <c r="E2270" t="s">
        <v>918</v>
      </c>
      <c r="F2270">
        <v>13</v>
      </c>
      <c r="G2270" t="s">
        <v>1306</v>
      </c>
      <c r="H2270" t="s">
        <v>1307</v>
      </c>
      <c r="I2270" t="s">
        <v>16</v>
      </c>
      <c r="J2270" t="s">
        <v>52</v>
      </c>
      <c r="K2270" t="s">
        <v>35</v>
      </c>
      <c r="L2270" s="6">
        <v>0</v>
      </c>
      <c r="M2270" s="6">
        <v>700</v>
      </c>
      <c r="N2270" s="6">
        <v>700</v>
      </c>
      <c r="O2270" s="6">
        <v>5573.4</v>
      </c>
      <c r="P2270" s="7">
        <v>0</v>
      </c>
      <c r="Q2270" s="6">
        <v>0</v>
      </c>
    </row>
    <row r="2271" spans="1:17">
      <c r="A2271">
        <v>2270</v>
      </c>
      <c r="B2271" s="5">
        <v>45884</v>
      </c>
      <c r="C2271" t="s">
        <v>916</v>
      </c>
      <c r="D2271" t="s">
        <v>917</v>
      </c>
      <c r="E2271" t="s">
        <v>918</v>
      </c>
      <c r="F2271">
        <v>13</v>
      </c>
      <c r="G2271" t="s">
        <v>1306</v>
      </c>
      <c r="H2271" t="s">
        <v>1307</v>
      </c>
      <c r="I2271" t="s">
        <v>16</v>
      </c>
      <c r="J2271" t="s">
        <v>52</v>
      </c>
      <c r="K2271" t="s">
        <v>35</v>
      </c>
      <c r="L2271" s="6">
        <v>0</v>
      </c>
      <c r="M2271" s="6">
        <v>750</v>
      </c>
      <c r="N2271" s="6">
        <v>750</v>
      </c>
      <c r="O2271" s="6">
        <v>6323.4</v>
      </c>
      <c r="P2271" s="7">
        <v>0</v>
      </c>
      <c r="Q2271" s="6">
        <v>0</v>
      </c>
    </row>
    <row r="2272" spans="1:17">
      <c r="A2272">
        <v>2271</v>
      </c>
      <c r="B2272" s="5">
        <v>45884</v>
      </c>
      <c r="C2272" t="s">
        <v>916</v>
      </c>
      <c r="D2272" t="s">
        <v>917</v>
      </c>
      <c r="E2272" t="s">
        <v>918</v>
      </c>
      <c r="F2272">
        <v>13</v>
      </c>
      <c r="G2272" t="s">
        <v>1147</v>
      </c>
      <c r="H2272" t="s">
        <v>1148</v>
      </c>
      <c r="I2272" t="s">
        <v>16</v>
      </c>
      <c r="J2272" t="s">
        <v>52</v>
      </c>
      <c r="K2272" t="s">
        <v>35</v>
      </c>
      <c r="L2272" s="6">
        <v>0</v>
      </c>
      <c r="M2272" s="6">
        <v>2000</v>
      </c>
      <c r="N2272" s="6">
        <v>2000</v>
      </c>
      <c r="O2272" s="6">
        <v>8323.4</v>
      </c>
      <c r="P2272" s="7">
        <v>0</v>
      </c>
      <c r="Q2272" s="6">
        <v>0</v>
      </c>
    </row>
    <row r="2273" spans="1:17">
      <c r="A2273">
        <v>2272</v>
      </c>
      <c r="B2273" s="5">
        <v>45884</v>
      </c>
      <c r="C2273" t="s">
        <v>916</v>
      </c>
      <c r="D2273" t="s">
        <v>917</v>
      </c>
      <c r="E2273" t="s">
        <v>918</v>
      </c>
      <c r="F2273">
        <v>13</v>
      </c>
      <c r="G2273" t="s">
        <v>1548</v>
      </c>
      <c r="I2273" t="s">
        <v>16</v>
      </c>
      <c r="J2273" t="s">
        <v>52</v>
      </c>
      <c r="K2273" t="s">
        <v>35</v>
      </c>
      <c r="L2273" s="6">
        <v>0</v>
      </c>
      <c r="M2273" s="6">
        <v>26713</v>
      </c>
      <c r="N2273" s="6">
        <v>26713</v>
      </c>
      <c r="O2273" s="6">
        <v>35036.400000000001</v>
      </c>
      <c r="P2273" s="7">
        <v>0</v>
      </c>
      <c r="Q2273" s="6">
        <v>0</v>
      </c>
    </row>
    <row r="2274" spans="1:17">
      <c r="A2274">
        <v>2273</v>
      </c>
      <c r="B2274" s="5">
        <v>45884</v>
      </c>
      <c r="C2274" t="s">
        <v>916</v>
      </c>
      <c r="D2274" t="s">
        <v>917</v>
      </c>
      <c r="E2274" t="s">
        <v>918</v>
      </c>
      <c r="F2274">
        <v>13</v>
      </c>
      <c r="G2274" t="s">
        <v>1549</v>
      </c>
      <c r="H2274" t="s">
        <v>1550</v>
      </c>
      <c r="I2274" t="s">
        <v>18</v>
      </c>
      <c r="J2274" t="s">
        <v>345</v>
      </c>
      <c r="K2274" t="s">
        <v>34</v>
      </c>
      <c r="L2274" s="6">
        <v>2400</v>
      </c>
      <c r="M2274" s="6">
        <v>0</v>
      </c>
      <c r="N2274" s="6">
        <v>-2400</v>
      </c>
      <c r="O2274" s="6">
        <v>32636.400000000001</v>
      </c>
      <c r="P2274" s="7">
        <v>0</v>
      </c>
      <c r="Q2274" s="6">
        <v>0</v>
      </c>
    </row>
    <row r="2275" spans="1:17">
      <c r="A2275">
        <v>2274</v>
      </c>
      <c r="B2275" s="5">
        <v>45884</v>
      </c>
      <c r="C2275" t="s">
        <v>916</v>
      </c>
      <c r="D2275" t="s">
        <v>917</v>
      </c>
      <c r="E2275" t="s">
        <v>918</v>
      </c>
      <c r="F2275">
        <v>13</v>
      </c>
      <c r="G2275" t="s">
        <v>346</v>
      </c>
      <c r="I2275" t="s">
        <v>14</v>
      </c>
      <c r="J2275" t="s">
        <v>46</v>
      </c>
      <c r="K2275" t="s">
        <v>34</v>
      </c>
      <c r="L2275" s="6">
        <v>40</v>
      </c>
      <c r="M2275" s="6">
        <v>0</v>
      </c>
      <c r="N2275" s="6">
        <v>-40</v>
      </c>
      <c r="O2275" s="6">
        <v>32596.400000000001</v>
      </c>
      <c r="P2275" s="7">
        <v>0.15</v>
      </c>
      <c r="Q2275" s="6">
        <v>5.22</v>
      </c>
    </row>
    <row r="2276" spans="1:17">
      <c r="A2276">
        <v>2275</v>
      </c>
      <c r="B2276" s="5">
        <v>45885</v>
      </c>
      <c r="C2276" t="s">
        <v>916</v>
      </c>
      <c r="D2276" t="s">
        <v>917</v>
      </c>
      <c r="E2276" t="s">
        <v>918</v>
      </c>
      <c r="F2276">
        <v>13</v>
      </c>
      <c r="G2276" t="s">
        <v>1526</v>
      </c>
      <c r="I2276" t="s">
        <v>17</v>
      </c>
      <c r="J2276" t="s">
        <v>64</v>
      </c>
      <c r="K2276" t="s">
        <v>35</v>
      </c>
      <c r="L2276" s="6">
        <v>0</v>
      </c>
      <c r="M2276" s="6">
        <v>8000</v>
      </c>
      <c r="N2276" s="6">
        <v>8000</v>
      </c>
      <c r="O2276" s="6">
        <v>40596.400000000001</v>
      </c>
      <c r="P2276" s="7">
        <v>0</v>
      </c>
      <c r="Q2276" s="6">
        <v>0</v>
      </c>
    </row>
    <row r="2277" spans="1:17">
      <c r="A2277">
        <v>2276</v>
      </c>
      <c r="B2277" s="5">
        <v>45885</v>
      </c>
      <c r="C2277" t="s">
        <v>916</v>
      </c>
      <c r="D2277" t="s">
        <v>917</v>
      </c>
      <c r="E2277" t="s">
        <v>918</v>
      </c>
      <c r="F2277">
        <v>13</v>
      </c>
      <c r="G2277" t="s">
        <v>1551</v>
      </c>
      <c r="H2277" t="s">
        <v>929</v>
      </c>
      <c r="I2277" t="s">
        <v>22</v>
      </c>
      <c r="J2277" t="s">
        <v>67</v>
      </c>
      <c r="K2277" t="s">
        <v>34</v>
      </c>
      <c r="L2277" s="6">
        <v>25000</v>
      </c>
      <c r="M2277" s="6">
        <v>0</v>
      </c>
      <c r="N2277" s="6">
        <v>-25000</v>
      </c>
      <c r="O2277" s="6">
        <v>15596.4</v>
      </c>
      <c r="P2277" s="7">
        <v>0</v>
      </c>
      <c r="Q2277" s="6">
        <v>0</v>
      </c>
    </row>
    <row r="2278" spans="1:17">
      <c r="A2278">
        <v>2277</v>
      </c>
      <c r="B2278" s="5">
        <v>45885</v>
      </c>
      <c r="C2278" t="s">
        <v>916</v>
      </c>
      <c r="D2278" t="s">
        <v>917</v>
      </c>
      <c r="E2278" t="s">
        <v>918</v>
      </c>
      <c r="F2278">
        <v>13</v>
      </c>
      <c r="G2278" t="s">
        <v>1552</v>
      </c>
      <c r="H2278" t="s">
        <v>929</v>
      </c>
      <c r="I2278" t="s">
        <v>22</v>
      </c>
      <c r="J2278" t="s">
        <v>67</v>
      </c>
      <c r="K2278" t="s">
        <v>34</v>
      </c>
      <c r="L2278" s="6">
        <v>150</v>
      </c>
      <c r="M2278" s="6">
        <v>0</v>
      </c>
      <c r="N2278" s="6">
        <v>-150</v>
      </c>
      <c r="O2278" s="6">
        <v>15446.4</v>
      </c>
      <c r="P2278" s="7">
        <v>0</v>
      </c>
      <c r="Q2278" s="6">
        <v>0</v>
      </c>
    </row>
    <row r="2279" spans="1:17">
      <c r="A2279">
        <v>2278</v>
      </c>
      <c r="B2279" s="5">
        <v>45885</v>
      </c>
      <c r="C2279" t="s">
        <v>916</v>
      </c>
      <c r="D2279" t="s">
        <v>917</v>
      </c>
      <c r="E2279" t="s">
        <v>918</v>
      </c>
      <c r="F2279">
        <v>13</v>
      </c>
      <c r="G2279" t="s">
        <v>1553</v>
      </c>
      <c r="H2279" t="s">
        <v>66</v>
      </c>
      <c r="I2279" t="s">
        <v>22</v>
      </c>
      <c r="J2279" t="s">
        <v>67</v>
      </c>
      <c r="K2279" t="s">
        <v>34</v>
      </c>
      <c r="L2279" s="6">
        <v>398</v>
      </c>
      <c r="M2279" s="6">
        <v>0</v>
      </c>
      <c r="N2279" s="6">
        <v>-398</v>
      </c>
      <c r="O2279" s="6">
        <v>15048.4</v>
      </c>
      <c r="P2279" s="7">
        <v>0</v>
      </c>
      <c r="Q2279" s="6">
        <v>0</v>
      </c>
    </row>
    <row r="2280" spans="1:17">
      <c r="A2280">
        <v>2279</v>
      </c>
      <c r="B2280" s="5">
        <v>45885</v>
      </c>
      <c r="C2280" t="s">
        <v>916</v>
      </c>
      <c r="D2280" t="s">
        <v>917</v>
      </c>
      <c r="E2280" t="s">
        <v>918</v>
      </c>
      <c r="F2280">
        <v>13</v>
      </c>
      <c r="G2280" t="s">
        <v>1554</v>
      </c>
      <c r="H2280" t="s">
        <v>66</v>
      </c>
      <c r="I2280" t="s">
        <v>22</v>
      </c>
      <c r="J2280" t="s">
        <v>67</v>
      </c>
      <c r="K2280" t="s">
        <v>34</v>
      </c>
      <c r="L2280" s="6">
        <v>755.06</v>
      </c>
      <c r="M2280" s="6">
        <v>0</v>
      </c>
      <c r="N2280" s="6">
        <v>-755.06</v>
      </c>
      <c r="O2280" s="6">
        <v>14293.34</v>
      </c>
      <c r="P2280" s="7">
        <v>0</v>
      </c>
      <c r="Q2280" s="6">
        <v>0</v>
      </c>
    </row>
    <row r="2281" spans="1:17">
      <c r="A2281">
        <v>2280</v>
      </c>
      <c r="B2281" s="5">
        <v>45885</v>
      </c>
      <c r="C2281" t="s">
        <v>916</v>
      </c>
      <c r="D2281" t="s">
        <v>917</v>
      </c>
      <c r="E2281" t="s">
        <v>918</v>
      </c>
      <c r="F2281">
        <v>13</v>
      </c>
      <c r="G2281" t="s">
        <v>1555</v>
      </c>
      <c r="H2281" t="s">
        <v>66</v>
      </c>
      <c r="I2281" t="s">
        <v>22</v>
      </c>
      <c r="J2281" t="s">
        <v>67</v>
      </c>
      <c r="K2281" t="s">
        <v>34</v>
      </c>
      <c r="L2281" s="6">
        <v>851.55</v>
      </c>
      <c r="M2281" s="6">
        <v>0</v>
      </c>
      <c r="N2281" s="6">
        <v>-851.55</v>
      </c>
      <c r="O2281" s="6">
        <v>13441.79</v>
      </c>
      <c r="P2281" s="7">
        <v>0</v>
      </c>
      <c r="Q2281" s="6">
        <v>0</v>
      </c>
    </row>
    <row r="2282" spans="1:17">
      <c r="A2282">
        <v>2281</v>
      </c>
      <c r="B2282" s="5">
        <v>45885</v>
      </c>
      <c r="C2282" t="s">
        <v>916</v>
      </c>
      <c r="D2282" t="s">
        <v>917</v>
      </c>
      <c r="E2282" t="s">
        <v>918</v>
      </c>
      <c r="F2282">
        <v>13</v>
      </c>
      <c r="G2282" t="s">
        <v>1556</v>
      </c>
      <c r="H2282" t="s">
        <v>66</v>
      </c>
      <c r="I2282" t="s">
        <v>22</v>
      </c>
      <c r="J2282" t="s">
        <v>67</v>
      </c>
      <c r="K2282" t="s">
        <v>34</v>
      </c>
      <c r="L2282" s="6">
        <v>1082</v>
      </c>
      <c r="M2282" s="6">
        <v>0</v>
      </c>
      <c r="N2282" s="6">
        <v>-1082</v>
      </c>
      <c r="O2282" s="6">
        <v>12359.79</v>
      </c>
      <c r="P2282" s="7">
        <v>0</v>
      </c>
      <c r="Q2282" s="6">
        <v>0</v>
      </c>
    </row>
    <row r="2283" spans="1:17">
      <c r="A2283">
        <v>2282</v>
      </c>
      <c r="B2283" s="5">
        <v>45885</v>
      </c>
      <c r="C2283" t="s">
        <v>916</v>
      </c>
      <c r="D2283" t="s">
        <v>917</v>
      </c>
      <c r="E2283" t="s">
        <v>918</v>
      </c>
      <c r="F2283">
        <v>13</v>
      </c>
      <c r="G2283" t="s">
        <v>1557</v>
      </c>
      <c r="H2283" t="s">
        <v>929</v>
      </c>
      <c r="I2283" t="s">
        <v>22</v>
      </c>
      <c r="J2283" t="s">
        <v>67</v>
      </c>
      <c r="K2283" t="s">
        <v>34</v>
      </c>
      <c r="L2283" s="6">
        <v>2000</v>
      </c>
      <c r="M2283" s="6">
        <v>0</v>
      </c>
      <c r="N2283" s="6">
        <v>-2000</v>
      </c>
      <c r="O2283" s="6">
        <v>10359.790000000001</v>
      </c>
      <c r="P2283" s="7">
        <v>0</v>
      </c>
      <c r="Q2283" s="6">
        <v>0</v>
      </c>
    </row>
    <row r="2284" spans="1:17">
      <c r="A2284">
        <v>2283</v>
      </c>
      <c r="B2284" s="5">
        <v>45885</v>
      </c>
      <c r="C2284" t="s">
        <v>916</v>
      </c>
      <c r="D2284" t="s">
        <v>917</v>
      </c>
      <c r="E2284" t="s">
        <v>918</v>
      </c>
      <c r="F2284">
        <v>13</v>
      </c>
      <c r="G2284" t="s">
        <v>1558</v>
      </c>
      <c r="H2284" t="s">
        <v>66</v>
      </c>
      <c r="I2284" t="s">
        <v>22</v>
      </c>
      <c r="J2284" t="s">
        <v>67</v>
      </c>
      <c r="K2284" t="s">
        <v>34</v>
      </c>
      <c r="L2284" s="6">
        <v>2000</v>
      </c>
      <c r="M2284" s="6">
        <v>0</v>
      </c>
      <c r="N2284" s="6">
        <v>-2000</v>
      </c>
      <c r="O2284" s="6">
        <v>8359.7900000000009</v>
      </c>
      <c r="P2284" s="7">
        <v>0</v>
      </c>
      <c r="Q2284" s="6">
        <v>0</v>
      </c>
    </row>
    <row r="2285" spans="1:17">
      <c r="A2285">
        <v>2284</v>
      </c>
      <c r="B2285" s="5">
        <v>45885</v>
      </c>
      <c r="C2285" t="s">
        <v>916</v>
      </c>
      <c r="D2285" t="s">
        <v>917</v>
      </c>
      <c r="E2285" t="s">
        <v>918</v>
      </c>
      <c r="F2285">
        <v>13</v>
      </c>
      <c r="G2285" t="s">
        <v>1559</v>
      </c>
      <c r="H2285" t="s">
        <v>929</v>
      </c>
      <c r="I2285" t="s">
        <v>22</v>
      </c>
      <c r="J2285" t="s">
        <v>67</v>
      </c>
      <c r="K2285" t="s">
        <v>34</v>
      </c>
      <c r="L2285" s="6">
        <v>3821.54</v>
      </c>
      <c r="M2285" s="6">
        <v>0</v>
      </c>
      <c r="N2285" s="6">
        <v>-3821.54</v>
      </c>
      <c r="O2285" s="6">
        <v>4538.25</v>
      </c>
      <c r="P2285" s="7">
        <v>0</v>
      </c>
      <c r="Q2285" s="6">
        <v>0</v>
      </c>
    </row>
    <row r="2286" spans="1:17">
      <c r="A2286">
        <v>2285</v>
      </c>
      <c r="B2286" s="5">
        <v>45885</v>
      </c>
      <c r="C2286" t="s">
        <v>916</v>
      </c>
      <c r="D2286" t="s">
        <v>917</v>
      </c>
      <c r="E2286" t="s">
        <v>918</v>
      </c>
      <c r="F2286">
        <v>13</v>
      </c>
      <c r="G2286" t="s">
        <v>1560</v>
      </c>
      <c r="I2286" t="s">
        <v>16</v>
      </c>
      <c r="J2286" t="s">
        <v>52</v>
      </c>
      <c r="K2286" t="s">
        <v>35</v>
      </c>
      <c r="L2286" s="6">
        <v>0</v>
      </c>
      <c r="M2286" s="6">
        <v>7262</v>
      </c>
      <c r="N2286" s="6">
        <v>7262</v>
      </c>
      <c r="O2286" s="6">
        <v>11800.25</v>
      </c>
      <c r="P2286" s="7">
        <v>0</v>
      </c>
      <c r="Q2286" s="6">
        <v>0</v>
      </c>
    </row>
    <row r="2287" spans="1:17">
      <c r="A2287">
        <v>2286</v>
      </c>
      <c r="B2287" s="5">
        <v>45887</v>
      </c>
      <c r="C2287" t="s">
        <v>916</v>
      </c>
      <c r="D2287" t="s">
        <v>917</v>
      </c>
      <c r="E2287" t="s">
        <v>918</v>
      </c>
      <c r="F2287">
        <v>13</v>
      </c>
      <c r="G2287" t="s">
        <v>1561</v>
      </c>
      <c r="H2287" t="s">
        <v>66</v>
      </c>
      <c r="I2287" t="s">
        <v>22</v>
      </c>
      <c r="J2287" t="s">
        <v>67</v>
      </c>
      <c r="K2287" t="s">
        <v>34</v>
      </c>
      <c r="L2287" s="6">
        <v>23.81</v>
      </c>
      <c r="M2287" s="6">
        <v>0</v>
      </c>
      <c r="N2287" s="6">
        <v>-23.81</v>
      </c>
      <c r="O2287" s="6">
        <v>11776.44</v>
      </c>
      <c r="P2287" s="7">
        <v>0</v>
      </c>
      <c r="Q2287" s="6">
        <v>0</v>
      </c>
    </row>
    <row r="2288" spans="1:17">
      <c r="A2288">
        <v>2287</v>
      </c>
      <c r="B2288" s="5">
        <v>45887</v>
      </c>
      <c r="C2288" t="s">
        <v>916</v>
      </c>
      <c r="D2288" t="s">
        <v>917</v>
      </c>
      <c r="E2288" t="s">
        <v>918</v>
      </c>
      <c r="F2288">
        <v>13</v>
      </c>
      <c r="G2288" t="s">
        <v>1562</v>
      </c>
      <c r="H2288" t="s">
        <v>66</v>
      </c>
      <c r="I2288" t="s">
        <v>22</v>
      </c>
      <c r="J2288" t="s">
        <v>67</v>
      </c>
      <c r="K2288" t="s">
        <v>34</v>
      </c>
      <c r="L2288" s="6">
        <v>70</v>
      </c>
      <c r="M2288" s="6">
        <v>0</v>
      </c>
      <c r="N2288" s="6">
        <v>-70</v>
      </c>
      <c r="O2288" s="6">
        <v>11706.44</v>
      </c>
      <c r="P2288" s="7">
        <v>0</v>
      </c>
      <c r="Q2288" s="6">
        <v>0</v>
      </c>
    </row>
    <row r="2289" spans="1:17">
      <c r="A2289">
        <v>2288</v>
      </c>
      <c r="B2289" s="5">
        <v>45887</v>
      </c>
      <c r="C2289" t="s">
        <v>916</v>
      </c>
      <c r="D2289" t="s">
        <v>917</v>
      </c>
      <c r="E2289" t="s">
        <v>918</v>
      </c>
      <c r="F2289">
        <v>14</v>
      </c>
      <c r="G2289" t="s">
        <v>1563</v>
      </c>
      <c r="H2289" t="s">
        <v>929</v>
      </c>
      <c r="I2289" t="s">
        <v>22</v>
      </c>
      <c r="J2289" t="s">
        <v>67</v>
      </c>
      <c r="K2289" t="s">
        <v>34</v>
      </c>
      <c r="L2289" s="6">
        <v>100</v>
      </c>
      <c r="M2289" s="6">
        <v>0</v>
      </c>
      <c r="N2289" s="6">
        <v>-100</v>
      </c>
      <c r="O2289" s="6">
        <v>11606.44</v>
      </c>
      <c r="P2289" s="7">
        <v>0</v>
      </c>
      <c r="Q2289" s="6">
        <v>0</v>
      </c>
    </row>
    <row r="2290" spans="1:17">
      <c r="A2290">
        <v>2289</v>
      </c>
      <c r="B2290" s="5">
        <v>45887</v>
      </c>
      <c r="C2290" t="s">
        <v>916</v>
      </c>
      <c r="D2290" t="s">
        <v>917</v>
      </c>
      <c r="E2290" t="s">
        <v>918</v>
      </c>
      <c r="F2290">
        <v>14</v>
      </c>
      <c r="G2290" t="s">
        <v>1564</v>
      </c>
      <c r="H2290" t="s">
        <v>66</v>
      </c>
      <c r="I2290" t="s">
        <v>22</v>
      </c>
      <c r="J2290" t="s">
        <v>67</v>
      </c>
      <c r="K2290" t="s">
        <v>34</v>
      </c>
      <c r="L2290" s="6">
        <v>2975</v>
      </c>
      <c r="M2290" s="6">
        <v>0</v>
      </c>
      <c r="N2290" s="6">
        <v>-2975</v>
      </c>
      <c r="O2290" s="6">
        <v>8631.44</v>
      </c>
      <c r="P2290" s="7">
        <v>0</v>
      </c>
      <c r="Q2290" s="6">
        <v>0</v>
      </c>
    </row>
    <row r="2291" spans="1:17">
      <c r="A2291">
        <v>2290</v>
      </c>
      <c r="B2291" s="5">
        <v>45887</v>
      </c>
      <c r="C2291" t="s">
        <v>916</v>
      </c>
      <c r="D2291" t="s">
        <v>917</v>
      </c>
      <c r="E2291" t="s">
        <v>918</v>
      </c>
      <c r="F2291">
        <v>14</v>
      </c>
      <c r="G2291" t="s">
        <v>1565</v>
      </c>
      <c r="H2291" t="s">
        <v>66</v>
      </c>
      <c r="I2291" t="s">
        <v>22</v>
      </c>
      <c r="J2291" t="s">
        <v>67</v>
      </c>
      <c r="K2291" t="s">
        <v>34</v>
      </c>
      <c r="L2291" s="6">
        <v>60</v>
      </c>
      <c r="M2291" s="6">
        <v>0</v>
      </c>
      <c r="N2291" s="6">
        <v>-60</v>
      </c>
      <c r="O2291" s="6">
        <v>8571.44</v>
      </c>
      <c r="P2291" s="7">
        <v>0</v>
      </c>
      <c r="Q2291" s="6">
        <v>0</v>
      </c>
    </row>
    <row r="2292" spans="1:17">
      <c r="A2292">
        <v>2291</v>
      </c>
      <c r="B2292" s="5">
        <v>45887</v>
      </c>
      <c r="C2292" t="s">
        <v>916</v>
      </c>
      <c r="D2292" t="s">
        <v>917</v>
      </c>
      <c r="E2292" t="s">
        <v>918</v>
      </c>
      <c r="F2292">
        <v>14</v>
      </c>
      <c r="G2292" t="s">
        <v>1566</v>
      </c>
      <c r="H2292" t="s">
        <v>66</v>
      </c>
      <c r="I2292" t="s">
        <v>22</v>
      </c>
      <c r="J2292" t="s">
        <v>67</v>
      </c>
      <c r="K2292" t="s">
        <v>34</v>
      </c>
      <c r="L2292" s="6">
        <v>85</v>
      </c>
      <c r="M2292" s="6">
        <v>0</v>
      </c>
      <c r="N2292" s="6">
        <v>-85</v>
      </c>
      <c r="O2292" s="6">
        <v>8486.44</v>
      </c>
      <c r="P2292" s="7">
        <v>0</v>
      </c>
      <c r="Q2292" s="6">
        <v>0</v>
      </c>
    </row>
    <row r="2293" spans="1:17">
      <c r="A2293">
        <v>2292</v>
      </c>
      <c r="B2293" s="5">
        <v>45887</v>
      </c>
      <c r="C2293" t="s">
        <v>916</v>
      </c>
      <c r="D2293" t="s">
        <v>917</v>
      </c>
      <c r="E2293" t="s">
        <v>918</v>
      </c>
      <c r="F2293">
        <v>14</v>
      </c>
      <c r="G2293" t="s">
        <v>1567</v>
      </c>
      <c r="H2293" t="s">
        <v>66</v>
      </c>
      <c r="I2293" t="s">
        <v>22</v>
      </c>
      <c r="J2293" t="s">
        <v>67</v>
      </c>
      <c r="K2293" t="s">
        <v>34</v>
      </c>
      <c r="L2293" s="6">
        <v>300</v>
      </c>
      <c r="M2293" s="6">
        <v>0</v>
      </c>
      <c r="N2293" s="6">
        <v>-300</v>
      </c>
      <c r="O2293" s="6">
        <v>8186.44</v>
      </c>
      <c r="P2293" s="7">
        <v>0</v>
      </c>
      <c r="Q2293" s="6">
        <v>0</v>
      </c>
    </row>
    <row r="2294" spans="1:17">
      <c r="A2294">
        <v>2293</v>
      </c>
      <c r="B2294" s="5">
        <v>45887</v>
      </c>
      <c r="C2294" t="s">
        <v>916</v>
      </c>
      <c r="D2294" t="s">
        <v>917</v>
      </c>
      <c r="E2294" t="s">
        <v>918</v>
      </c>
      <c r="F2294">
        <v>14</v>
      </c>
      <c r="G2294" t="s">
        <v>1568</v>
      </c>
      <c r="H2294" t="s">
        <v>929</v>
      </c>
      <c r="I2294" t="s">
        <v>22</v>
      </c>
      <c r="J2294" t="s">
        <v>67</v>
      </c>
      <c r="K2294" t="s">
        <v>34</v>
      </c>
      <c r="L2294" s="6">
        <v>127.54</v>
      </c>
      <c r="M2294" s="6">
        <v>0</v>
      </c>
      <c r="N2294" s="6">
        <v>-127.54</v>
      </c>
      <c r="O2294" s="6">
        <v>8058.9</v>
      </c>
      <c r="P2294" s="7">
        <v>0</v>
      </c>
      <c r="Q2294" s="6">
        <v>0</v>
      </c>
    </row>
    <row r="2295" spans="1:17">
      <c r="A2295">
        <v>2294</v>
      </c>
      <c r="B2295" s="5">
        <v>45887</v>
      </c>
      <c r="C2295" t="s">
        <v>916</v>
      </c>
      <c r="D2295" t="s">
        <v>917</v>
      </c>
      <c r="E2295" t="s">
        <v>918</v>
      </c>
      <c r="F2295">
        <v>14</v>
      </c>
      <c r="G2295" t="s">
        <v>1569</v>
      </c>
      <c r="H2295" t="s">
        <v>66</v>
      </c>
      <c r="I2295" t="s">
        <v>22</v>
      </c>
      <c r="J2295" t="s">
        <v>67</v>
      </c>
      <c r="K2295" t="s">
        <v>34</v>
      </c>
      <c r="L2295" s="6">
        <v>150.06</v>
      </c>
      <c r="M2295" s="6">
        <v>0</v>
      </c>
      <c r="N2295" s="6">
        <v>-150.06</v>
      </c>
      <c r="O2295" s="6">
        <v>7908.84</v>
      </c>
      <c r="P2295" s="7">
        <v>0</v>
      </c>
      <c r="Q2295" s="6">
        <v>0</v>
      </c>
    </row>
    <row r="2296" spans="1:17">
      <c r="A2296">
        <v>2295</v>
      </c>
      <c r="B2296" s="5">
        <v>45887</v>
      </c>
      <c r="C2296" t="s">
        <v>916</v>
      </c>
      <c r="D2296" t="s">
        <v>917</v>
      </c>
      <c r="E2296" t="s">
        <v>918</v>
      </c>
      <c r="F2296">
        <v>14</v>
      </c>
      <c r="G2296" t="s">
        <v>1570</v>
      </c>
      <c r="H2296" t="s">
        <v>66</v>
      </c>
      <c r="I2296" t="s">
        <v>22</v>
      </c>
      <c r="J2296" t="s">
        <v>67</v>
      </c>
      <c r="K2296" t="s">
        <v>34</v>
      </c>
      <c r="L2296" s="6">
        <v>588.36</v>
      </c>
      <c r="M2296" s="6">
        <v>0</v>
      </c>
      <c r="N2296" s="6">
        <v>-588.36</v>
      </c>
      <c r="O2296" s="6">
        <v>7320.48</v>
      </c>
      <c r="P2296" s="7">
        <v>0</v>
      </c>
      <c r="Q2296" s="6">
        <v>0</v>
      </c>
    </row>
    <row r="2297" spans="1:17">
      <c r="A2297">
        <v>2296</v>
      </c>
      <c r="B2297" s="5">
        <v>45887</v>
      </c>
      <c r="C2297" t="s">
        <v>916</v>
      </c>
      <c r="D2297" t="s">
        <v>917</v>
      </c>
      <c r="E2297" t="s">
        <v>918</v>
      </c>
      <c r="F2297">
        <v>14</v>
      </c>
      <c r="G2297" t="s">
        <v>1571</v>
      </c>
      <c r="H2297" t="s">
        <v>929</v>
      </c>
      <c r="I2297" t="s">
        <v>22</v>
      </c>
      <c r="J2297" t="s">
        <v>67</v>
      </c>
      <c r="K2297" t="s">
        <v>34</v>
      </c>
      <c r="L2297" s="6">
        <v>49.9</v>
      </c>
      <c r="M2297" s="6">
        <v>0</v>
      </c>
      <c r="N2297" s="6">
        <v>-49.9</v>
      </c>
      <c r="O2297" s="6">
        <v>7270.58</v>
      </c>
      <c r="P2297" s="7">
        <v>0</v>
      </c>
      <c r="Q2297" s="6">
        <v>0</v>
      </c>
    </row>
    <row r="2298" spans="1:17">
      <c r="A2298">
        <v>2297</v>
      </c>
      <c r="B2298" s="5">
        <v>45887</v>
      </c>
      <c r="C2298" t="s">
        <v>916</v>
      </c>
      <c r="D2298" t="s">
        <v>917</v>
      </c>
      <c r="E2298" t="s">
        <v>918</v>
      </c>
      <c r="F2298">
        <v>14</v>
      </c>
      <c r="G2298" t="s">
        <v>1572</v>
      </c>
      <c r="H2298" t="s">
        <v>66</v>
      </c>
      <c r="I2298" t="s">
        <v>22</v>
      </c>
      <c r="J2298" t="s">
        <v>67</v>
      </c>
      <c r="K2298" t="s">
        <v>34</v>
      </c>
      <c r="L2298" s="6">
        <v>500</v>
      </c>
      <c r="M2298" s="6">
        <v>0</v>
      </c>
      <c r="N2298" s="6">
        <v>-500</v>
      </c>
      <c r="O2298" s="6">
        <v>6770.58</v>
      </c>
      <c r="P2298" s="7">
        <v>0</v>
      </c>
      <c r="Q2298" s="6">
        <v>0</v>
      </c>
    </row>
    <row r="2299" spans="1:17">
      <c r="A2299">
        <v>2298</v>
      </c>
      <c r="B2299" s="5">
        <v>45887</v>
      </c>
      <c r="C2299" t="s">
        <v>916</v>
      </c>
      <c r="D2299" t="s">
        <v>917</v>
      </c>
      <c r="E2299" t="s">
        <v>918</v>
      </c>
      <c r="F2299">
        <v>14</v>
      </c>
      <c r="G2299" t="s">
        <v>1526</v>
      </c>
      <c r="I2299" t="s">
        <v>17</v>
      </c>
      <c r="J2299" t="s">
        <v>64</v>
      </c>
      <c r="K2299" t="s">
        <v>35</v>
      </c>
      <c r="L2299" s="6">
        <v>0</v>
      </c>
      <c r="M2299" s="6">
        <v>12000</v>
      </c>
      <c r="N2299" s="6">
        <v>12000</v>
      </c>
      <c r="O2299" s="6">
        <v>18770.580000000002</v>
      </c>
      <c r="P2299" s="7">
        <v>0</v>
      </c>
      <c r="Q2299" s="6">
        <v>0</v>
      </c>
    </row>
    <row r="2300" spans="1:17">
      <c r="A2300">
        <v>2299</v>
      </c>
      <c r="B2300" s="5">
        <v>45887</v>
      </c>
      <c r="C2300" t="s">
        <v>916</v>
      </c>
      <c r="D2300" t="s">
        <v>917</v>
      </c>
      <c r="E2300" t="s">
        <v>918</v>
      </c>
      <c r="F2300">
        <v>14</v>
      </c>
      <c r="G2300" t="s">
        <v>1573</v>
      </c>
      <c r="H2300" t="s">
        <v>929</v>
      </c>
      <c r="I2300" t="s">
        <v>22</v>
      </c>
      <c r="J2300" t="s">
        <v>67</v>
      </c>
      <c r="K2300" t="s">
        <v>34</v>
      </c>
      <c r="L2300" s="6">
        <v>100</v>
      </c>
      <c r="M2300" s="6">
        <v>0</v>
      </c>
      <c r="N2300" s="6">
        <v>-100</v>
      </c>
      <c r="O2300" s="6">
        <v>18670.580000000002</v>
      </c>
      <c r="P2300" s="7">
        <v>0</v>
      </c>
      <c r="Q2300" s="6">
        <v>0</v>
      </c>
    </row>
    <row r="2301" spans="1:17">
      <c r="A2301">
        <v>2300</v>
      </c>
      <c r="B2301" s="5">
        <v>45887</v>
      </c>
      <c r="C2301" t="s">
        <v>916</v>
      </c>
      <c r="D2301" t="s">
        <v>917</v>
      </c>
      <c r="E2301" t="s">
        <v>918</v>
      </c>
      <c r="F2301">
        <v>14</v>
      </c>
      <c r="G2301" t="s">
        <v>1574</v>
      </c>
      <c r="H2301" t="s">
        <v>66</v>
      </c>
      <c r="I2301" t="s">
        <v>22</v>
      </c>
      <c r="J2301" t="s">
        <v>67</v>
      </c>
      <c r="K2301" t="s">
        <v>34</v>
      </c>
      <c r="L2301" s="6">
        <v>1180.6199999999999</v>
      </c>
      <c r="M2301" s="6">
        <v>0</v>
      </c>
      <c r="N2301" s="6">
        <v>-1180.6199999999999</v>
      </c>
      <c r="O2301" s="6">
        <v>17489.96</v>
      </c>
      <c r="P2301" s="7">
        <v>0</v>
      </c>
      <c r="Q2301" s="6">
        <v>0</v>
      </c>
    </row>
    <row r="2302" spans="1:17">
      <c r="A2302">
        <v>2301</v>
      </c>
      <c r="B2302" s="5">
        <v>45887</v>
      </c>
      <c r="C2302" t="s">
        <v>916</v>
      </c>
      <c r="D2302" t="s">
        <v>917</v>
      </c>
      <c r="E2302" t="s">
        <v>918</v>
      </c>
      <c r="F2302">
        <v>14</v>
      </c>
      <c r="G2302" t="s">
        <v>1575</v>
      </c>
      <c r="H2302" t="s">
        <v>929</v>
      </c>
      <c r="I2302" t="s">
        <v>22</v>
      </c>
      <c r="J2302" t="s">
        <v>67</v>
      </c>
      <c r="K2302" t="s">
        <v>34</v>
      </c>
      <c r="L2302" s="6">
        <v>50</v>
      </c>
      <c r="M2302" s="6">
        <v>0</v>
      </c>
      <c r="N2302" s="6">
        <v>-50</v>
      </c>
      <c r="O2302" s="6">
        <v>17439.96</v>
      </c>
      <c r="P2302" s="7">
        <v>0</v>
      </c>
      <c r="Q2302" s="6">
        <v>0</v>
      </c>
    </row>
    <row r="2303" spans="1:17">
      <c r="A2303">
        <v>2302</v>
      </c>
      <c r="B2303" s="5">
        <v>45887</v>
      </c>
      <c r="C2303" t="s">
        <v>916</v>
      </c>
      <c r="D2303" t="s">
        <v>917</v>
      </c>
      <c r="E2303" t="s">
        <v>918</v>
      </c>
      <c r="F2303">
        <v>14</v>
      </c>
      <c r="G2303" t="s">
        <v>1576</v>
      </c>
      <c r="H2303" t="s">
        <v>929</v>
      </c>
      <c r="I2303" t="s">
        <v>22</v>
      </c>
      <c r="J2303" t="s">
        <v>67</v>
      </c>
      <c r="K2303" t="s">
        <v>34</v>
      </c>
      <c r="L2303" s="6">
        <v>750</v>
      </c>
      <c r="M2303" s="6">
        <v>0</v>
      </c>
      <c r="N2303" s="6">
        <v>-750</v>
      </c>
      <c r="O2303" s="6">
        <v>16689.96</v>
      </c>
      <c r="P2303" s="7">
        <v>0</v>
      </c>
      <c r="Q2303" s="6">
        <v>0</v>
      </c>
    </row>
    <row r="2304" spans="1:17">
      <c r="A2304">
        <v>2303</v>
      </c>
      <c r="B2304" s="5">
        <v>45887</v>
      </c>
      <c r="C2304" t="s">
        <v>916</v>
      </c>
      <c r="D2304" t="s">
        <v>917</v>
      </c>
      <c r="E2304" t="s">
        <v>918</v>
      </c>
      <c r="F2304">
        <v>14</v>
      </c>
      <c r="G2304" t="s">
        <v>1577</v>
      </c>
      <c r="H2304" t="s">
        <v>929</v>
      </c>
      <c r="I2304" t="s">
        <v>22</v>
      </c>
      <c r="J2304" t="s">
        <v>67</v>
      </c>
      <c r="K2304" t="s">
        <v>34</v>
      </c>
      <c r="L2304" s="6">
        <v>40</v>
      </c>
      <c r="M2304" s="6">
        <v>0</v>
      </c>
      <c r="N2304" s="6">
        <v>-40</v>
      </c>
      <c r="O2304" s="6">
        <v>16649.96</v>
      </c>
      <c r="P2304" s="7">
        <v>0</v>
      </c>
      <c r="Q2304" s="6">
        <v>0</v>
      </c>
    </row>
    <row r="2305" spans="1:17">
      <c r="A2305">
        <v>2304</v>
      </c>
      <c r="B2305" s="5">
        <v>45887</v>
      </c>
      <c r="C2305" t="s">
        <v>916</v>
      </c>
      <c r="D2305" t="s">
        <v>917</v>
      </c>
      <c r="E2305" t="s">
        <v>918</v>
      </c>
      <c r="F2305">
        <v>14</v>
      </c>
      <c r="G2305" t="s">
        <v>1578</v>
      </c>
      <c r="H2305" t="s">
        <v>66</v>
      </c>
      <c r="I2305" t="s">
        <v>22</v>
      </c>
      <c r="J2305" t="s">
        <v>67</v>
      </c>
      <c r="K2305" t="s">
        <v>34</v>
      </c>
      <c r="L2305" s="6">
        <v>207.41</v>
      </c>
      <c r="M2305" s="6">
        <v>0</v>
      </c>
      <c r="N2305" s="6">
        <v>-207.41</v>
      </c>
      <c r="O2305" s="6">
        <v>16442.55</v>
      </c>
      <c r="P2305" s="7">
        <v>0</v>
      </c>
      <c r="Q2305" s="6">
        <v>0</v>
      </c>
    </row>
    <row r="2306" spans="1:17">
      <c r="A2306">
        <v>2305</v>
      </c>
      <c r="B2306" s="5">
        <v>45887</v>
      </c>
      <c r="C2306" t="s">
        <v>916</v>
      </c>
      <c r="D2306" t="s">
        <v>917</v>
      </c>
      <c r="E2306" t="s">
        <v>918</v>
      </c>
      <c r="F2306">
        <v>14</v>
      </c>
      <c r="G2306" t="s">
        <v>1579</v>
      </c>
      <c r="H2306" t="s">
        <v>66</v>
      </c>
      <c r="I2306" t="s">
        <v>22</v>
      </c>
      <c r="J2306" t="s">
        <v>67</v>
      </c>
      <c r="K2306" t="s">
        <v>34</v>
      </c>
      <c r="L2306" s="6">
        <v>12716.72</v>
      </c>
      <c r="M2306" s="6">
        <v>0</v>
      </c>
      <c r="N2306" s="6">
        <v>-12716.72</v>
      </c>
      <c r="O2306" s="6">
        <v>3725.83</v>
      </c>
      <c r="P2306" s="7">
        <v>0</v>
      </c>
      <c r="Q2306" s="6">
        <v>0</v>
      </c>
    </row>
    <row r="2307" spans="1:17">
      <c r="A2307">
        <v>2306</v>
      </c>
      <c r="B2307" s="5">
        <v>45887</v>
      </c>
      <c r="C2307" t="s">
        <v>916</v>
      </c>
      <c r="D2307" t="s">
        <v>917</v>
      </c>
      <c r="E2307" t="s">
        <v>918</v>
      </c>
      <c r="F2307">
        <v>14</v>
      </c>
      <c r="G2307" t="s">
        <v>1580</v>
      </c>
      <c r="H2307" t="s">
        <v>929</v>
      </c>
      <c r="I2307" t="s">
        <v>22</v>
      </c>
      <c r="J2307" t="s">
        <v>67</v>
      </c>
      <c r="K2307" t="s">
        <v>34</v>
      </c>
      <c r="L2307" s="6">
        <v>805.2</v>
      </c>
      <c r="M2307" s="6">
        <v>0</v>
      </c>
      <c r="N2307" s="6">
        <v>-805.2</v>
      </c>
      <c r="O2307" s="6">
        <v>2920.63</v>
      </c>
      <c r="P2307" s="7">
        <v>0</v>
      </c>
      <c r="Q2307" s="6">
        <v>0</v>
      </c>
    </row>
    <row r="2308" spans="1:17">
      <c r="A2308">
        <v>2307</v>
      </c>
      <c r="B2308" s="5">
        <v>45887</v>
      </c>
      <c r="C2308" t="s">
        <v>916</v>
      </c>
      <c r="D2308" t="s">
        <v>917</v>
      </c>
      <c r="E2308" t="s">
        <v>918</v>
      </c>
      <c r="F2308">
        <v>14</v>
      </c>
      <c r="G2308" t="s">
        <v>1581</v>
      </c>
      <c r="H2308" t="s">
        <v>929</v>
      </c>
      <c r="I2308" t="s">
        <v>22</v>
      </c>
      <c r="J2308" t="s">
        <v>67</v>
      </c>
      <c r="K2308" t="s">
        <v>34</v>
      </c>
      <c r="L2308" s="6">
        <v>400</v>
      </c>
      <c r="M2308" s="6">
        <v>0</v>
      </c>
      <c r="N2308" s="6">
        <v>-400</v>
      </c>
      <c r="O2308" s="6">
        <v>2520.63</v>
      </c>
      <c r="P2308" s="7">
        <v>0</v>
      </c>
      <c r="Q2308" s="6">
        <v>0</v>
      </c>
    </row>
    <row r="2309" spans="1:17">
      <c r="A2309">
        <v>2308</v>
      </c>
      <c r="B2309" s="5">
        <v>45887</v>
      </c>
      <c r="C2309" t="s">
        <v>916</v>
      </c>
      <c r="D2309" t="s">
        <v>917</v>
      </c>
      <c r="E2309" t="s">
        <v>918</v>
      </c>
      <c r="F2309">
        <v>14</v>
      </c>
      <c r="G2309" t="s">
        <v>1582</v>
      </c>
      <c r="I2309" t="s">
        <v>15</v>
      </c>
      <c r="J2309" t="s">
        <v>52</v>
      </c>
      <c r="K2309" t="s">
        <v>35</v>
      </c>
      <c r="L2309" s="6">
        <v>0</v>
      </c>
      <c r="M2309" s="6">
        <v>445</v>
      </c>
      <c r="N2309" s="6">
        <v>445</v>
      </c>
      <c r="O2309" s="6">
        <v>2965.63</v>
      </c>
      <c r="P2309" s="7">
        <v>0</v>
      </c>
      <c r="Q2309" s="6">
        <v>0</v>
      </c>
    </row>
    <row r="2310" spans="1:17">
      <c r="A2310">
        <v>2309</v>
      </c>
      <c r="B2310" s="5">
        <v>45887</v>
      </c>
      <c r="C2310" t="s">
        <v>916</v>
      </c>
      <c r="D2310" t="s">
        <v>917</v>
      </c>
      <c r="E2310" t="s">
        <v>918</v>
      </c>
      <c r="F2310">
        <v>14</v>
      </c>
      <c r="G2310" t="s">
        <v>1582</v>
      </c>
      <c r="I2310" t="s">
        <v>15</v>
      </c>
      <c r="J2310" t="s">
        <v>52</v>
      </c>
      <c r="K2310" t="s">
        <v>35</v>
      </c>
      <c r="L2310" s="6">
        <v>0</v>
      </c>
      <c r="M2310" s="6">
        <v>17997</v>
      </c>
      <c r="N2310" s="6">
        <v>17997</v>
      </c>
      <c r="O2310" s="6">
        <v>20962.63</v>
      </c>
      <c r="P2310" s="7">
        <v>0</v>
      </c>
      <c r="Q2310" s="6">
        <v>0</v>
      </c>
    </row>
    <row r="2311" spans="1:17">
      <c r="A2311">
        <v>2310</v>
      </c>
      <c r="B2311" s="5">
        <v>45887</v>
      </c>
      <c r="C2311" t="s">
        <v>916</v>
      </c>
      <c r="D2311" t="s">
        <v>917</v>
      </c>
      <c r="E2311" t="s">
        <v>918</v>
      </c>
      <c r="F2311">
        <v>14</v>
      </c>
      <c r="G2311" t="s">
        <v>1582</v>
      </c>
      <c r="I2311" t="s">
        <v>15</v>
      </c>
      <c r="J2311" t="s">
        <v>52</v>
      </c>
      <c r="K2311" t="s">
        <v>35</v>
      </c>
      <c r="L2311" s="6">
        <v>0</v>
      </c>
      <c r="M2311" s="6">
        <v>36251</v>
      </c>
      <c r="N2311" s="6">
        <v>36251</v>
      </c>
      <c r="O2311" s="6">
        <v>57213.63</v>
      </c>
      <c r="P2311" s="7">
        <v>0</v>
      </c>
      <c r="Q2311" s="6">
        <v>0</v>
      </c>
    </row>
    <row r="2312" spans="1:17">
      <c r="A2312">
        <v>2311</v>
      </c>
      <c r="B2312" s="5">
        <v>45887</v>
      </c>
      <c r="C2312" t="s">
        <v>916</v>
      </c>
      <c r="D2312" t="s">
        <v>917</v>
      </c>
      <c r="E2312" t="s">
        <v>918</v>
      </c>
      <c r="F2312">
        <v>14</v>
      </c>
      <c r="G2312" t="s">
        <v>900</v>
      </c>
      <c r="I2312" t="s">
        <v>16</v>
      </c>
      <c r="J2312" t="s">
        <v>52</v>
      </c>
      <c r="K2312" t="s">
        <v>35</v>
      </c>
      <c r="L2312" s="6">
        <v>0</v>
      </c>
      <c r="M2312" s="6">
        <v>320.45</v>
      </c>
      <c r="N2312" s="6">
        <v>320.45</v>
      </c>
      <c r="O2312" s="6">
        <v>57534.080000000002</v>
      </c>
      <c r="P2312" s="7">
        <v>0</v>
      </c>
      <c r="Q2312" s="6">
        <v>0</v>
      </c>
    </row>
    <row r="2313" spans="1:17">
      <c r="A2313">
        <v>2312</v>
      </c>
      <c r="B2313" s="5">
        <v>45887</v>
      </c>
      <c r="C2313" t="s">
        <v>916</v>
      </c>
      <c r="D2313" t="s">
        <v>917</v>
      </c>
      <c r="E2313" t="s">
        <v>918</v>
      </c>
      <c r="F2313">
        <v>14</v>
      </c>
      <c r="G2313" t="s">
        <v>900</v>
      </c>
      <c r="I2313" t="s">
        <v>16</v>
      </c>
      <c r="J2313" t="s">
        <v>52</v>
      </c>
      <c r="K2313" t="s">
        <v>35</v>
      </c>
      <c r="L2313" s="6">
        <v>0</v>
      </c>
      <c r="M2313" s="6">
        <v>65.98</v>
      </c>
      <c r="N2313" s="6">
        <v>65.98</v>
      </c>
      <c r="O2313" s="6">
        <v>57600.06</v>
      </c>
      <c r="P2313" s="7">
        <v>0</v>
      </c>
      <c r="Q2313" s="6">
        <v>0</v>
      </c>
    </row>
    <row r="2314" spans="1:17">
      <c r="A2314">
        <v>2313</v>
      </c>
      <c r="B2314" s="5">
        <v>45887</v>
      </c>
      <c r="C2314" t="s">
        <v>916</v>
      </c>
      <c r="D2314" t="s">
        <v>917</v>
      </c>
      <c r="E2314" t="s">
        <v>918</v>
      </c>
      <c r="F2314">
        <v>14</v>
      </c>
      <c r="G2314" t="s">
        <v>900</v>
      </c>
      <c r="I2314" t="s">
        <v>16</v>
      </c>
      <c r="J2314" t="s">
        <v>52</v>
      </c>
      <c r="K2314" t="s">
        <v>35</v>
      </c>
      <c r="L2314" s="6">
        <v>0</v>
      </c>
      <c r="M2314" s="6">
        <v>188.5</v>
      </c>
      <c r="N2314" s="6">
        <v>188.5</v>
      </c>
      <c r="O2314" s="6">
        <v>57788.56</v>
      </c>
      <c r="P2314" s="7">
        <v>0</v>
      </c>
      <c r="Q2314" s="6">
        <v>0</v>
      </c>
    </row>
    <row r="2315" spans="1:17">
      <c r="A2315">
        <v>2314</v>
      </c>
      <c r="B2315" s="5">
        <v>45887</v>
      </c>
      <c r="C2315" t="s">
        <v>916</v>
      </c>
      <c r="D2315" t="s">
        <v>917</v>
      </c>
      <c r="E2315" t="s">
        <v>918</v>
      </c>
      <c r="F2315">
        <v>14</v>
      </c>
      <c r="G2315" t="s">
        <v>1583</v>
      </c>
      <c r="H2315" t="s">
        <v>66</v>
      </c>
      <c r="I2315" t="s">
        <v>22</v>
      </c>
      <c r="J2315" t="s">
        <v>67</v>
      </c>
      <c r="K2315" t="s">
        <v>34</v>
      </c>
      <c r="L2315" s="6">
        <v>53000</v>
      </c>
      <c r="M2315" s="6">
        <v>0</v>
      </c>
      <c r="N2315" s="6">
        <v>-53000</v>
      </c>
      <c r="O2315" s="6">
        <v>4788.5600000000004</v>
      </c>
      <c r="P2315" s="7">
        <v>0</v>
      </c>
      <c r="Q2315" s="6">
        <v>0</v>
      </c>
    </row>
    <row r="2316" spans="1:17">
      <c r="A2316">
        <v>2315</v>
      </c>
      <c r="B2316" s="5">
        <v>45887</v>
      </c>
      <c r="C2316" t="s">
        <v>916</v>
      </c>
      <c r="D2316" t="s">
        <v>917</v>
      </c>
      <c r="E2316" t="s">
        <v>918</v>
      </c>
      <c r="F2316">
        <v>14</v>
      </c>
      <c r="G2316" t="s">
        <v>1584</v>
      </c>
      <c r="H2316" t="s">
        <v>929</v>
      </c>
      <c r="I2316" t="s">
        <v>22</v>
      </c>
      <c r="J2316" t="s">
        <v>67</v>
      </c>
      <c r="K2316" t="s">
        <v>34</v>
      </c>
      <c r="L2316" s="6">
        <v>80</v>
      </c>
      <c r="M2316" s="6">
        <v>0</v>
      </c>
      <c r="N2316" s="6">
        <v>-80</v>
      </c>
      <c r="O2316" s="6">
        <v>4708.5600000000004</v>
      </c>
      <c r="P2316" s="7">
        <v>0</v>
      </c>
      <c r="Q2316" s="6">
        <v>0</v>
      </c>
    </row>
    <row r="2317" spans="1:17">
      <c r="A2317">
        <v>2316</v>
      </c>
      <c r="B2317" s="5">
        <v>45887</v>
      </c>
      <c r="C2317" t="s">
        <v>916</v>
      </c>
      <c r="D2317" t="s">
        <v>917</v>
      </c>
      <c r="E2317" t="s">
        <v>918</v>
      </c>
      <c r="F2317">
        <v>14</v>
      </c>
      <c r="G2317" t="s">
        <v>1585</v>
      </c>
      <c r="H2317" t="s">
        <v>929</v>
      </c>
      <c r="I2317" t="s">
        <v>22</v>
      </c>
      <c r="J2317" t="s">
        <v>67</v>
      </c>
      <c r="K2317" t="s">
        <v>34</v>
      </c>
      <c r="L2317" s="6">
        <v>69.91</v>
      </c>
      <c r="M2317" s="6">
        <v>0</v>
      </c>
      <c r="N2317" s="6">
        <v>-69.91</v>
      </c>
      <c r="O2317" s="6">
        <v>4638.6499999999996</v>
      </c>
      <c r="P2317" s="7">
        <v>0</v>
      </c>
      <c r="Q2317" s="6">
        <v>0</v>
      </c>
    </row>
    <row r="2318" spans="1:17">
      <c r="A2318">
        <v>2317</v>
      </c>
      <c r="B2318" s="5">
        <v>45887</v>
      </c>
      <c r="C2318" t="s">
        <v>916</v>
      </c>
      <c r="D2318" t="s">
        <v>917</v>
      </c>
      <c r="E2318" t="s">
        <v>918</v>
      </c>
      <c r="F2318">
        <v>14</v>
      </c>
      <c r="G2318" t="s">
        <v>1586</v>
      </c>
      <c r="H2318" t="s">
        <v>929</v>
      </c>
      <c r="I2318" t="s">
        <v>22</v>
      </c>
      <c r="J2318" t="s">
        <v>67</v>
      </c>
      <c r="K2318" t="s">
        <v>34</v>
      </c>
      <c r="L2318" s="6">
        <v>20</v>
      </c>
      <c r="M2318" s="6">
        <v>0</v>
      </c>
      <c r="N2318" s="6">
        <v>-20</v>
      </c>
      <c r="O2318" s="6">
        <v>4618.6499999999996</v>
      </c>
      <c r="P2318" s="7">
        <v>0</v>
      </c>
      <c r="Q2318" s="6">
        <v>0</v>
      </c>
    </row>
    <row r="2319" spans="1:17">
      <c r="A2319">
        <v>2318</v>
      </c>
      <c r="B2319" s="5">
        <v>45887</v>
      </c>
      <c r="C2319" t="s">
        <v>916</v>
      </c>
      <c r="D2319" t="s">
        <v>917</v>
      </c>
      <c r="E2319" t="s">
        <v>918</v>
      </c>
      <c r="F2319">
        <v>14</v>
      </c>
      <c r="G2319" t="s">
        <v>1587</v>
      </c>
      <c r="H2319" t="s">
        <v>929</v>
      </c>
      <c r="I2319" t="s">
        <v>22</v>
      </c>
      <c r="J2319" t="s">
        <v>67</v>
      </c>
      <c r="K2319" t="s">
        <v>34</v>
      </c>
      <c r="L2319" s="6">
        <v>124</v>
      </c>
      <c r="M2319" s="6">
        <v>0</v>
      </c>
      <c r="N2319" s="6">
        <v>-124</v>
      </c>
      <c r="O2319" s="6">
        <v>4494.6499999999996</v>
      </c>
      <c r="P2319" s="7">
        <v>0</v>
      </c>
      <c r="Q2319" s="6">
        <v>0</v>
      </c>
    </row>
    <row r="2320" spans="1:17">
      <c r="A2320">
        <v>2319</v>
      </c>
      <c r="B2320" s="5">
        <v>45887</v>
      </c>
      <c r="C2320" t="s">
        <v>916</v>
      </c>
      <c r="D2320" t="s">
        <v>917</v>
      </c>
      <c r="E2320" t="s">
        <v>918</v>
      </c>
      <c r="F2320">
        <v>14</v>
      </c>
      <c r="G2320" t="s">
        <v>1588</v>
      </c>
      <c r="H2320" t="s">
        <v>929</v>
      </c>
      <c r="I2320" t="s">
        <v>22</v>
      </c>
      <c r="J2320" t="s">
        <v>67</v>
      </c>
      <c r="K2320" t="s">
        <v>34</v>
      </c>
      <c r="L2320" s="6">
        <v>1162.27</v>
      </c>
      <c r="M2320" s="6">
        <v>0</v>
      </c>
      <c r="N2320" s="6">
        <v>-1162.27</v>
      </c>
      <c r="O2320" s="6">
        <v>3332.38</v>
      </c>
      <c r="P2320" s="7">
        <v>0</v>
      </c>
      <c r="Q2320" s="6">
        <v>0</v>
      </c>
    </row>
    <row r="2321" spans="1:18">
      <c r="A2321">
        <v>2320</v>
      </c>
      <c r="B2321" s="5">
        <v>45887</v>
      </c>
      <c r="C2321" t="s">
        <v>916</v>
      </c>
      <c r="D2321" t="s">
        <v>917</v>
      </c>
      <c r="E2321" t="s">
        <v>918</v>
      </c>
      <c r="F2321">
        <v>14</v>
      </c>
      <c r="G2321" t="s">
        <v>1589</v>
      </c>
      <c r="H2321" t="s">
        <v>929</v>
      </c>
      <c r="I2321" t="s">
        <v>22</v>
      </c>
      <c r="J2321" t="s">
        <v>67</v>
      </c>
      <c r="K2321" t="s">
        <v>34</v>
      </c>
      <c r="L2321" s="6">
        <v>97</v>
      </c>
      <c r="M2321" s="6">
        <v>0</v>
      </c>
      <c r="N2321" s="6">
        <v>-97</v>
      </c>
      <c r="O2321" s="6">
        <v>3235.38</v>
      </c>
      <c r="P2321" s="7">
        <v>0</v>
      </c>
      <c r="Q2321" s="6">
        <v>0</v>
      </c>
    </row>
    <row r="2322" spans="1:18">
      <c r="A2322">
        <v>2321</v>
      </c>
      <c r="B2322" s="5">
        <v>45887</v>
      </c>
      <c r="C2322" t="s">
        <v>916</v>
      </c>
      <c r="D2322" t="s">
        <v>917</v>
      </c>
      <c r="E2322" t="s">
        <v>918</v>
      </c>
      <c r="F2322">
        <v>14</v>
      </c>
      <c r="G2322" t="s">
        <v>1590</v>
      </c>
      <c r="H2322" t="s">
        <v>66</v>
      </c>
      <c r="I2322" t="s">
        <v>22</v>
      </c>
      <c r="J2322" t="s">
        <v>67</v>
      </c>
      <c r="K2322" t="s">
        <v>34</v>
      </c>
      <c r="L2322" s="6">
        <v>199</v>
      </c>
      <c r="M2322" s="6">
        <v>0</v>
      </c>
      <c r="N2322" s="6">
        <v>-199</v>
      </c>
      <c r="O2322" s="6">
        <v>3036.38</v>
      </c>
      <c r="P2322" s="7">
        <v>0</v>
      </c>
      <c r="Q2322" s="6">
        <v>0</v>
      </c>
    </row>
    <row r="2323" spans="1:18">
      <c r="A2323">
        <v>2322</v>
      </c>
      <c r="B2323" s="5">
        <v>45887</v>
      </c>
      <c r="C2323" t="s">
        <v>916</v>
      </c>
      <c r="D2323" t="s">
        <v>917</v>
      </c>
      <c r="E2323" t="s">
        <v>918</v>
      </c>
      <c r="F2323">
        <v>14</v>
      </c>
      <c r="G2323" t="s">
        <v>1591</v>
      </c>
      <c r="H2323" t="s">
        <v>1592</v>
      </c>
      <c r="I2323" t="s">
        <v>16</v>
      </c>
      <c r="J2323" t="s">
        <v>52</v>
      </c>
      <c r="K2323" t="s">
        <v>35</v>
      </c>
      <c r="L2323" s="6">
        <v>0</v>
      </c>
      <c r="M2323" s="6">
        <v>30</v>
      </c>
      <c r="N2323" s="6">
        <v>30</v>
      </c>
      <c r="O2323" s="6">
        <v>3066.38</v>
      </c>
      <c r="P2323" s="7">
        <v>0</v>
      </c>
      <c r="Q2323" s="6">
        <v>0</v>
      </c>
    </row>
    <row r="2324" spans="1:18">
      <c r="A2324">
        <v>2323</v>
      </c>
      <c r="B2324" s="5">
        <v>45887</v>
      </c>
      <c r="C2324" t="s">
        <v>916</v>
      </c>
      <c r="D2324" t="s">
        <v>917</v>
      </c>
      <c r="E2324" t="s">
        <v>918</v>
      </c>
      <c r="F2324">
        <v>14</v>
      </c>
      <c r="G2324" t="s">
        <v>1593</v>
      </c>
      <c r="H2324" t="s">
        <v>1594</v>
      </c>
      <c r="I2324" t="s">
        <v>16</v>
      </c>
      <c r="J2324" t="s">
        <v>52</v>
      </c>
      <c r="K2324" t="s">
        <v>35</v>
      </c>
      <c r="L2324" s="6">
        <v>0</v>
      </c>
      <c r="M2324" s="6">
        <v>100</v>
      </c>
      <c r="N2324" s="6">
        <v>100</v>
      </c>
      <c r="O2324" s="6">
        <v>3166.38</v>
      </c>
      <c r="P2324" s="7">
        <v>0</v>
      </c>
      <c r="Q2324" s="6">
        <v>0</v>
      </c>
    </row>
    <row r="2325" spans="1:18">
      <c r="A2325">
        <v>2324</v>
      </c>
      <c r="B2325" s="5">
        <v>45887</v>
      </c>
      <c r="C2325" t="s">
        <v>916</v>
      </c>
      <c r="D2325" t="s">
        <v>917</v>
      </c>
      <c r="E2325" t="s">
        <v>918</v>
      </c>
      <c r="F2325">
        <v>14</v>
      </c>
      <c r="G2325" t="s">
        <v>1591</v>
      </c>
      <c r="H2325" t="s">
        <v>1592</v>
      </c>
      <c r="I2325" t="s">
        <v>16</v>
      </c>
      <c r="J2325" t="s">
        <v>52</v>
      </c>
      <c r="K2325" t="s">
        <v>35</v>
      </c>
      <c r="L2325" s="6">
        <v>0</v>
      </c>
      <c r="M2325" s="6">
        <v>150</v>
      </c>
      <c r="N2325" s="6">
        <v>150</v>
      </c>
      <c r="O2325" s="6">
        <v>3316.38</v>
      </c>
      <c r="P2325" s="7">
        <v>0</v>
      </c>
      <c r="Q2325" s="6">
        <v>0</v>
      </c>
    </row>
    <row r="2326" spans="1:18">
      <c r="A2326">
        <v>2325</v>
      </c>
      <c r="B2326" s="5">
        <v>45887</v>
      </c>
      <c r="C2326" t="s">
        <v>916</v>
      </c>
      <c r="D2326" t="s">
        <v>917</v>
      </c>
      <c r="E2326" t="s">
        <v>918</v>
      </c>
      <c r="F2326">
        <v>14</v>
      </c>
      <c r="G2326" t="s">
        <v>1546</v>
      </c>
      <c r="H2326" t="s">
        <v>1547</v>
      </c>
      <c r="I2326" t="s">
        <v>16</v>
      </c>
      <c r="J2326" t="s">
        <v>52</v>
      </c>
      <c r="K2326" t="s">
        <v>35</v>
      </c>
      <c r="L2326" s="6">
        <v>0</v>
      </c>
      <c r="M2326" s="6">
        <v>200</v>
      </c>
      <c r="N2326" s="6">
        <v>200</v>
      </c>
      <c r="O2326" s="6">
        <v>3516.38</v>
      </c>
      <c r="P2326" s="7">
        <v>0</v>
      </c>
      <c r="Q2326" s="6">
        <v>0</v>
      </c>
    </row>
    <row r="2327" spans="1:18">
      <c r="A2327">
        <v>2326</v>
      </c>
      <c r="B2327" s="5">
        <v>45887</v>
      </c>
      <c r="C2327" t="s">
        <v>916</v>
      </c>
      <c r="D2327" t="s">
        <v>917</v>
      </c>
      <c r="E2327" t="s">
        <v>918</v>
      </c>
      <c r="F2327">
        <v>14</v>
      </c>
      <c r="G2327" t="s">
        <v>1143</v>
      </c>
      <c r="H2327" t="s">
        <v>1144</v>
      </c>
      <c r="I2327" t="s">
        <v>16</v>
      </c>
      <c r="J2327" t="s">
        <v>52</v>
      </c>
      <c r="K2327" t="s">
        <v>35</v>
      </c>
      <c r="L2327" s="6">
        <v>0</v>
      </c>
      <c r="M2327" s="6">
        <v>250</v>
      </c>
      <c r="N2327" s="6">
        <v>250</v>
      </c>
      <c r="O2327" s="6">
        <v>3766.38</v>
      </c>
      <c r="P2327" s="7">
        <v>0</v>
      </c>
      <c r="Q2327" s="6">
        <v>0</v>
      </c>
    </row>
    <row r="2328" spans="1:18">
      <c r="A2328">
        <v>2327</v>
      </c>
      <c r="B2328" s="5">
        <v>45887</v>
      </c>
      <c r="C2328" t="s">
        <v>916</v>
      </c>
      <c r="D2328" t="s">
        <v>917</v>
      </c>
      <c r="E2328" t="s">
        <v>918</v>
      </c>
      <c r="F2328">
        <v>14</v>
      </c>
      <c r="G2328" t="s">
        <v>1595</v>
      </c>
      <c r="H2328" t="s">
        <v>1596</v>
      </c>
      <c r="I2328" t="s">
        <v>16</v>
      </c>
      <c r="J2328" t="s">
        <v>52</v>
      </c>
      <c r="K2328" t="s">
        <v>35</v>
      </c>
      <c r="L2328" s="6">
        <v>0</v>
      </c>
      <c r="M2328" s="6">
        <v>280</v>
      </c>
      <c r="N2328" s="6">
        <v>280</v>
      </c>
      <c r="O2328" s="6">
        <v>4046.38</v>
      </c>
      <c r="P2328" s="7">
        <v>0</v>
      </c>
      <c r="Q2328" s="6">
        <v>0</v>
      </c>
    </row>
    <row r="2329" spans="1:18">
      <c r="A2329">
        <v>2328</v>
      </c>
      <c r="B2329" s="5">
        <v>45887</v>
      </c>
      <c r="C2329" t="s">
        <v>916</v>
      </c>
      <c r="D2329" t="s">
        <v>917</v>
      </c>
      <c r="E2329" t="s">
        <v>918</v>
      </c>
      <c r="F2329">
        <v>14</v>
      </c>
      <c r="G2329" t="s">
        <v>1597</v>
      </c>
      <c r="H2329" t="s">
        <v>1598</v>
      </c>
      <c r="I2329" t="s">
        <v>16</v>
      </c>
      <c r="J2329" t="s">
        <v>52</v>
      </c>
      <c r="K2329" t="s">
        <v>35</v>
      </c>
      <c r="L2329" s="6">
        <v>0</v>
      </c>
      <c r="M2329" s="6">
        <v>300</v>
      </c>
      <c r="N2329" s="6">
        <v>300</v>
      </c>
      <c r="O2329" s="6">
        <v>4346.38</v>
      </c>
      <c r="P2329" s="7">
        <v>0</v>
      </c>
      <c r="Q2329" s="6">
        <v>0</v>
      </c>
    </row>
    <row r="2330" spans="1:18">
      <c r="A2330">
        <v>2329</v>
      </c>
      <c r="B2330" s="5">
        <v>45887</v>
      </c>
      <c r="C2330" t="s">
        <v>916</v>
      </c>
      <c r="D2330" t="s">
        <v>917</v>
      </c>
      <c r="E2330" t="s">
        <v>918</v>
      </c>
      <c r="F2330">
        <v>14</v>
      </c>
      <c r="G2330" t="s">
        <v>1599</v>
      </c>
      <c r="I2330" t="s">
        <v>16</v>
      </c>
      <c r="J2330" t="s">
        <v>52</v>
      </c>
      <c r="K2330" t="s">
        <v>35</v>
      </c>
      <c r="L2330" s="6">
        <v>0</v>
      </c>
      <c r="M2330" s="6">
        <v>2450</v>
      </c>
      <c r="N2330" s="6">
        <v>2450</v>
      </c>
      <c r="O2330" s="6">
        <v>6796.38</v>
      </c>
      <c r="P2330" s="7">
        <v>0</v>
      </c>
      <c r="Q2330" s="6">
        <v>0</v>
      </c>
    </row>
    <row r="2331" spans="1:18">
      <c r="A2331">
        <v>2330</v>
      </c>
      <c r="B2331" s="5">
        <v>45887</v>
      </c>
      <c r="C2331" t="s">
        <v>916</v>
      </c>
      <c r="D2331" t="s">
        <v>917</v>
      </c>
      <c r="E2331" t="s">
        <v>918</v>
      </c>
      <c r="F2331">
        <v>14</v>
      </c>
      <c r="G2331" t="s">
        <v>1600</v>
      </c>
      <c r="H2331" t="s">
        <v>1601</v>
      </c>
      <c r="I2331" t="s">
        <v>16</v>
      </c>
      <c r="J2331" t="s">
        <v>52</v>
      </c>
      <c r="K2331" t="s">
        <v>35</v>
      </c>
      <c r="L2331" s="6">
        <v>0</v>
      </c>
      <c r="M2331" s="6">
        <v>5000</v>
      </c>
      <c r="N2331" s="6">
        <v>5000</v>
      </c>
      <c r="O2331" s="6">
        <v>11796.38</v>
      </c>
      <c r="P2331" s="7">
        <v>0</v>
      </c>
      <c r="Q2331" s="6">
        <v>0</v>
      </c>
    </row>
    <row r="2332" spans="1:18">
      <c r="A2332">
        <v>2331</v>
      </c>
      <c r="B2332" s="5">
        <v>45887</v>
      </c>
      <c r="C2332" t="s">
        <v>916</v>
      </c>
      <c r="D2332" t="s">
        <v>917</v>
      </c>
      <c r="E2332" t="s">
        <v>918</v>
      </c>
      <c r="F2332">
        <v>14</v>
      </c>
      <c r="G2332" t="s">
        <v>1602</v>
      </c>
      <c r="I2332" t="s">
        <v>16</v>
      </c>
      <c r="J2332" t="s">
        <v>52</v>
      </c>
      <c r="K2332" t="s">
        <v>35</v>
      </c>
      <c r="L2332" s="6">
        <v>0</v>
      </c>
      <c r="M2332" s="6">
        <v>24798</v>
      </c>
      <c r="N2332" s="6">
        <v>24798</v>
      </c>
      <c r="O2332" s="6">
        <v>36594.379999999997</v>
      </c>
      <c r="P2332" s="7">
        <v>0</v>
      </c>
      <c r="Q2332" s="6">
        <v>0</v>
      </c>
    </row>
    <row r="2333" spans="1:18">
      <c r="A2333">
        <v>2332</v>
      </c>
      <c r="B2333" s="5">
        <v>45888</v>
      </c>
      <c r="C2333" t="s">
        <v>916</v>
      </c>
      <c r="D2333" t="s">
        <v>917</v>
      </c>
      <c r="E2333" t="s">
        <v>918</v>
      </c>
      <c r="F2333">
        <v>14</v>
      </c>
      <c r="G2333" t="s">
        <v>1603</v>
      </c>
      <c r="I2333" t="s">
        <v>21</v>
      </c>
      <c r="J2333" t="s">
        <v>171</v>
      </c>
      <c r="K2333" t="s">
        <v>34</v>
      </c>
      <c r="L2333" s="6">
        <v>25</v>
      </c>
      <c r="M2333" s="6">
        <v>0</v>
      </c>
      <c r="N2333" s="6">
        <v>-25</v>
      </c>
      <c r="O2333" s="6">
        <v>36569.379999999997</v>
      </c>
      <c r="P2333" s="7">
        <v>0</v>
      </c>
      <c r="Q2333" s="6">
        <v>0</v>
      </c>
      <c r="R2333" t="s">
        <v>169</v>
      </c>
    </row>
    <row r="2334" spans="1:18">
      <c r="A2334">
        <v>2333</v>
      </c>
      <c r="B2334" s="5">
        <v>45888</v>
      </c>
      <c r="C2334" t="s">
        <v>916</v>
      </c>
      <c r="D2334" t="s">
        <v>917</v>
      </c>
      <c r="E2334" t="s">
        <v>918</v>
      </c>
      <c r="F2334">
        <v>14</v>
      </c>
      <c r="G2334" t="s">
        <v>1604</v>
      </c>
      <c r="I2334" t="s">
        <v>21</v>
      </c>
      <c r="J2334" t="s">
        <v>171</v>
      </c>
      <c r="K2334" t="s">
        <v>34</v>
      </c>
      <c r="L2334" s="6">
        <v>25</v>
      </c>
      <c r="M2334" s="6">
        <v>0</v>
      </c>
      <c r="N2334" s="6">
        <v>-25</v>
      </c>
      <c r="O2334" s="6">
        <v>36544.379999999997</v>
      </c>
      <c r="P2334" s="7">
        <v>0</v>
      </c>
      <c r="Q2334" s="6">
        <v>0</v>
      </c>
      <c r="R2334" t="s">
        <v>169</v>
      </c>
    </row>
    <row r="2335" spans="1:18">
      <c r="A2335">
        <v>2334</v>
      </c>
      <c r="B2335" s="5">
        <v>45888</v>
      </c>
      <c r="C2335" t="s">
        <v>916</v>
      </c>
      <c r="D2335" t="s">
        <v>917</v>
      </c>
      <c r="E2335" t="s">
        <v>918</v>
      </c>
      <c r="F2335">
        <v>14</v>
      </c>
      <c r="G2335" t="s">
        <v>1605</v>
      </c>
      <c r="I2335" t="s">
        <v>21</v>
      </c>
      <c r="J2335" t="s">
        <v>171</v>
      </c>
      <c r="K2335" t="s">
        <v>34</v>
      </c>
      <c r="L2335" s="6">
        <v>25</v>
      </c>
      <c r="M2335" s="6">
        <v>0</v>
      </c>
      <c r="N2335" s="6">
        <v>-25</v>
      </c>
      <c r="O2335" s="6">
        <v>36519.379999999997</v>
      </c>
      <c r="P2335" s="7">
        <v>0</v>
      </c>
      <c r="Q2335" s="6">
        <v>0</v>
      </c>
      <c r="R2335" t="s">
        <v>169</v>
      </c>
    </row>
    <row r="2336" spans="1:18">
      <c r="A2336">
        <v>2335</v>
      </c>
      <c r="B2336" s="5">
        <v>45888</v>
      </c>
      <c r="C2336" t="s">
        <v>916</v>
      </c>
      <c r="D2336" t="s">
        <v>917</v>
      </c>
      <c r="E2336" t="s">
        <v>918</v>
      </c>
      <c r="F2336">
        <v>14</v>
      </c>
      <c r="G2336" t="s">
        <v>1606</v>
      </c>
      <c r="I2336" t="s">
        <v>21</v>
      </c>
      <c r="J2336" t="s">
        <v>171</v>
      </c>
      <c r="K2336" t="s">
        <v>34</v>
      </c>
      <c r="L2336" s="6">
        <v>25</v>
      </c>
      <c r="M2336" s="6">
        <v>0</v>
      </c>
      <c r="N2336" s="6">
        <v>-25</v>
      </c>
      <c r="O2336" s="6">
        <v>36494.379999999997</v>
      </c>
      <c r="P2336" s="7">
        <v>0</v>
      </c>
      <c r="Q2336" s="6">
        <v>0</v>
      </c>
      <c r="R2336" t="s">
        <v>169</v>
      </c>
    </row>
    <row r="2337" spans="1:18">
      <c r="A2337">
        <v>2336</v>
      </c>
      <c r="B2337" s="5">
        <v>45888</v>
      </c>
      <c r="C2337" t="s">
        <v>916</v>
      </c>
      <c r="D2337" t="s">
        <v>917</v>
      </c>
      <c r="E2337" t="s">
        <v>918</v>
      </c>
      <c r="F2337">
        <v>14</v>
      </c>
      <c r="G2337" t="s">
        <v>1607</v>
      </c>
      <c r="I2337" t="s">
        <v>21</v>
      </c>
      <c r="J2337" t="s">
        <v>171</v>
      </c>
      <c r="K2337" t="s">
        <v>34</v>
      </c>
      <c r="L2337" s="6">
        <v>25</v>
      </c>
      <c r="M2337" s="6">
        <v>0</v>
      </c>
      <c r="N2337" s="6">
        <v>-25</v>
      </c>
      <c r="O2337" s="6">
        <v>36469.379999999997</v>
      </c>
      <c r="P2337" s="7">
        <v>0</v>
      </c>
      <c r="Q2337" s="6">
        <v>0</v>
      </c>
      <c r="R2337" t="s">
        <v>169</v>
      </c>
    </row>
    <row r="2338" spans="1:18">
      <c r="A2338">
        <v>2337</v>
      </c>
      <c r="B2338" s="5">
        <v>45888</v>
      </c>
      <c r="C2338" t="s">
        <v>916</v>
      </c>
      <c r="D2338" t="s">
        <v>917</v>
      </c>
      <c r="E2338" t="s">
        <v>918</v>
      </c>
      <c r="F2338">
        <v>14</v>
      </c>
      <c r="G2338" t="s">
        <v>1608</v>
      </c>
      <c r="H2338" t="s">
        <v>1609</v>
      </c>
      <c r="I2338" t="s">
        <v>16</v>
      </c>
      <c r="J2338" t="s">
        <v>52</v>
      </c>
      <c r="K2338" t="s">
        <v>35</v>
      </c>
      <c r="L2338" s="6">
        <v>0</v>
      </c>
      <c r="M2338" s="6">
        <v>200</v>
      </c>
      <c r="N2338" s="6">
        <v>200</v>
      </c>
      <c r="O2338" s="6">
        <v>36669.379999999997</v>
      </c>
      <c r="P2338" s="7">
        <v>0</v>
      </c>
      <c r="Q2338" s="6">
        <v>0</v>
      </c>
    </row>
    <row r="2339" spans="1:18">
      <c r="A2339">
        <v>2338</v>
      </c>
      <c r="B2339" s="5">
        <v>45888</v>
      </c>
      <c r="C2339" t="s">
        <v>916</v>
      </c>
      <c r="D2339" t="s">
        <v>917</v>
      </c>
      <c r="E2339" t="s">
        <v>918</v>
      </c>
      <c r="F2339">
        <v>14</v>
      </c>
      <c r="G2339" t="s">
        <v>1610</v>
      </c>
      <c r="H2339" t="s">
        <v>66</v>
      </c>
      <c r="I2339" t="s">
        <v>22</v>
      </c>
      <c r="J2339" t="s">
        <v>67</v>
      </c>
      <c r="K2339" t="s">
        <v>34</v>
      </c>
      <c r="L2339" s="6">
        <v>20000</v>
      </c>
      <c r="M2339" s="6">
        <v>0</v>
      </c>
      <c r="N2339" s="6">
        <v>-20000</v>
      </c>
      <c r="O2339" s="6">
        <v>16669.38</v>
      </c>
      <c r="P2339" s="7">
        <v>0</v>
      </c>
      <c r="Q2339" s="6">
        <v>0</v>
      </c>
    </row>
    <row r="2340" spans="1:18">
      <c r="A2340">
        <v>2339</v>
      </c>
      <c r="B2340" s="5">
        <v>45888</v>
      </c>
      <c r="C2340" t="s">
        <v>916</v>
      </c>
      <c r="D2340" t="s">
        <v>917</v>
      </c>
      <c r="E2340" t="s">
        <v>918</v>
      </c>
      <c r="F2340">
        <v>14</v>
      </c>
      <c r="G2340" t="s">
        <v>900</v>
      </c>
      <c r="I2340" t="s">
        <v>16</v>
      </c>
      <c r="J2340" t="s">
        <v>52</v>
      </c>
      <c r="K2340" t="s">
        <v>35</v>
      </c>
      <c r="L2340" s="6">
        <v>0</v>
      </c>
      <c r="M2340" s="6">
        <v>1319.5</v>
      </c>
      <c r="N2340" s="6">
        <v>1319.5</v>
      </c>
      <c r="O2340" s="6">
        <v>17988.88</v>
      </c>
      <c r="P2340" s="7">
        <v>0</v>
      </c>
      <c r="Q2340" s="6">
        <v>0</v>
      </c>
    </row>
    <row r="2341" spans="1:18">
      <c r="A2341">
        <v>2340</v>
      </c>
      <c r="B2341" s="5">
        <v>45888</v>
      </c>
      <c r="C2341" t="s">
        <v>916</v>
      </c>
      <c r="D2341" t="s">
        <v>917</v>
      </c>
      <c r="E2341" t="s">
        <v>918</v>
      </c>
      <c r="F2341">
        <v>14</v>
      </c>
      <c r="G2341" t="s">
        <v>1611</v>
      </c>
      <c r="H2341" t="s">
        <v>929</v>
      </c>
      <c r="I2341" t="s">
        <v>22</v>
      </c>
      <c r="J2341" t="s">
        <v>67</v>
      </c>
      <c r="K2341" t="s">
        <v>34</v>
      </c>
      <c r="L2341" s="6">
        <v>144.62</v>
      </c>
      <c r="M2341" s="6">
        <v>0</v>
      </c>
      <c r="N2341" s="6">
        <v>-144.62</v>
      </c>
      <c r="O2341" s="6">
        <v>17844.259999999998</v>
      </c>
      <c r="P2341" s="7">
        <v>0</v>
      </c>
      <c r="Q2341" s="6">
        <v>0</v>
      </c>
    </row>
    <row r="2342" spans="1:18">
      <c r="A2342">
        <v>2341</v>
      </c>
      <c r="B2342" s="5">
        <v>45888</v>
      </c>
      <c r="C2342" t="s">
        <v>916</v>
      </c>
      <c r="D2342" t="s">
        <v>917</v>
      </c>
      <c r="E2342" t="s">
        <v>918</v>
      </c>
      <c r="F2342">
        <v>14</v>
      </c>
      <c r="G2342" t="s">
        <v>1612</v>
      </c>
      <c r="I2342" t="s">
        <v>15</v>
      </c>
      <c r="J2342" t="s">
        <v>52</v>
      </c>
      <c r="K2342" t="s">
        <v>35</v>
      </c>
      <c r="L2342" s="6">
        <v>0</v>
      </c>
      <c r="M2342" s="6">
        <v>47720</v>
      </c>
      <c r="N2342" s="6">
        <v>47720</v>
      </c>
      <c r="O2342" s="6">
        <v>65564.259999999995</v>
      </c>
      <c r="P2342" s="7">
        <v>0</v>
      </c>
      <c r="Q2342" s="6">
        <v>0</v>
      </c>
    </row>
    <row r="2343" spans="1:18">
      <c r="A2343">
        <v>2342</v>
      </c>
      <c r="B2343" s="5">
        <v>45888</v>
      </c>
      <c r="C2343" t="s">
        <v>916</v>
      </c>
      <c r="D2343" t="s">
        <v>917</v>
      </c>
      <c r="E2343" t="s">
        <v>918</v>
      </c>
      <c r="F2343">
        <v>14</v>
      </c>
      <c r="G2343" t="s">
        <v>1613</v>
      </c>
      <c r="H2343" t="s">
        <v>66</v>
      </c>
      <c r="I2343" t="s">
        <v>22</v>
      </c>
      <c r="J2343" t="s">
        <v>67</v>
      </c>
      <c r="K2343" t="s">
        <v>34</v>
      </c>
      <c r="L2343" s="6">
        <v>40000</v>
      </c>
      <c r="M2343" s="6">
        <v>0</v>
      </c>
      <c r="N2343" s="6">
        <v>-40000</v>
      </c>
      <c r="O2343" s="6">
        <v>25564.26</v>
      </c>
      <c r="P2343" s="7">
        <v>0</v>
      </c>
      <c r="Q2343" s="6">
        <v>0</v>
      </c>
    </row>
    <row r="2344" spans="1:18">
      <c r="A2344">
        <v>2343</v>
      </c>
      <c r="B2344" s="5">
        <v>45888</v>
      </c>
      <c r="C2344" t="s">
        <v>916</v>
      </c>
      <c r="D2344" t="s">
        <v>917</v>
      </c>
      <c r="E2344" t="s">
        <v>918</v>
      </c>
      <c r="F2344">
        <v>14</v>
      </c>
      <c r="G2344" t="s">
        <v>1608</v>
      </c>
      <c r="H2344" t="s">
        <v>1609</v>
      </c>
      <c r="I2344" t="s">
        <v>16</v>
      </c>
      <c r="J2344" t="s">
        <v>52</v>
      </c>
      <c r="K2344" t="s">
        <v>35</v>
      </c>
      <c r="L2344" s="6">
        <v>0</v>
      </c>
      <c r="M2344" s="6">
        <v>50</v>
      </c>
      <c r="N2344" s="6">
        <v>50</v>
      </c>
      <c r="O2344" s="6">
        <v>25614.26</v>
      </c>
      <c r="P2344" s="7">
        <v>0</v>
      </c>
      <c r="Q2344" s="6">
        <v>0</v>
      </c>
    </row>
    <row r="2345" spans="1:18">
      <c r="A2345">
        <v>2344</v>
      </c>
      <c r="B2345" s="5">
        <v>45888</v>
      </c>
      <c r="C2345" t="s">
        <v>916</v>
      </c>
      <c r="D2345" t="s">
        <v>917</v>
      </c>
      <c r="E2345" t="s">
        <v>918</v>
      </c>
      <c r="F2345">
        <v>14</v>
      </c>
      <c r="G2345" t="s">
        <v>1614</v>
      </c>
      <c r="H2345" t="s">
        <v>929</v>
      </c>
      <c r="I2345" t="s">
        <v>22</v>
      </c>
      <c r="J2345" t="s">
        <v>67</v>
      </c>
      <c r="K2345" t="s">
        <v>34</v>
      </c>
      <c r="L2345" s="6">
        <v>82</v>
      </c>
      <c r="M2345" s="6">
        <v>0</v>
      </c>
      <c r="N2345" s="6">
        <v>-82</v>
      </c>
      <c r="O2345" s="6">
        <v>25532.26</v>
      </c>
      <c r="P2345" s="7">
        <v>0</v>
      </c>
      <c r="Q2345" s="6">
        <v>0</v>
      </c>
    </row>
    <row r="2346" spans="1:18">
      <c r="A2346">
        <v>2345</v>
      </c>
      <c r="B2346" s="5">
        <v>45888</v>
      </c>
      <c r="C2346" t="s">
        <v>916</v>
      </c>
      <c r="D2346" t="s">
        <v>917</v>
      </c>
      <c r="E2346" t="s">
        <v>918</v>
      </c>
      <c r="F2346">
        <v>14</v>
      </c>
      <c r="G2346" t="s">
        <v>1615</v>
      </c>
      <c r="H2346" t="s">
        <v>66</v>
      </c>
      <c r="I2346" t="s">
        <v>22</v>
      </c>
      <c r="J2346" t="s">
        <v>67</v>
      </c>
      <c r="K2346" t="s">
        <v>34</v>
      </c>
      <c r="L2346" s="6">
        <v>300</v>
      </c>
      <c r="M2346" s="6">
        <v>0</v>
      </c>
      <c r="N2346" s="6">
        <v>-300</v>
      </c>
      <c r="O2346" s="6">
        <v>25232.26</v>
      </c>
      <c r="P2346" s="7">
        <v>0</v>
      </c>
      <c r="Q2346" s="6">
        <v>0</v>
      </c>
    </row>
    <row r="2347" spans="1:18">
      <c r="A2347">
        <v>2346</v>
      </c>
      <c r="B2347" s="5">
        <v>45888</v>
      </c>
      <c r="C2347" t="s">
        <v>916</v>
      </c>
      <c r="D2347" t="s">
        <v>917</v>
      </c>
      <c r="E2347" t="s">
        <v>918</v>
      </c>
      <c r="F2347">
        <v>14</v>
      </c>
      <c r="G2347" t="s">
        <v>1616</v>
      </c>
      <c r="H2347" t="s">
        <v>66</v>
      </c>
      <c r="I2347" t="s">
        <v>22</v>
      </c>
      <c r="J2347" t="s">
        <v>67</v>
      </c>
      <c r="K2347" t="s">
        <v>34</v>
      </c>
      <c r="L2347" s="6">
        <v>100</v>
      </c>
      <c r="M2347" s="6">
        <v>0</v>
      </c>
      <c r="N2347" s="6">
        <v>-100</v>
      </c>
      <c r="O2347" s="6">
        <v>25132.26</v>
      </c>
      <c r="P2347" s="7">
        <v>0</v>
      </c>
      <c r="Q2347" s="6">
        <v>0</v>
      </c>
    </row>
    <row r="2348" spans="1:18">
      <c r="A2348">
        <v>2347</v>
      </c>
      <c r="B2348" s="5">
        <v>45888</v>
      </c>
      <c r="C2348" t="s">
        <v>916</v>
      </c>
      <c r="D2348" t="s">
        <v>917</v>
      </c>
      <c r="E2348" t="s">
        <v>918</v>
      </c>
      <c r="F2348">
        <v>14</v>
      </c>
      <c r="G2348" t="s">
        <v>1617</v>
      </c>
      <c r="H2348" t="s">
        <v>66</v>
      </c>
      <c r="I2348" t="s">
        <v>22</v>
      </c>
      <c r="J2348" t="s">
        <v>67</v>
      </c>
      <c r="K2348" t="s">
        <v>34</v>
      </c>
      <c r="L2348" s="6">
        <v>400</v>
      </c>
      <c r="M2348" s="6">
        <v>0</v>
      </c>
      <c r="N2348" s="6">
        <v>-400</v>
      </c>
      <c r="O2348" s="6">
        <v>24732.26</v>
      </c>
      <c r="P2348" s="7">
        <v>0</v>
      </c>
      <c r="Q2348" s="6">
        <v>0</v>
      </c>
    </row>
    <row r="2349" spans="1:18">
      <c r="A2349">
        <v>2348</v>
      </c>
      <c r="B2349" s="5">
        <v>45888</v>
      </c>
      <c r="C2349" t="s">
        <v>916</v>
      </c>
      <c r="D2349" t="s">
        <v>917</v>
      </c>
      <c r="E2349" t="s">
        <v>918</v>
      </c>
      <c r="F2349">
        <v>15</v>
      </c>
      <c r="G2349" t="s">
        <v>1517</v>
      </c>
      <c r="H2349" t="s">
        <v>1518</v>
      </c>
      <c r="I2349" t="s">
        <v>16</v>
      </c>
      <c r="J2349" t="s">
        <v>52</v>
      </c>
      <c r="K2349" t="s">
        <v>35</v>
      </c>
      <c r="L2349" s="6">
        <v>0</v>
      </c>
      <c r="M2349" s="6">
        <v>95</v>
      </c>
      <c r="N2349" s="6">
        <v>95</v>
      </c>
      <c r="O2349" s="6">
        <v>24827.26</v>
      </c>
      <c r="P2349" s="7">
        <v>0</v>
      </c>
      <c r="Q2349" s="6">
        <v>0</v>
      </c>
    </row>
    <row r="2350" spans="1:18">
      <c r="A2350">
        <v>2349</v>
      </c>
      <c r="B2350" s="5">
        <v>45888</v>
      </c>
      <c r="C2350" t="s">
        <v>916</v>
      </c>
      <c r="D2350" t="s">
        <v>917</v>
      </c>
      <c r="E2350" t="s">
        <v>918</v>
      </c>
      <c r="F2350">
        <v>15</v>
      </c>
      <c r="G2350" t="s">
        <v>1618</v>
      </c>
      <c r="H2350" t="s">
        <v>929</v>
      </c>
      <c r="I2350" t="s">
        <v>22</v>
      </c>
      <c r="J2350" t="s">
        <v>67</v>
      </c>
      <c r="K2350" t="s">
        <v>34</v>
      </c>
      <c r="L2350" s="6">
        <v>361.97</v>
      </c>
      <c r="M2350" s="6">
        <v>0</v>
      </c>
      <c r="N2350" s="6">
        <v>-361.97</v>
      </c>
      <c r="O2350" s="6">
        <v>24465.29</v>
      </c>
      <c r="P2350" s="7">
        <v>0</v>
      </c>
      <c r="Q2350" s="6">
        <v>0</v>
      </c>
    </row>
    <row r="2351" spans="1:18">
      <c r="A2351">
        <v>2350</v>
      </c>
      <c r="B2351" s="5">
        <v>45888</v>
      </c>
      <c r="C2351" t="s">
        <v>916</v>
      </c>
      <c r="D2351" t="s">
        <v>917</v>
      </c>
      <c r="E2351" t="s">
        <v>918</v>
      </c>
      <c r="F2351">
        <v>15</v>
      </c>
      <c r="G2351" t="s">
        <v>1619</v>
      </c>
      <c r="H2351" t="s">
        <v>929</v>
      </c>
      <c r="I2351" t="s">
        <v>22</v>
      </c>
      <c r="J2351" t="s">
        <v>67</v>
      </c>
      <c r="K2351" t="s">
        <v>34</v>
      </c>
      <c r="L2351" s="6">
        <v>500</v>
      </c>
      <c r="M2351" s="6">
        <v>0</v>
      </c>
      <c r="N2351" s="6">
        <v>-500</v>
      </c>
      <c r="O2351" s="6">
        <v>23965.29</v>
      </c>
      <c r="P2351" s="7">
        <v>0</v>
      </c>
      <c r="Q2351" s="6">
        <v>0</v>
      </c>
    </row>
    <row r="2352" spans="1:18">
      <c r="A2352">
        <v>2351</v>
      </c>
      <c r="B2352" s="5">
        <v>45888</v>
      </c>
      <c r="C2352" t="s">
        <v>916</v>
      </c>
      <c r="D2352" t="s">
        <v>917</v>
      </c>
      <c r="E2352" t="s">
        <v>918</v>
      </c>
      <c r="F2352">
        <v>15</v>
      </c>
      <c r="G2352" t="s">
        <v>1620</v>
      </c>
      <c r="H2352" t="s">
        <v>66</v>
      </c>
      <c r="I2352" t="s">
        <v>22</v>
      </c>
      <c r="J2352" t="s">
        <v>67</v>
      </c>
      <c r="K2352" t="s">
        <v>34</v>
      </c>
      <c r="L2352" s="6">
        <v>3500</v>
      </c>
      <c r="M2352" s="6">
        <v>0</v>
      </c>
      <c r="N2352" s="6">
        <v>-3500</v>
      </c>
      <c r="O2352" s="6">
        <v>20465.29</v>
      </c>
      <c r="P2352" s="7">
        <v>0</v>
      </c>
      <c r="Q2352" s="6">
        <v>0</v>
      </c>
    </row>
    <row r="2353" spans="1:17">
      <c r="A2353">
        <v>2352</v>
      </c>
      <c r="B2353" s="5">
        <v>45888</v>
      </c>
      <c r="C2353" t="s">
        <v>916</v>
      </c>
      <c r="D2353" t="s">
        <v>917</v>
      </c>
      <c r="E2353" t="s">
        <v>918</v>
      </c>
      <c r="F2353">
        <v>15</v>
      </c>
      <c r="G2353" t="s">
        <v>1621</v>
      </c>
      <c r="H2353" t="s">
        <v>66</v>
      </c>
      <c r="I2353" t="s">
        <v>22</v>
      </c>
      <c r="J2353" t="s">
        <v>67</v>
      </c>
      <c r="K2353" t="s">
        <v>34</v>
      </c>
      <c r="L2353" s="6">
        <v>3750</v>
      </c>
      <c r="M2353" s="6">
        <v>0</v>
      </c>
      <c r="N2353" s="6">
        <v>-3750</v>
      </c>
      <c r="O2353" s="6">
        <v>16715.29</v>
      </c>
      <c r="P2353" s="7">
        <v>0</v>
      </c>
      <c r="Q2353" s="6">
        <v>0</v>
      </c>
    </row>
    <row r="2354" spans="1:17">
      <c r="A2354">
        <v>2353</v>
      </c>
      <c r="B2354" s="5">
        <v>45888</v>
      </c>
      <c r="C2354" t="s">
        <v>916</v>
      </c>
      <c r="D2354" t="s">
        <v>917</v>
      </c>
      <c r="E2354" t="s">
        <v>918</v>
      </c>
      <c r="F2354">
        <v>15</v>
      </c>
      <c r="G2354" t="s">
        <v>1147</v>
      </c>
      <c r="H2354" t="s">
        <v>1148</v>
      </c>
      <c r="I2354" t="s">
        <v>16</v>
      </c>
      <c r="J2354" t="s">
        <v>52</v>
      </c>
      <c r="K2354" t="s">
        <v>35</v>
      </c>
      <c r="L2354" s="6">
        <v>0</v>
      </c>
      <c r="M2354" s="6">
        <v>1400</v>
      </c>
      <c r="N2354" s="6">
        <v>1400</v>
      </c>
      <c r="O2354" s="6">
        <v>18115.29</v>
      </c>
      <c r="P2354" s="7">
        <v>0</v>
      </c>
      <c r="Q2354" s="6">
        <v>0</v>
      </c>
    </row>
    <row r="2355" spans="1:17">
      <c r="A2355">
        <v>2354</v>
      </c>
      <c r="B2355" s="5">
        <v>45888</v>
      </c>
      <c r="C2355" t="s">
        <v>916</v>
      </c>
      <c r="D2355" t="s">
        <v>917</v>
      </c>
      <c r="E2355" t="s">
        <v>918</v>
      </c>
      <c r="F2355">
        <v>15</v>
      </c>
      <c r="G2355" t="s">
        <v>1622</v>
      </c>
      <c r="I2355" t="s">
        <v>16</v>
      </c>
      <c r="J2355" t="s">
        <v>52</v>
      </c>
      <c r="K2355" t="s">
        <v>35</v>
      </c>
      <c r="L2355" s="6">
        <v>0</v>
      </c>
      <c r="M2355" s="6">
        <v>4156</v>
      </c>
      <c r="N2355" s="6">
        <v>4156</v>
      </c>
      <c r="O2355" s="6">
        <v>22271.29</v>
      </c>
      <c r="P2355" s="7">
        <v>0</v>
      </c>
      <c r="Q2355" s="6">
        <v>0</v>
      </c>
    </row>
    <row r="2356" spans="1:17">
      <c r="A2356">
        <v>2355</v>
      </c>
      <c r="B2356" s="5">
        <v>45889</v>
      </c>
      <c r="C2356" t="s">
        <v>916</v>
      </c>
      <c r="D2356" t="s">
        <v>917</v>
      </c>
      <c r="E2356" t="s">
        <v>918</v>
      </c>
      <c r="F2356">
        <v>15</v>
      </c>
      <c r="G2356" t="s">
        <v>1317</v>
      </c>
      <c r="H2356" t="s">
        <v>1318</v>
      </c>
      <c r="I2356" t="s">
        <v>16</v>
      </c>
      <c r="J2356" t="s">
        <v>52</v>
      </c>
      <c r="K2356" t="s">
        <v>35</v>
      </c>
      <c r="L2356" s="6">
        <v>0</v>
      </c>
      <c r="M2356" s="6">
        <v>500</v>
      </c>
      <c r="N2356" s="6">
        <v>500</v>
      </c>
      <c r="O2356" s="6">
        <v>22771.29</v>
      </c>
      <c r="P2356" s="7">
        <v>0</v>
      </c>
      <c r="Q2356" s="6">
        <v>0</v>
      </c>
    </row>
    <row r="2357" spans="1:17">
      <c r="A2357">
        <v>2356</v>
      </c>
      <c r="B2357" s="5">
        <v>45889</v>
      </c>
      <c r="C2357" t="s">
        <v>916</v>
      </c>
      <c r="D2357" t="s">
        <v>917</v>
      </c>
      <c r="E2357" t="s">
        <v>918</v>
      </c>
      <c r="F2357">
        <v>15</v>
      </c>
      <c r="G2357" t="s">
        <v>1517</v>
      </c>
      <c r="H2357" t="s">
        <v>1518</v>
      </c>
      <c r="I2357" t="s">
        <v>16</v>
      </c>
      <c r="J2357" t="s">
        <v>52</v>
      </c>
      <c r="K2357" t="s">
        <v>35</v>
      </c>
      <c r="L2357" s="6">
        <v>0</v>
      </c>
      <c r="M2357" s="6">
        <v>20</v>
      </c>
      <c r="N2357" s="6">
        <v>20</v>
      </c>
      <c r="O2357" s="6">
        <v>22791.29</v>
      </c>
      <c r="P2357" s="7">
        <v>0</v>
      </c>
      <c r="Q2357" s="6">
        <v>0</v>
      </c>
    </row>
    <row r="2358" spans="1:17">
      <c r="A2358">
        <v>2357</v>
      </c>
      <c r="B2358" s="5">
        <v>45889</v>
      </c>
      <c r="C2358" t="s">
        <v>916</v>
      </c>
      <c r="D2358" t="s">
        <v>917</v>
      </c>
      <c r="E2358" t="s">
        <v>918</v>
      </c>
      <c r="F2358">
        <v>15</v>
      </c>
      <c r="G2358" t="s">
        <v>1623</v>
      </c>
      <c r="H2358" t="s">
        <v>66</v>
      </c>
      <c r="I2358" t="s">
        <v>22</v>
      </c>
      <c r="J2358" t="s">
        <v>67</v>
      </c>
      <c r="K2358" t="s">
        <v>34</v>
      </c>
      <c r="L2358" s="6">
        <v>158</v>
      </c>
      <c r="M2358" s="6">
        <v>0</v>
      </c>
      <c r="N2358" s="6">
        <v>-158</v>
      </c>
      <c r="O2358" s="6">
        <v>22633.29</v>
      </c>
      <c r="P2358" s="7">
        <v>0</v>
      </c>
      <c r="Q2358" s="6">
        <v>0</v>
      </c>
    </row>
    <row r="2359" spans="1:17">
      <c r="A2359">
        <v>2358</v>
      </c>
      <c r="B2359" s="5">
        <v>45889</v>
      </c>
      <c r="C2359" t="s">
        <v>916</v>
      </c>
      <c r="D2359" t="s">
        <v>917</v>
      </c>
      <c r="E2359" t="s">
        <v>918</v>
      </c>
      <c r="F2359">
        <v>15</v>
      </c>
      <c r="G2359" t="s">
        <v>1624</v>
      </c>
      <c r="H2359" t="s">
        <v>929</v>
      </c>
      <c r="I2359" t="s">
        <v>22</v>
      </c>
      <c r="J2359" t="s">
        <v>67</v>
      </c>
      <c r="K2359" t="s">
        <v>34</v>
      </c>
      <c r="L2359" s="6">
        <v>190</v>
      </c>
      <c r="M2359" s="6">
        <v>0</v>
      </c>
      <c r="N2359" s="6">
        <v>-190</v>
      </c>
      <c r="O2359" s="6">
        <v>22443.29</v>
      </c>
      <c r="P2359" s="7">
        <v>0</v>
      </c>
      <c r="Q2359" s="6">
        <v>0</v>
      </c>
    </row>
    <row r="2360" spans="1:17">
      <c r="A2360">
        <v>2359</v>
      </c>
      <c r="B2360" s="5">
        <v>45889</v>
      </c>
      <c r="C2360" t="s">
        <v>916</v>
      </c>
      <c r="D2360" t="s">
        <v>917</v>
      </c>
      <c r="E2360" t="s">
        <v>918</v>
      </c>
      <c r="F2360">
        <v>15</v>
      </c>
      <c r="G2360" t="s">
        <v>1625</v>
      </c>
      <c r="H2360" t="s">
        <v>929</v>
      </c>
      <c r="I2360" t="s">
        <v>22</v>
      </c>
      <c r="J2360" t="s">
        <v>67</v>
      </c>
      <c r="K2360" t="s">
        <v>34</v>
      </c>
      <c r="L2360" s="6">
        <v>200</v>
      </c>
      <c r="M2360" s="6">
        <v>0</v>
      </c>
      <c r="N2360" s="6">
        <v>-200</v>
      </c>
      <c r="O2360" s="6">
        <v>22243.29</v>
      </c>
      <c r="P2360" s="7">
        <v>0</v>
      </c>
      <c r="Q2360" s="6">
        <v>0</v>
      </c>
    </row>
    <row r="2361" spans="1:17">
      <c r="A2361">
        <v>2360</v>
      </c>
      <c r="B2361" s="5">
        <v>45889</v>
      </c>
      <c r="C2361" t="s">
        <v>916</v>
      </c>
      <c r="D2361" t="s">
        <v>917</v>
      </c>
      <c r="E2361" t="s">
        <v>918</v>
      </c>
      <c r="F2361">
        <v>15</v>
      </c>
      <c r="G2361" t="s">
        <v>1626</v>
      </c>
      <c r="H2361" t="s">
        <v>929</v>
      </c>
      <c r="I2361" t="s">
        <v>22</v>
      </c>
      <c r="J2361" t="s">
        <v>67</v>
      </c>
      <c r="K2361" t="s">
        <v>34</v>
      </c>
      <c r="L2361" s="6">
        <v>20</v>
      </c>
      <c r="M2361" s="6">
        <v>0</v>
      </c>
      <c r="N2361" s="6">
        <v>-20</v>
      </c>
      <c r="O2361" s="6">
        <v>22223.29</v>
      </c>
      <c r="P2361" s="7">
        <v>0</v>
      </c>
      <c r="Q2361" s="6">
        <v>0</v>
      </c>
    </row>
    <row r="2362" spans="1:17">
      <c r="A2362">
        <v>2361</v>
      </c>
      <c r="B2362" s="5">
        <v>45889</v>
      </c>
      <c r="C2362" t="s">
        <v>916</v>
      </c>
      <c r="D2362" t="s">
        <v>917</v>
      </c>
      <c r="E2362" t="s">
        <v>918</v>
      </c>
      <c r="F2362">
        <v>15</v>
      </c>
      <c r="G2362" t="s">
        <v>1627</v>
      </c>
      <c r="H2362" t="s">
        <v>66</v>
      </c>
      <c r="I2362" t="s">
        <v>22</v>
      </c>
      <c r="J2362" t="s">
        <v>67</v>
      </c>
      <c r="K2362" t="s">
        <v>34</v>
      </c>
      <c r="L2362" s="6">
        <v>500.15</v>
      </c>
      <c r="M2362" s="6">
        <v>0</v>
      </c>
      <c r="N2362" s="6">
        <v>-500.15</v>
      </c>
      <c r="O2362" s="6">
        <v>21723.14</v>
      </c>
      <c r="P2362" s="7">
        <v>0</v>
      </c>
      <c r="Q2362" s="6">
        <v>0</v>
      </c>
    </row>
    <row r="2363" spans="1:17">
      <c r="A2363">
        <v>2362</v>
      </c>
      <c r="B2363" s="5">
        <v>45889</v>
      </c>
      <c r="C2363" t="s">
        <v>916</v>
      </c>
      <c r="D2363" t="s">
        <v>917</v>
      </c>
      <c r="E2363" t="s">
        <v>918</v>
      </c>
      <c r="F2363">
        <v>15</v>
      </c>
      <c r="G2363" t="s">
        <v>1628</v>
      </c>
      <c r="H2363" t="s">
        <v>66</v>
      </c>
      <c r="I2363" t="s">
        <v>22</v>
      </c>
      <c r="J2363" t="s">
        <v>67</v>
      </c>
      <c r="K2363" t="s">
        <v>34</v>
      </c>
      <c r="L2363" s="6">
        <v>63</v>
      </c>
      <c r="M2363" s="6">
        <v>0</v>
      </c>
      <c r="N2363" s="6">
        <v>-63</v>
      </c>
      <c r="O2363" s="6">
        <v>21660.14</v>
      </c>
      <c r="P2363" s="7">
        <v>0</v>
      </c>
      <c r="Q2363" s="6">
        <v>0</v>
      </c>
    </row>
    <row r="2364" spans="1:17">
      <c r="A2364">
        <v>2363</v>
      </c>
      <c r="B2364" s="5">
        <v>45889</v>
      </c>
      <c r="C2364" t="s">
        <v>916</v>
      </c>
      <c r="D2364" t="s">
        <v>917</v>
      </c>
      <c r="E2364" t="s">
        <v>918</v>
      </c>
      <c r="F2364">
        <v>15</v>
      </c>
      <c r="G2364" t="s">
        <v>1629</v>
      </c>
      <c r="H2364" t="s">
        <v>929</v>
      </c>
      <c r="I2364" t="s">
        <v>22</v>
      </c>
      <c r="J2364" t="s">
        <v>67</v>
      </c>
      <c r="K2364" t="s">
        <v>34</v>
      </c>
      <c r="L2364" s="6">
        <v>198.31</v>
      </c>
      <c r="M2364" s="6">
        <v>0</v>
      </c>
      <c r="N2364" s="6">
        <v>-198.31</v>
      </c>
      <c r="O2364" s="6">
        <v>21461.83</v>
      </c>
      <c r="P2364" s="7">
        <v>0</v>
      </c>
      <c r="Q2364" s="6">
        <v>0</v>
      </c>
    </row>
    <row r="2365" spans="1:17">
      <c r="A2365">
        <v>2364</v>
      </c>
      <c r="B2365" s="5">
        <v>45889</v>
      </c>
      <c r="C2365" t="s">
        <v>916</v>
      </c>
      <c r="D2365" t="s">
        <v>917</v>
      </c>
      <c r="E2365" t="s">
        <v>918</v>
      </c>
      <c r="F2365">
        <v>15</v>
      </c>
      <c r="G2365" t="s">
        <v>1630</v>
      </c>
      <c r="H2365" t="s">
        <v>929</v>
      </c>
      <c r="I2365" t="s">
        <v>22</v>
      </c>
      <c r="J2365" t="s">
        <v>67</v>
      </c>
      <c r="K2365" t="s">
        <v>34</v>
      </c>
      <c r="L2365" s="6">
        <v>300</v>
      </c>
      <c r="M2365" s="6">
        <v>0</v>
      </c>
      <c r="N2365" s="6">
        <v>-300</v>
      </c>
      <c r="O2365" s="6">
        <v>21161.83</v>
      </c>
      <c r="P2365" s="7">
        <v>0</v>
      </c>
      <c r="Q2365" s="6">
        <v>0</v>
      </c>
    </row>
    <row r="2366" spans="1:17">
      <c r="A2366">
        <v>2365</v>
      </c>
      <c r="B2366" s="5">
        <v>45889</v>
      </c>
      <c r="C2366" t="s">
        <v>916</v>
      </c>
      <c r="D2366" t="s">
        <v>917</v>
      </c>
      <c r="E2366" t="s">
        <v>918</v>
      </c>
      <c r="F2366">
        <v>15</v>
      </c>
      <c r="G2366" t="s">
        <v>1631</v>
      </c>
      <c r="H2366" t="s">
        <v>1632</v>
      </c>
      <c r="I2366" t="s">
        <v>16</v>
      </c>
      <c r="J2366" t="s">
        <v>52</v>
      </c>
      <c r="K2366" t="s">
        <v>35</v>
      </c>
      <c r="L2366" s="6">
        <v>0</v>
      </c>
      <c r="M2366" s="6">
        <v>80</v>
      </c>
      <c r="N2366" s="6">
        <v>80</v>
      </c>
      <c r="O2366" s="6">
        <v>21241.83</v>
      </c>
      <c r="P2366" s="7">
        <v>0</v>
      </c>
      <c r="Q2366" s="6">
        <v>0</v>
      </c>
    </row>
    <row r="2367" spans="1:17">
      <c r="A2367">
        <v>2366</v>
      </c>
      <c r="B2367" s="5">
        <v>45889</v>
      </c>
      <c r="C2367" t="s">
        <v>916</v>
      </c>
      <c r="D2367" t="s">
        <v>917</v>
      </c>
      <c r="E2367" t="s">
        <v>918</v>
      </c>
      <c r="F2367">
        <v>15</v>
      </c>
      <c r="G2367" t="s">
        <v>1633</v>
      </c>
      <c r="H2367" t="s">
        <v>66</v>
      </c>
      <c r="I2367" t="s">
        <v>22</v>
      </c>
      <c r="J2367" t="s">
        <v>67</v>
      </c>
      <c r="K2367" t="s">
        <v>34</v>
      </c>
      <c r="L2367" s="6">
        <v>100</v>
      </c>
      <c r="M2367" s="6">
        <v>0</v>
      </c>
      <c r="N2367" s="6">
        <v>-100</v>
      </c>
      <c r="O2367" s="6">
        <v>21141.83</v>
      </c>
      <c r="P2367" s="7">
        <v>0</v>
      </c>
      <c r="Q2367" s="6">
        <v>0</v>
      </c>
    </row>
    <row r="2368" spans="1:17">
      <c r="A2368">
        <v>2367</v>
      </c>
      <c r="B2368" s="5">
        <v>45889</v>
      </c>
      <c r="C2368" t="s">
        <v>916</v>
      </c>
      <c r="D2368" t="s">
        <v>917</v>
      </c>
      <c r="E2368" t="s">
        <v>918</v>
      </c>
      <c r="F2368">
        <v>15</v>
      </c>
      <c r="G2368" t="s">
        <v>1634</v>
      </c>
      <c r="H2368" t="s">
        <v>929</v>
      </c>
      <c r="I2368" t="s">
        <v>22</v>
      </c>
      <c r="J2368" t="s">
        <v>67</v>
      </c>
      <c r="K2368" t="s">
        <v>34</v>
      </c>
      <c r="L2368" s="6">
        <v>100</v>
      </c>
      <c r="M2368" s="6">
        <v>0</v>
      </c>
      <c r="N2368" s="6">
        <v>-100</v>
      </c>
      <c r="O2368" s="6">
        <v>21041.83</v>
      </c>
      <c r="P2368" s="7">
        <v>0</v>
      </c>
      <c r="Q2368" s="6">
        <v>0</v>
      </c>
    </row>
    <row r="2369" spans="1:17">
      <c r="A2369">
        <v>2368</v>
      </c>
      <c r="B2369" s="5">
        <v>45889</v>
      </c>
      <c r="C2369" t="s">
        <v>916</v>
      </c>
      <c r="D2369" t="s">
        <v>917</v>
      </c>
      <c r="E2369" t="s">
        <v>918</v>
      </c>
      <c r="F2369">
        <v>15</v>
      </c>
      <c r="G2369" t="s">
        <v>1635</v>
      </c>
      <c r="H2369" t="s">
        <v>929</v>
      </c>
      <c r="I2369" t="s">
        <v>22</v>
      </c>
      <c r="J2369" t="s">
        <v>67</v>
      </c>
      <c r="K2369" t="s">
        <v>34</v>
      </c>
      <c r="L2369" s="6">
        <v>88</v>
      </c>
      <c r="M2369" s="6">
        <v>0</v>
      </c>
      <c r="N2369" s="6">
        <v>-88</v>
      </c>
      <c r="O2369" s="6">
        <v>20953.830000000002</v>
      </c>
      <c r="P2369" s="7">
        <v>0</v>
      </c>
      <c r="Q2369" s="6">
        <v>0</v>
      </c>
    </row>
    <row r="2370" spans="1:17">
      <c r="A2370">
        <v>2369</v>
      </c>
      <c r="B2370" s="5">
        <v>45889</v>
      </c>
      <c r="C2370" t="s">
        <v>916</v>
      </c>
      <c r="D2370" t="s">
        <v>917</v>
      </c>
      <c r="E2370" t="s">
        <v>918</v>
      </c>
      <c r="F2370">
        <v>15</v>
      </c>
      <c r="G2370" t="s">
        <v>1636</v>
      </c>
      <c r="H2370" t="s">
        <v>929</v>
      </c>
      <c r="I2370" t="s">
        <v>22</v>
      </c>
      <c r="J2370" t="s">
        <v>67</v>
      </c>
      <c r="K2370" t="s">
        <v>34</v>
      </c>
      <c r="L2370" s="6">
        <v>122</v>
      </c>
      <c r="M2370" s="6">
        <v>0</v>
      </c>
      <c r="N2370" s="6">
        <v>-122</v>
      </c>
      <c r="O2370" s="6">
        <v>20831.830000000002</v>
      </c>
      <c r="P2370" s="7">
        <v>0</v>
      </c>
      <c r="Q2370" s="6">
        <v>0</v>
      </c>
    </row>
    <row r="2371" spans="1:17">
      <c r="A2371">
        <v>2370</v>
      </c>
      <c r="B2371" s="5">
        <v>45889</v>
      </c>
      <c r="C2371" t="s">
        <v>916</v>
      </c>
      <c r="D2371" t="s">
        <v>917</v>
      </c>
      <c r="E2371" t="s">
        <v>918</v>
      </c>
      <c r="F2371">
        <v>15</v>
      </c>
      <c r="G2371" t="s">
        <v>1637</v>
      </c>
      <c r="H2371" t="s">
        <v>929</v>
      </c>
      <c r="I2371" t="s">
        <v>22</v>
      </c>
      <c r="J2371" t="s">
        <v>67</v>
      </c>
      <c r="K2371" t="s">
        <v>34</v>
      </c>
      <c r="L2371" s="6">
        <v>10000</v>
      </c>
      <c r="M2371" s="6">
        <v>0</v>
      </c>
      <c r="N2371" s="6">
        <v>-10000</v>
      </c>
      <c r="O2371" s="6">
        <v>10831.83</v>
      </c>
      <c r="P2371" s="7">
        <v>0</v>
      </c>
      <c r="Q2371" s="6">
        <v>0</v>
      </c>
    </row>
    <row r="2372" spans="1:17">
      <c r="A2372">
        <v>2371</v>
      </c>
      <c r="B2372" s="5">
        <v>45889</v>
      </c>
      <c r="C2372" t="s">
        <v>916</v>
      </c>
      <c r="D2372" t="s">
        <v>917</v>
      </c>
      <c r="E2372" t="s">
        <v>918</v>
      </c>
      <c r="F2372">
        <v>15</v>
      </c>
      <c r="G2372" t="s">
        <v>1638</v>
      </c>
      <c r="H2372" t="s">
        <v>929</v>
      </c>
      <c r="I2372" t="s">
        <v>22</v>
      </c>
      <c r="J2372" t="s">
        <v>67</v>
      </c>
      <c r="K2372" t="s">
        <v>34</v>
      </c>
      <c r="L2372" s="6">
        <v>6000</v>
      </c>
      <c r="M2372" s="6">
        <v>0</v>
      </c>
      <c r="N2372" s="6">
        <v>-6000</v>
      </c>
      <c r="O2372" s="6">
        <v>4831.83</v>
      </c>
      <c r="P2372" s="7">
        <v>0</v>
      </c>
      <c r="Q2372" s="6">
        <v>0</v>
      </c>
    </row>
    <row r="2373" spans="1:17">
      <c r="A2373">
        <v>2372</v>
      </c>
      <c r="B2373" s="5">
        <v>45889</v>
      </c>
      <c r="C2373" t="s">
        <v>916</v>
      </c>
      <c r="D2373" t="s">
        <v>917</v>
      </c>
      <c r="E2373" t="s">
        <v>918</v>
      </c>
      <c r="F2373">
        <v>15</v>
      </c>
      <c r="G2373" t="s">
        <v>900</v>
      </c>
      <c r="I2373" t="s">
        <v>16</v>
      </c>
      <c r="J2373" t="s">
        <v>52</v>
      </c>
      <c r="K2373" t="s">
        <v>35</v>
      </c>
      <c r="L2373" s="6">
        <v>0</v>
      </c>
      <c r="M2373" s="6">
        <v>754</v>
      </c>
      <c r="N2373" s="6">
        <v>754</v>
      </c>
      <c r="O2373" s="6">
        <v>5585.83</v>
      </c>
      <c r="P2373" s="7">
        <v>0</v>
      </c>
      <c r="Q2373" s="6">
        <v>0</v>
      </c>
    </row>
    <row r="2374" spans="1:17">
      <c r="A2374">
        <v>2373</v>
      </c>
      <c r="B2374" s="5">
        <v>45889</v>
      </c>
      <c r="C2374" t="s">
        <v>916</v>
      </c>
      <c r="D2374" t="s">
        <v>917</v>
      </c>
      <c r="E2374" t="s">
        <v>918</v>
      </c>
      <c r="F2374">
        <v>15</v>
      </c>
      <c r="G2374" t="s">
        <v>1639</v>
      </c>
      <c r="I2374" t="s">
        <v>15</v>
      </c>
      <c r="J2374" t="s">
        <v>52</v>
      </c>
      <c r="K2374" t="s">
        <v>35</v>
      </c>
      <c r="L2374" s="6">
        <v>0</v>
      </c>
      <c r="M2374" s="6">
        <v>7334</v>
      </c>
      <c r="N2374" s="6">
        <v>7334</v>
      </c>
      <c r="O2374" s="6">
        <v>12919.83</v>
      </c>
      <c r="P2374" s="7">
        <v>0</v>
      </c>
      <c r="Q2374" s="6">
        <v>0</v>
      </c>
    </row>
    <row r="2375" spans="1:17">
      <c r="A2375">
        <v>2374</v>
      </c>
      <c r="B2375" s="5">
        <v>45889</v>
      </c>
      <c r="C2375" t="s">
        <v>916</v>
      </c>
      <c r="D2375" t="s">
        <v>917</v>
      </c>
      <c r="E2375" t="s">
        <v>918</v>
      </c>
      <c r="F2375">
        <v>15</v>
      </c>
      <c r="G2375" t="s">
        <v>1640</v>
      </c>
      <c r="I2375" t="s">
        <v>17</v>
      </c>
      <c r="J2375" t="s">
        <v>64</v>
      </c>
      <c r="K2375" t="s">
        <v>34</v>
      </c>
      <c r="L2375" s="6">
        <v>2000</v>
      </c>
      <c r="M2375" s="6">
        <v>0</v>
      </c>
      <c r="N2375" s="6">
        <v>-2000</v>
      </c>
      <c r="O2375" s="6">
        <v>10919.83</v>
      </c>
      <c r="P2375" s="7">
        <v>0</v>
      </c>
      <c r="Q2375" s="6">
        <v>0</v>
      </c>
    </row>
    <row r="2376" spans="1:17">
      <c r="A2376">
        <v>2375</v>
      </c>
      <c r="B2376" s="5">
        <v>45889</v>
      </c>
      <c r="C2376" t="s">
        <v>916</v>
      </c>
      <c r="D2376" t="s">
        <v>917</v>
      </c>
      <c r="E2376" t="s">
        <v>918</v>
      </c>
      <c r="F2376">
        <v>15</v>
      </c>
      <c r="G2376" t="s">
        <v>258</v>
      </c>
      <c r="H2376" t="s">
        <v>259</v>
      </c>
      <c r="I2376" t="s">
        <v>16</v>
      </c>
      <c r="J2376" t="s">
        <v>52</v>
      </c>
      <c r="K2376" t="s">
        <v>35</v>
      </c>
      <c r="L2376" s="6">
        <v>0</v>
      </c>
      <c r="M2376" s="6">
        <v>1000</v>
      </c>
      <c r="N2376" s="6">
        <v>1000</v>
      </c>
      <c r="O2376" s="6">
        <v>11919.83</v>
      </c>
      <c r="P2376" s="7">
        <v>0</v>
      </c>
      <c r="Q2376" s="6">
        <v>0</v>
      </c>
    </row>
    <row r="2377" spans="1:17">
      <c r="A2377">
        <v>2376</v>
      </c>
      <c r="B2377" s="5">
        <v>45889</v>
      </c>
      <c r="C2377" t="s">
        <v>916</v>
      </c>
      <c r="D2377" t="s">
        <v>917</v>
      </c>
      <c r="E2377" t="s">
        <v>918</v>
      </c>
      <c r="F2377">
        <v>15</v>
      </c>
      <c r="G2377" t="s">
        <v>1641</v>
      </c>
      <c r="H2377" t="s">
        <v>66</v>
      </c>
      <c r="I2377" t="s">
        <v>22</v>
      </c>
      <c r="J2377" t="s">
        <v>67</v>
      </c>
      <c r="K2377" t="s">
        <v>34</v>
      </c>
      <c r="L2377" s="6">
        <v>345.45</v>
      </c>
      <c r="M2377" s="6">
        <v>0</v>
      </c>
      <c r="N2377" s="6">
        <v>-345.45</v>
      </c>
      <c r="O2377" s="6">
        <v>11574.38</v>
      </c>
      <c r="P2377" s="7">
        <v>0</v>
      </c>
      <c r="Q2377" s="6">
        <v>0</v>
      </c>
    </row>
    <row r="2378" spans="1:17">
      <c r="A2378">
        <v>2377</v>
      </c>
      <c r="B2378" s="5">
        <v>45889</v>
      </c>
      <c r="C2378" t="s">
        <v>916</v>
      </c>
      <c r="D2378" t="s">
        <v>917</v>
      </c>
      <c r="E2378" t="s">
        <v>918</v>
      </c>
      <c r="F2378">
        <v>15</v>
      </c>
      <c r="G2378" t="s">
        <v>1642</v>
      </c>
      <c r="H2378" t="s">
        <v>929</v>
      </c>
      <c r="I2378" t="s">
        <v>22</v>
      </c>
      <c r="J2378" t="s">
        <v>67</v>
      </c>
      <c r="K2378" t="s">
        <v>34</v>
      </c>
      <c r="L2378" s="6">
        <v>1368.49</v>
      </c>
      <c r="M2378" s="6">
        <v>0</v>
      </c>
      <c r="N2378" s="6">
        <v>-1368.49</v>
      </c>
      <c r="O2378" s="6">
        <v>10205.89</v>
      </c>
      <c r="P2378" s="7">
        <v>0</v>
      </c>
      <c r="Q2378" s="6">
        <v>0</v>
      </c>
    </row>
    <row r="2379" spans="1:17">
      <c r="A2379">
        <v>2378</v>
      </c>
      <c r="B2379" s="5">
        <v>45889</v>
      </c>
      <c r="C2379" t="s">
        <v>916</v>
      </c>
      <c r="D2379" t="s">
        <v>917</v>
      </c>
      <c r="E2379" t="s">
        <v>918</v>
      </c>
      <c r="F2379">
        <v>15</v>
      </c>
      <c r="G2379" t="s">
        <v>1643</v>
      </c>
      <c r="H2379" t="s">
        <v>66</v>
      </c>
      <c r="I2379" t="s">
        <v>22</v>
      </c>
      <c r="J2379" t="s">
        <v>67</v>
      </c>
      <c r="K2379" t="s">
        <v>34</v>
      </c>
      <c r="L2379" s="6">
        <v>250</v>
      </c>
      <c r="M2379" s="6">
        <v>0</v>
      </c>
      <c r="N2379" s="6">
        <v>-250</v>
      </c>
      <c r="O2379" s="6">
        <v>9955.89</v>
      </c>
      <c r="P2379" s="7">
        <v>0</v>
      </c>
      <c r="Q2379" s="6">
        <v>0</v>
      </c>
    </row>
    <row r="2380" spans="1:17">
      <c r="A2380">
        <v>2379</v>
      </c>
      <c r="B2380" s="5">
        <v>45889</v>
      </c>
      <c r="C2380" t="s">
        <v>916</v>
      </c>
      <c r="D2380" t="s">
        <v>917</v>
      </c>
      <c r="E2380" t="s">
        <v>918</v>
      </c>
      <c r="F2380">
        <v>15</v>
      </c>
      <c r="G2380" t="s">
        <v>1644</v>
      </c>
      <c r="H2380" t="s">
        <v>66</v>
      </c>
      <c r="I2380" t="s">
        <v>22</v>
      </c>
      <c r="J2380" t="s">
        <v>67</v>
      </c>
      <c r="K2380" t="s">
        <v>34</v>
      </c>
      <c r="L2380" s="6">
        <v>2655.78</v>
      </c>
      <c r="M2380" s="6">
        <v>0</v>
      </c>
      <c r="N2380" s="6">
        <v>-2655.78</v>
      </c>
      <c r="O2380" s="6">
        <v>7300.11</v>
      </c>
      <c r="P2380" s="7">
        <v>0</v>
      </c>
      <c r="Q2380" s="6">
        <v>0</v>
      </c>
    </row>
    <row r="2381" spans="1:17">
      <c r="A2381">
        <v>2380</v>
      </c>
      <c r="B2381" s="5">
        <v>45889</v>
      </c>
      <c r="C2381" t="s">
        <v>916</v>
      </c>
      <c r="D2381" t="s">
        <v>917</v>
      </c>
      <c r="E2381" t="s">
        <v>918</v>
      </c>
      <c r="F2381">
        <v>15</v>
      </c>
      <c r="G2381" t="s">
        <v>1645</v>
      </c>
      <c r="H2381" t="s">
        <v>929</v>
      </c>
      <c r="I2381" t="s">
        <v>22</v>
      </c>
      <c r="J2381" t="s">
        <v>67</v>
      </c>
      <c r="K2381" t="s">
        <v>34</v>
      </c>
      <c r="L2381" s="6">
        <v>60</v>
      </c>
      <c r="M2381" s="6">
        <v>0</v>
      </c>
      <c r="N2381" s="6">
        <v>-60</v>
      </c>
      <c r="O2381" s="6">
        <v>7240.11</v>
      </c>
      <c r="P2381" s="7">
        <v>0</v>
      </c>
      <c r="Q2381" s="6">
        <v>0</v>
      </c>
    </row>
    <row r="2382" spans="1:17">
      <c r="A2382">
        <v>2381</v>
      </c>
      <c r="B2382" s="5">
        <v>45889</v>
      </c>
      <c r="C2382" t="s">
        <v>916</v>
      </c>
      <c r="D2382" t="s">
        <v>917</v>
      </c>
      <c r="E2382" t="s">
        <v>918</v>
      </c>
      <c r="F2382">
        <v>15</v>
      </c>
      <c r="G2382" t="s">
        <v>1646</v>
      </c>
      <c r="H2382" t="s">
        <v>66</v>
      </c>
      <c r="I2382" t="s">
        <v>22</v>
      </c>
      <c r="J2382" t="s">
        <v>67</v>
      </c>
      <c r="K2382" t="s">
        <v>34</v>
      </c>
      <c r="L2382" s="6">
        <v>200</v>
      </c>
      <c r="M2382" s="6">
        <v>0</v>
      </c>
      <c r="N2382" s="6">
        <v>-200</v>
      </c>
      <c r="O2382" s="6">
        <v>7040.11</v>
      </c>
      <c r="P2382" s="7">
        <v>0</v>
      </c>
      <c r="Q2382" s="6">
        <v>0</v>
      </c>
    </row>
    <row r="2383" spans="1:17">
      <c r="A2383">
        <v>2382</v>
      </c>
      <c r="B2383" s="5">
        <v>45889</v>
      </c>
      <c r="C2383" t="s">
        <v>916</v>
      </c>
      <c r="D2383" t="s">
        <v>917</v>
      </c>
      <c r="E2383" t="s">
        <v>918</v>
      </c>
      <c r="F2383">
        <v>15</v>
      </c>
      <c r="G2383" t="s">
        <v>1647</v>
      </c>
      <c r="H2383" t="s">
        <v>929</v>
      </c>
      <c r="I2383" t="s">
        <v>22</v>
      </c>
      <c r="J2383" t="s">
        <v>67</v>
      </c>
      <c r="K2383" t="s">
        <v>34</v>
      </c>
      <c r="L2383" s="6">
        <v>550</v>
      </c>
      <c r="M2383" s="6">
        <v>0</v>
      </c>
      <c r="N2383" s="6">
        <v>-550</v>
      </c>
      <c r="O2383" s="6">
        <v>6490.11</v>
      </c>
      <c r="P2383" s="7">
        <v>0</v>
      </c>
      <c r="Q2383" s="6">
        <v>0</v>
      </c>
    </row>
    <row r="2384" spans="1:17">
      <c r="A2384">
        <v>2383</v>
      </c>
      <c r="B2384" s="5">
        <v>45889</v>
      </c>
      <c r="C2384" t="s">
        <v>916</v>
      </c>
      <c r="D2384" t="s">
        <v>917</v>
      </c>
      <c r="E2384" t="s">
        <v>918</v>
      </c>
      <c r="F2384">
        <v>15</v>
      </c>
      <c r="G2384" t="s">
        <v>1648</v>
      </c>
      <c r="H2384" t="s">
        <v>929</v>
      </c>
      <c r="I2384" t="s">
        <v>22</v>
      </c>
      <c r="J2384" t="s">
        <v>67</v>
      </c>
      <c r="K2384" t="s">
        <v>34</v>
      </c>
      <c r="L2384" s="6">
        <v>600</v>
      </c>
      <c r="M2384" s="6">
        <v>0</v>
      </c>
      <c r="N2384" s="6">
        <v>-600</v>
      </c>
      <c r="O2384" s="6">
        <v>5890.11</v>
      </c>
      <c r="P2384" s="7">
        <v>0</v>
      </c>
      <c r="Q2384" s="6">
        <v>0</v>
      </c>
    </row>
    <row r="2385" spans="1:17">
      <c r="A2385">
        <v>2384</v>
      </c>
      <c r="B2385" s="5">
        <v>45889</v>
      </c>
      <c r="C2385" t="s">
        <v>916</v>
      </c>
      <c r="D2385" t="s">
        <v>917</v>
      </c>
      <c r="E2385" t="s">
        <v>918</v>
      </c>
      <c r="F2385">
        <v>15</v>
      </c>
      <c r="G2385" t="s">
        <v>1147</v>
      </c>
      <c r="H2385" t="s">
        <v>1148</v>
      </c>
      <c r="I2385" t="s">
        <v>16</v>
      </c>
      <c r="J2385" t="s">
        <v>52</v>
      </c>
      <c r="K2385" t="s">
        <v>35</v>
      </c>
      <c r="L2385" s="6">
        <v>0</v>
      </c>
      <c r="M2385" s="6">
        <v>1000</v>
      </c>
      <c r="N2385" s="6">
        <v>1000</v>
      </c>
      <c r="O2385" s="6">
        <v>6890.11</v>
      </c>
      <c r="P2385" s="7">
        <v>0</v>
      </c>
      <c r="Q2385" s="6">
        <v>0</v>
      </c>
    </row>
    <row r="2386" spans="1:17">
      <c r="A2386">
        <v>2385</v>
      </c>
      <c r="B2386" s="5">
        <v>45889</v>
      </c>
      <c r="C2386" t="s">
        <v>916</v>
      </c>
      <c r="D2386" t="s">
        <v>917</v>
      </c>
      <c r="E2386" t="s">
        <v>918</v>
      </c>
      <c r="F2386">
        <v>15</v>
      </c>
      <c r="G2386" t="s">
        <v>1429</v>
      </c>
      <c r="H2386" t="s">
        <v>1430</v>
      </c>
      <c r="I2386" t="s">
        <v>16</v>
      </c>
      <c r="J2386" t="s">
        <v>52</v>
      </c>
      <c r="K2386" t="s">
        <v>35</v>
      </c>
      <c r="L2386" s="6">
        <v>0</v>
      </c>
      <c r="M2386" s="6">
        <v>1000</v>
      </c>
      <c r="N2386" s="6">
        <v>1000</v>
      </c>
      <c r="O2386" s="6">
        <v>7890.11</v>
      </c>
      <c r="P2386" s="7">
        <v>0</v>
      </c>
      <c r="Q2386" s="6">
        <v>0</v>
      </c>
    </row>
    <row r="2387" spans="1:17">
      <c r="A2387">
        <v>2386</v>
      </c>
      <c r="B2387" s="5">
        <v>45889</v>
      </c>
      <c r="C2387" t="s">
        <v>916</v>
      </c>
      <c r="D2387" t="s">
        <v>917</v>
      </c>
      <c r="E2387" t="s">
        <v>918</v>
      </c>
      <c r="F2387">
        <v>15</v>
      </c>
      <c r="G2387" t="s">
        <v>1022</v>
      </c>
      <c r="H2387" t="s">
        <v>1023</v>
      </c>
      <c r="I2387" t="s">
        <v>16</v>
      </c>
      <c r="J2387" t="s">
        <v>52</v>
      </c>
      <c r="K2387" t="s">
        <v>35</v>
      </c>
      <c r="L2387" s="6">
        <v>0</v>
      </c>
      <c r="M2387" s="6">
        <v>2000</v>
      </c>
      <c r="N2387" s="6">
        <v>2000</v>
      </c>
      <c r="O2387" s="6">
        <v>9890.11</v>
      </c>
      <c r="P2387" s="7">
        <v>0</v>
      </c>
      <c r="Q2387" s="6">
        <v>0</v>
      </c>
    </row>
    <row r="2388" spans="1:17">
      <c r="A2388">
        <v>2387</v>
      </c>
      <c r="B2388" s="5">
        <v>45889</v>
      </c>
      <c r="C2388" t="s">
        <v>916</v>
      </c>
      <c r="D2388" t="s">
        <v>917</v>
      </c>
      <c r="E2388" t="s">
        <v>918</v>
      </c>
      <c r="F2388">
        <v>15</v>
      </c>
      <c r="G2388" t="s">
        <v>1649</v>
      </c>
      <c r="I2388" t="s">
        <v>16</v>
      </c>
      <c r="J2388" t="s">
        <v>52</v>
      </c>
      <c r="K2388" t="s">
        <v>35</v>
      </c>
      <c r="L2388" s="6">
        <v>0</v>
      </c>
      <c r="M2388" s="6">
        <v>2306</v>
      </c>
      <c r="N2388" s="6">
        <v>2306</v>
      </c>
      <c r="O2388" s="6">
        <v>12196.11</v>
      </c>
      <c r="P2388" s="7">
        <v>0</v>
      </c>
      <c r="Q2388" s="6">
        <v>0</v>
      </c>
    </row>
    <row r="2389" spans="1:17">
      <c r="A2389">
        <v>2388</v>
      </c>
      <c r="B2389" s="5">
        <v>45889</v>
      </c>
      <c r="C2389" t="s">
        <v>916</v>
      </c>
      <c r="D2389" t="s">
        <v>917</v>
      </c>
      <c r="E2389" t="s">
        <v>918</v>
      </c>
      <c r="F2389">
        <v>15</v>
      </c>
      <c r="G2389" t="s">
        <v>1650</v>
      </c>
      <c r="I2389" t="s">
        <v>16</v>
      </c>
      <c r="J2389" t="s">
        <v>52</v>
      </c>
      <c r="K2389" t="s">
        <v>35</v>
      </c>
      <c r="L2389" s="6">
        <v>0</v>
      </c>
      <c r="M2389" s="6">
        <v>6088</v>
      </c>
      <c r="N2389" s="6">
        <v>6088</v>
      </c>
      <c r="O2389" s="6">
        <v>18284.11</v>
      </c>
      <c r="P2389" s="7">
        <v>0</v>
      </c>
      <c r="Q2389" s="6">
        <v>0</v>
      </c>
    </row>
    <row r="2390" spans="1:17">
      <c r="A2390">
        <v>2389</v>
      </c>
      <c r="B2390" s="5">
        <v>45890</v>
      </c>
      <c r="C2390" t="s">
        <v>916</v>
      </c>
      <c r="D2390" t="s">
        <v>917</v>
      </c>
      <c r="E2390" t="s">
        <v>918</v>
      </c>
      <c r="F2390">
        <v>15</v>
      </c>
      <c r="G2390" t="s">
        <v>1608</v>
      </c>
      <c r="H2390" t="s">
        <v>1609</v>
      </c>
      <c r="I2390" t="s">
        <v>16</v>
      </c>
      <c r="J2390" t="s">
        <v>52</v>
      </c>
      <c r="K2390" t="s">
        <v>35</v>
      </c>
      <c r="L2390" s="6">
        <v>0</v>
      </c>
      <c r="M2390" s="6">
        <v>350</v>
      </c>
      <c r="N2390" s="6">
        <v>350</v>
      </c>
      <c r="O2390" s="6">
        <v>18634.11</v>
      </c>
      <c r="P2390" s="7">
        <v>0</v>
      </c>
      <c r="Q2390" s="6">
        <v>0</v>
      </c>
    </row>
    <row r="2391" spans="1:17">
      <c r="A2391">
        <v>2390</v>
      </c>
      <c r="B2391" s="5">
        <v>45890</v>
      </c>
      <c r="C2391" t="s">
        <v>916</v>
      </c>
      <c r="D2391" t="s">
        <v>917</v>
      </c>
      <c r="E2391" t="s">
        <v>918</v>
      </c>
      <c r="F2391">
        <v>15</v>
      </c>
      <c r="G2391" t="s">
        <v>1651</v>
      </c>
      <c r="H2391" t="s">
        <v>66</v>
      </c>
      <c r="I2391" t="s">
        <v>22</v>
      </c>
      <c r="J2391" t="s">
        <v>67</v>
      </c>
      <c r="K2391" t="s">
        <v>34</v>
      </c>
      <c r="L2391" s="6">
        <v>1000</v>
      </c>
      <c r="M2391" s="6">
        <v>0</v>
      </c>
      <c r="N2391" s="6">
        <v>-1000</v>
      </c>
      <c r="O2391" s="6">
        <v>17634.11</v>
      </c>
      <c r="P2391" s="7">
        <v>0</v>
      </c>
      <c r="Q2391" s="6">
        <v>0</v>
      </c>
    </row>
    <row r="2392" spans="1:17">
      <c r="A2392">
        <v>2391</v>
      </c>
      <c r="B2392" s="5">
        <v>45890</v>
      </c>
      <c r="C2392" t="s">
        <v>916</v>
      </c>
      <c r="D2392" t="s">
        <v>917</v>
      </c>
      <c r="E2392" t="s">
        <v>918</v>
      </c>
      <c r="F2392">
        <v>15</v>
      </c>
      <c r="G2392" t="s">
        <v>1652</v>
      </c>
      <c r="H2392" t="s">
        <v>929</v>
      </c>
      <c r="I2392" t="s">
        <v>22</v>
      </c>
      <c r="J2392" t="s">
        <v>67</v>
      </c>
      <c r="K2392" t="s">
        <v>34</v>
      </c>
      <c r="L2392" s="6">
        <v>692.61</v>
      </c>
      <c r="M2392" s="6">
        <v>0</v>
      </c>
      <c r="N2392" s="6">
        <v>-692.61</v>
      </c>
      <c r="O2392" s="6">
        <v>16941.5</v>
      </c>
      <c r="P2392" s="7">
        <v>0</v>
      </c>
      <c r="Q2392" s="6">
        <v>0</v>
      </c>
    </row>
    <row r="2393" spans="1:17">
      <c r="A2393">
        <v>2392</v>
      </c>
      <c r="B2393" s="5">
        <v>45890</v>
      </c>
      <c r="C2393" t="s">
        <v>916</v>
      </c>
      <c r="D2393" t="s">
        <v>917</v>
      </c>
      <c r="E2393" t="s">
        <v>918</v>
      </c>
      <c r="F2393">
        <v>15</v>
      </c>
      <c r="G2393" t="s">
        <v>1653</v>
      </c>
      <c r="H2393" t="s">
        <v>929</v>
      </c>
      <c r="I2393" t="s">
        <v>22</v>
      </c>
      <c r="J2393" t="s">
        <v>67</v>
      </c>
      <c r="K2393" t="s">
        <v>34</v>
      </c>
      <c r="L2393" s="6">
        <v>300.17</v>
      </c>
      <c r="M2393" s="6">
        <v>0</v>
      </c>
      <c r="N2393" s="6">
        <v>-300.17</v>
      </c>
      <c r="O2393" s="6">
        <v>16641.330000000002</v>
      </c>
      <c r="P2393" s="7">
        <v>0</v>
      </c>
      <c r="Q2393" s="6">
        <v>0</v>
      </c>
    </row>
    <row r="2394" spans="1:17">
      <c r="A2394">
        <v>2393</v>
      </c>
      <c r="B2394" s="5">
        <v>45890</v>
      </c>
      <c r="C2394" t="s">
        <v>916</v>
      </c>
      <c r="D2394" t="s">
        <v>917</v>
      </c>
      <c r="E2394" t="s">
        <v>918</v>
      </c>
      <c r="F2394">
        <v>15</v>
      </c>
      <c r="G2394" t="s">
        <v>1654</v>
      </c>
      <c r="H2394" t="s">
        <v>929</v>
      </c>
      <c r="I2394" t="s">
        <v>22</v>
      </c>
      <c r="J2394" t="s">
        <v>67</v>
      </c>
      <c r="K2394" t="s">
        <v>34</v>
      </c>
      <c r="L2394" s="6">
        <v>150.08000000000001</v>
      </c>
      <c r="M2394" s="6">
        <v>0</v>
      </c>
      <c r="N2394" s="6">
        <v>-150.08000000000001</v>
      </c>
      <c r="O2394" s="6">
        <v>16491.25</v>
      </c>
      <c r="P2394" s="7">
        <v>0</v>
      </c>
      <c r="Q2394" s="6">
        <v>0</v>
      </c>
    </row>
    <row r="2395" spans="1:17">
      <c r="A2395">
        <v>2394</v>
      </c>
      <c r="B2395" s="5">
        <v>45890</v>
      </c>
      <c r="C2395" t="s">
        <v>916</v>
      </c>
      <c r="D2395" t="s">
        <v>917</v>
      </c>
      <c r="E2395" t="s">
        <v>918</v>
      </c>
      <c r="F2395">
        <v>15</v>
      </c>
      <c r="G2395" t="s">
        <v>1655</v>
      </c>
      <c r="H2395" t="s">
        <v>929</v>
      </c>
      <c r="I2395" t="s">
        <v>22</v>
      </c>
      <c r="J2395" t="s">
        <v>67</v>
      </c>
      <c r="K2395" t="s">
        <v>34</v>
      </c>
      <c r="L2395" s="6">
        <v>850</v>
      </c>
      <c r="M2395" s="6">
        <v>0</v>
      </c>
      <c r="N2395" s="6">
        <v>-850</v>
      </c>
      <c r="O2395" s="6">
        <v>15641.25</v>
      </c>
      <c r="P2395" s="7">
        <v>0</v>
      </c>
      <c r="Q2395" s="6">
        <v>0</v>
      </c>
    </row>
    <row r="2396" spans="1:17">
      <c r="A2396">
        <v>2395</v>
      </c>
      <c r="B2396" s="5">
        <v>45890</v>
      </c>
      <c r="C2396" t="s">
        <v>916</v>
      </c>
      <c r="D2396" t="s">
        <v>917</v>
      </c>
      <c r="E2396" t="s">
        <v>918</v>
      </c>
      <c r="F2396">
        <v>15</v>
      </c>
      <c r="G2396" t="s">
        <v>1656</v>
      </c>
      <c r="H2396" t="s">
        <v>929</v>
      </c>
      <c r="I2396" t="s">
        <v>22</v>
      </c>
      <c r="J2396" t="s">
        <v>67</v>
      </c>
      <c r="K2396" t="s">
        <v>34</v>
      </c>
      <c r="L2396" s="6">
        <v>600</v>
      </c>
      <c r="M2396" s="6">
        <v>0</v>
      </c>
      <c r="N2396" s="6">
        <v>-600</v>
      </c>
      <c r="O2396" s="6">
        <v>15041.25</v>
      </c>
      <c r="P2396" s="7">
        <v>0</v>
      </c>
      <c r="Q2396" s="6">
        <v>0</v>
      </c>
    </row>
    <row r="2397" spans="1:17">
      <c r="A2397">
        <v>2396</v>
      </c>
      <c r="B2397" s="5">
        <v>45890</v>
      </c>
      <c r="C2397" t="s">
        <v>916</v>
      </c>
      <c r="D2397" t="s">
        <v>917</v>
      </c>
      <c r="E2397" t="s">
        <v>918</v>
      </c>
      <c r="F2397">
        <v>15</v>
      </c>
      <c r="G2397" t="s">
        <v>1657</v>
      </c>
      <c r="H2397" t="s">
        <v>929</v>
      </c>
      <c r="I2397" t="s">
        <v>22</v>
      </c>
      <c r="J2397" t="s">
        <v>67</v>
      </c>
      <c r="K2397" t="s">
        <v>34</v>
      </c>
      <c r="L2397" s="6">
        <v>500</v>
      </c>
      <c r="M2397" s="6">
        <v>0</v>
      </c>
      <c r="N2397" s="6">
        <v>-500</v>
      </c>
      <c r="O2397" s="6">
        <v>14541.25</v>
      </c>
      <c r="P2397" s="7">
        <v>0</v>
      </c>
      <c r="Q2397" s="6">
        <v>0</v>
      </c>
    </row>
    <row r="2398" spans="1:17">
      <c r="A2398">
        <v>2397</v>
      </c>
      <c r="B2398" s="5">
        <v>45890</v>
      </c>
      <c r="C2398" t="s">
        <v>916</v>
      </c>
      <c r="D2398" t="s">
        <v>917</v>
      </c>
      <c r="E2398" t="s">
        <v>918</v>
      </c>
      <c r="F2398">
        <v>15</v>
      </c>
      <c r="G2398" t="s">
        <v>1658</v>
      </c>
      <c r="H2398" t="s">
        <v>929</v>
      </c>
      <c r="I2398" t="s">
        <v>22</v>
      </c>
      <c r="J2398" t="s">
        <v>67</v>
      </c>
      <c r="K2398" t="s">
        <v>34</v>
      </c>
      <c r="L2398" s="6">
        <v>123.36</v>
      </c>
      <c r="M2398" s="6">
        <v>0</v>
      </c>
      <c r="N2398" s="6">
        <v>-123.36</v>
      </c>
      <c r="O2398" s="6">
        <v>14417.89</v>
      </c>
      <c r="P2398" s="7">
        <v>0</v>
      </c>
      <c r="Q2398" s="6">
        <v>0</v>
      </c>
    </row>
    <row r="2399" spans="1:17">
      <c r="A2399">
        <v>2398</v>
      </c>
      <c r="B2399" s="5">
        <v>45890</v>
      </c>
      <c r="C2399" t="s">
        <v>916</v>
      </c>
      <c r="D2399" t="s">
        <v>917</v>
      </c>
      <c r="E2399" t="s">
        <v>918</v>
      </c>
      <c r="F2399">
        <v>16</v>
      </c>
      <c r="G2399" t="s">
        <v>1659</v>
      </c>
      <c r="I2399" t="s">
        <v>17</v>
      </c>
      <c r="J2399" t="s">
        <v>64</v>
      </c>
      <c r="K2399" t="s">
        <v>34</v>
      </c>
      <c r="L2399" s="6">
        <v>10000</v>
      </c>
      <c r="M2399" s="6">
        <v>0</v>
      </c>
      <c r="N2399" s="6">
        <v>-10000</v>
      </c>
      <c r="O2399" s="6">
        <v>4417.8900000000003</v>
      </c>
      <c r="P2399" s="7">
        <v>0</v>
      </c>
      <c r="Q2399" s="6">
        <v>0</v>
      </c>
    </row>
    <row r="2400" spans="1:17">
      <c r="A2400">
        <v>2399</v>
      </c>
      <c r="B2400" s="5">
        <v>45890</v>
      </c>
      <c r="C2400" t="s">
        <v>916</v>
      </c>
      <c r="D2400" t="s">
        <v>917</v>
      </c>
      <c r="E2400" t="s">
        <v>918</v>
      </c>
      <c r="F2400">
        <v>16</v>
      </c>
      <c r="G2400" t="s">
        <v>1317</v>
      </c>
      <c r="H2400" t="s">
        <v>1318</v>
      </c>
      <c r="I2400" t="s">
        <v>16</v>
      </c>
      <c r="J2400" t="s">
        <v>52</v>
      </c>
      <c r="K2400" t="s">
        <v>35</v>
      </c>
      <c r="L2400" s="6">
        <v>0</v>
      </c>
      <c r="M2400" s="6">
        <v>500</v>
      </c>
      <c r="N2400" s="6">
        <v>500</v>
      </c>
      <c r="O2400" s="6">
        <v>4917.8900000000003</v>
      </c>
      <c r="P2400" s="7">
        <v>0</v>
      </c>
      <c r="Q2400" s="6">
        <v>0</v>
      </c>
    </row>
    <row r="2401" spans="1:17">
      <c r="A2401">
        <v>2400</v>
      </c>
      <c r="B2401" s="5">
        <v>45890</v>
      </c>
      <c r="C2401" t="s">
        <v>916</v>
      </c>
      <c r="D2401" t="s">
        <v>917</v>
      </c>
      <c r="E2401" t="s">
        <v>918</v>
      </c>
      <c r="F2401">
        <v>16</v>
      </c>
      <c r="G2401" t="s">
        <v>900</v>
      </c>
      <c r="I2401" t="s">
        <v>16</v>
      </c>
      <c r="J2401" t="s">
        <v>52</v>
      </c>
      <c r="K2401" t="s">
        <v>35</v>
      </c>
      <c r="L2401" s="6">
        <v>0</v>
      </c>
      <c r="M2401" s="6">
        <v>1116.8599999999999</v>
      </c>
      <c r="N2401" s="6">
        <v>1116.8599999999999</v>
      </c>
      <c r="O2401" s="6">
        <v>6034.75</v>
      </c>
      <c r="P2401" s="7">
        <v>0</v>
      </c>
      <c r="Q2401" s="6">
        <v>0</v>
      </c>
    </row>
    <row r="2402" spans="1:17">
      <c r="A2402">
        <v>2401</v>
      </c>
      <c r="B2402" s="5">
        <v>45890</v>
      </c>
      <c r="C2402" t="s">
        <v>916</v>
      </c>
      <c r="D2402" t="s">
        <v>917</v>
      </c>
      <c r="E2402" t="s">
        <v>918</v>
      </c>
      <c r="F2402">
        <v>16</v>
      </c>
      <c r="G2402" t="s">
        <v>1660</v>
      </c>
      <c r="I2402" t="s">
        <v>15</v>
      </c>
      <c r="J2402" t="s">
        <v>52</v>
      </c>
      <c r="K2402" t="s">
        <v>35</v>
      </c>
      <c r="L2402" s="6">
        <v>0</v>
      </c>
      <c r="M2402" s="6">
        <v>13325.6</v>
      </c>
      <c r="N2402" s="6">
        <v>13325.6</v>
      </c>
      <c r="O2402" s="6">
        <v>19360.349999999999</v>
      </c>
      <c r="P2402" s="7">
        <v>0</v>
      </c>
      <c r="Q2402" s="6">
        <v>0</v>
      </c>
    </row>
    <row r="2403" spans="1:17">
      <c r="A2403">
        <v>2402</v>
      </c>
      <c r="B2403" s="5">
        <v>45890</v>
      </c>
      <c r="C2403" t="s">
        <v>916</v>
      </c>
      <c r="D2403" t="s">
        <v>917</v>
      </c>
      <c r="E2403" t="s">
        <v>918</v>
      </c>
      <c r="F2403">
        <v>16</v>
      </c>
      <c r="G2403" t="s">
        <v>1661</v>
      </c>
      <c r="H2403" t="s">
        <v>929</v>
      </c>
      <c r="I2403" t="s">
        <v>22</v>
      </c>
      <c r="J2403" t="s">
        <v>67</v>
      </c>
      <c r="K2403" t="s">
        <v>34</v>
      </c>
      <c r="L2403" s="6">
        <v>800</v>
      </c>
      <c r="M2403" s="6">
        <v>0</v>
      </c>
      <c r="N2403" s="6">
        <v>-800</v>
      </c>
      <c r="O2403" s="6">
        <v>18560.349999999999</v>
      </c>
      <c r="P2403" s="7">
        <v>0</v>
      </c>
      <c r="Q2403" s="6">
        <v>0</v>
      </c>
    </row>
    <row r="2404" spans="1:17">
      <c r="A2404">
        <v>2403</v>
      </c>
      <c r="B2404" s="5">
        <v>45890</v>
      </c>
      <c r="C2404" t="s">
        <v>916</v>
      </c>
      <c r="D2404" t="s">
        <v>917</v>
      </c>
      <c r="E2404" t="s">
        <v>918</v>
      </c>
      <c r="F2404">
        <v>16</v>
      </c>
      <c r="G2404" t="s">
        <v>1662</v>
      </c>
      <c r="H2404" t="s">
        <v>929</v>
      </c>
      <c r="I2404" t="s">
        <v>22</v>
      </c>
      <c r="J2404" t="s">
        <v>67</v>
      </c>
      <c r="K2404" t="s">
        <v>34</v>
      </c>
      <c r="L2404" s="6">
        <v>200</v>
      </c>
      <c r="M2404" s="6">
        <v>0</v>
      </c>
      <c r="N2404" s="6">
        <v>-200</v>
      </c>
      <c r="O2404" s="6">
        <v>18360.349999999999</v>
      </c>
      <c r="P2404" s="7">
        <v>0</v>
      </c>
      <c r="Q2404" s="6">
        <v>0</v>
      </c>
    </row>
    <row r="2405" spans="1:17">
      <c r="A2405">
        <v>2404</v>
      </c>
      <c r="B2405" s="5">
        <v>45890</v>
      </c>
      <c r="C2405" t="s">
        <v>916</v>
      </c>
      <c r="D2405" t="s">
        <v>917</v>
      </c>
      <c r="E2405" t="s">
        <v>918</v>
      </c>
      <c r="F2405">
        <v>16</v>
      </c>
      <c r="G2405" t="s">
        <v>1663</v>
      </c>
      <c r="H2405" t="s">
        <v>66</v>
      </c>
      <c r="I2405" t="s">
        <v>22</v>
      </c>
      <c r="J2405" t="s">
        <v>67</v>
      </c>
      <c r="K2405" t="s">
        <v>34</v>
      </c>
      <c r="L2405" s="6">
        <v>500.98</v>
      </c>
      <c r="M2405" s="6">
        <v>0</v>
      </c>
      <c r="N2405" s="6">
        <v>-500.98</v>
      </c>
      <c r="O2405" s="6">
        <v>17859.37</v>
      </c>
      <c r="P2405" s="7">
        <v>0</v>
      </c>
      <c r="Q2405" s="6">
        <v>0</v>
      </c>
    </row>
    <row r="2406" spans="1:17">
      <c r="A2406">
        <v>2405</v>
      </c>
      <c r="B2406" s="5">
        <v>45890</v>
      </c>
      <c r="C2406" t="s">
        <v>916</v>
      </c>
      <c r="D2406" t="s">
        <v>917</v>
      </c>
      <c r="E2406" t="s">
        <v>918</v>
      </c>
      <c r="F2406">
        <v>16</v>
      </c>
      <c r="G2406" t="s">
        <v>1664</v>
      </c>
      <c r="H2406" t="s">
        <v>929</v>
      </c>
      <c r="I2406" t="s">
        <v>22</v>
      </c>
      <c r="J2406" t="s">
        <v>67</v>
      </c>
      <c r="K2406" t="s">
        <v>34</v>
      </c>
      <c r="L2406" s="6">
        <v>162</v>
      </c>
      <c r="M2406" s="6">
        <v>0</v>
      </c>
      <c r="N2406" s="6">
        <v>-162</v>
      </c>
      <c r="O2406" s="6">
        <v>17697.37</v>
      </c>
      <c r="P2406" s="7">
        <v>0</v>
      </c>
      <c r="Q2406" s="6">
        <v>0</v>
      </c>
    </row>
    <row r="2407" spans="1:17">
      <c r="A2407">
        <v>2406</v>
      </c>
      <c r="B2407" s="5">
        <v>45890</v>
      </c>
      <c r="C2407" t="s">
        <v>916</v>
      </c>
      <c r="D2407" t="s">
        <v>917</v>
      </c>
      <c r="E2407" t="s">
        <v>918</v>
      </c>
      <c r="F2407">
        <v>16</v>
      </c>
      <c r="G2407" t="s">
        <v>1665</v>
      </c>
      <c r="H2407" t="s">
        <v>929</v>
      </c>
      <c r="I2407" t="s">
        <v>22</v>
      </c>
      <c r="J2407" t="s">
        <v>67</v>
      </c>
      <c r="K2407" t="s">
        <v>34</v>
      </c>
      <c r="L2407" s="6">
        <v>200</v>
      </c>
      <c r="M2407" s="6">
        <v>0</v>
      </c>
      <c r="N2407" s="6">
        <v>-200</v>
      </c>
      <c r="O2407" s="6">
        <v>17497.37</v>
      </c>
      <c r="P2407" s="7">
        <v>0</v>
      </c>
      <c r="Q2407" s="6">
        <v>0</v>
      </c>
    </row>
    <row r="2408" spans="1:17">
      <c r="A2408">
        <v>2407</v>
      </c>
      <c r="B2408" s="5">
        <v>45890</v>
      </c>
      <c r="C2408" t="s">
        <v>916</v>
      </c>
      <c r="D2408" t="s">
        <v>917</v>
      </c>
      <c r="E2408" t="s">
        <v>918</v>
      </c>
      <c r="F2408">
        <v>16</v>
      </c>
      <c r="G2408" t="s">
        <v>1666</v>
      </c>
      <c r="H2408" t="s">
        <v>66</v>
      </c>
      <c r="I2408" t="s">
        <v>22</v>
      </c>
      <c r="J2408" t="s">
        <v>67</v>
      </c>
      <c r="K2408" t="s">
        <v>34</v>
      </c>
      <c r="L2408" s="6">
        <v>79.25</v>
      </c>
      <c r="M2408" s="6">
        <v>0</v>
      </c>
      <c r="N2408" s="6">
        <v>-79.25</v>
      </c>
      <c r="O2408" s="6">
        <v>17418.12</v>
      </c>
      <c r="P2408" s="7">
        <v>0</v>
      </c>
      <c r="Q2408" s="6">
        <v>0</v>
      </c>
    </row>
    <row r="2409" spans="1:17">
      <c r="A2409">
        <v>2408</v>
      </c>
      <c r="B2409" s="5">
        <v>45890</v>
      </c>
      <c r="C2409" t="s">
        <v>916</v>
      </c>
      <c r="D2409" t="s">
        <v>917</v>
      </c>
      <c r="E2409" t="s">
        <v>918</v>
      </c>
      <c r="F2409">
        <v>16</v>
      </c>
      <c r="G2409" t="s">
        <v>1667</v>
      </c>
      <c r="H2409" t="s">
        <v>66</v>
      </c>
      <c r="I2409" t="s">
        <v>22</v>
      </c>
      <c r="J2409" t="s">
        <v>67</v>
      </c>
      <c r="K2409" t="s">
        <v>34</v>
      </c>
      <c r="L2409" s="6">
        <v>450</v>
      </c>
      <c r="M2409" s="6">
        <v>0</v>
      </c>
      <c r="N2409" s="6">
        <v>-450</v>
      </c>
      <c r="O2409" s="6">
        <v>16968.12</v>
      </c>
      <c r="P2409" s="7">
        <v>0</v>
      </c>
      <c r="Q2409" s="6">
        <v>0</v>
      </c>
    </row>
    <row r="2410" spans="1:17">
      <c r="A2410">
        <v>2409</v>
      </c>
      <c r="B2410" s="5">
        <v>45890</v>
      </c>
      <c r="C2410" t="s">
        <v>916</v>
      </c>
      <c r="D2410" t="s">
        <v>917</v>
      </c>
      <c r="E2410" t="s">
        <v>918</v>
      </c>
      <c r="F2410">
        <v>16</v>
      </c>
      <c r="G2410" t="s">
        <v>1668</v>
      </c>
      <c r="H2410" t="s">
        <v>1669</v>
      </c>
      <c r="I2410" t="s">
        <v>16</v>
      </c>
      <c r="J2410" t="s">
        <v>52</v>
      </c>
      <c r="K2410" t="s">
        <v>35</v>
      </c>
      <c r="L2410" s="6">
        <v>0</v>
      </c>
      <c r="M2410" s="6">
        <v>2000</v>
      </c>
      <c r="N2410" s="6">
        <v>2000</v>
      </c>
      <c r="O2410" s="6">
        <v>18968.12</v>
      </c>
      <c r="P2410" s="7">
        <v>0</v>
      </c>
      <c r="Q2410" s="6">
        <v>0</v>
      </c>
    </row>
    <row r="2411" spans="1:17">
      <c r="A2411">
        <v>2410</v>
      </c>
      <c r="B2411" s="5">
        <v>45890</v>
      </c>
      <c r="C2411" t="s">
        <v>916</v>
      </c>
      <c r="D2411" t="s">
        <v>917</v>
      </c>
      <c r="E2411" t="s">
        <v>918</v>
      </c>
      <c r="F2411">
        <v>16</v>
      </c>
      <c r="G2411" t="s">
        <v>1670</v>
      </c>
      <c r="H2411" t="s">
        <v>929</v>
      </c>
      <c r="I2411" t="s">
        <v>22</v>
      </c>
      <c r="J2411" t="s">
        <v>67</v>
      </c>
      <c r="K2411" t="s">
        <v>34</v>
      </c>
      <c r="L2411" s="6">
        <v>53.12</v>
      </c>
      <c r="M2411" s="6">
        <v>0</v>
      </c>
      <c r="N2411" s="6">
        <v>-53.12</v>
      </c>
      <c r="O2411" s="6">
        <v>18915</v>
      </c>
      <c r="P2411" s="7">
        <v>0</v>
      </c>
      <c r="Q2411" s="6">
        <v>0</v>
      </c>
    </row>
    <row r="2412" spans="1:17">
      <c r="A2412">
        <v>2411</v>
      </c>
      <c r="B2412" s="5">
        <v>45890</v>
      </c>
      <c r="C2412" t="s">
        <v>916</v>
      </c>
      <c r="D2412" t="s">
        <v>917</v>
      </c>
      <c r="E2412" t="s">
        <v>918</v>
      </c>
      <c r="F2412">
        <v>16</v>
      </c>
      <c r="G2412" t="s">
        <v>1671</v>
      </c>
      <c r="H2412" t="s">
        <v>929</v>
      </c>
      <c r="I2412" t="s">
        <v>22</v>
      </c>
      <c r="J2412" t="s">
        <v>67</v>
      </c>
      <c r="K2412" t="s">
        <v>34</v>
      </c>
      <c r="L2412" s="6">
        <v>82</v>
      </c>
      <c r="M2412" s="6">
        <v>0</v>
      </c>
      <c r="N2412" s="6">
        <v>-82</v>
      </c>
      <c r="O2412" s="6">
        <v>18833</v>
      </c>
      <c r="P2412" s="7">
        <v>0</v>
      </c>
      <c r="Q2412" s="6">
        <v>0</v>
      </c>
    </row>
    <row r="2413" spans="1:17">
      <c r="A2413">
        <v>2412</v>
      </c>
      <c r="B2413" s="5">
        <v>45890</v>
      </c>
      <c r="C2413" t="s">
        <v>916</v>
      </c>
      <c r="D2413" t="s">
        <v>917</v>
      </c>
      <c r="E2413" t="s">
        <v>918</v>
      </c>
      <c r="F2413">
        <v>16</v>
      </c>
      <c r="G2413" t="s">
        <v>1672</v>
      </c>
      <c r="H2413" t="s">
        <v>929</v>
      </c>
      <c r="I2413" t="s">
        <v>22</v>
      </c>
      <c r="J2413" t="s">
        <v>67</v>
      </c>
      <c r="K2413" t="s">
        <v>34</v>
      </c>
      <c r="L2413" s="6">
        <v>100</v>
      </c>
      <c r="M2413" s="6">
        <v>0</v>
      </c>
      <c r="N2413" s="6">
        <v>-100</v>
      </c>
      <c r="O2413" s="6">
        <v>18733</v>
      </c>
      <c r="P2413" s="7">
        <v>0</v>
      </c>
      <c r="Q2413" s="6">
        <v>0</v>
      </c>
    </row>
    <row r="2414" spans="1:17">
      <c r="A2414">
        <v>2413</v>
      </c>
      <c r="B2414" s="5">
        <v>45890</v>
      </c>
      <c r="C2414" t="s">
        <v>916</v>
      </c>
      <c r="D2414" t="s">
        <v>917</v>
      </c>
      <c r="E2414" t="s">
        <v>918</v>
      </c>
      <c r="F2414">
        <v>16</v>
      </c>
      <c r="G2414" t="s">
        <v>1673</v>
      </c>
      <c r="H2414" t="s">
        <v>66</v>
      </c>
      <c r="I2414" t="s">
        <v>22</v>
      </c>
      <c r="J2414" t="s">
        <v>67</v>
      </c>
      <c r="K2414" t="s">
        <v>34</v>
      </c>
      <c r="L2414" s="6">
        <v>174</v>
      </c>
      <c r="M2414" s="6">
        <v>0</v>
      </c>
      <c r="N2414" s="6">
        <v>-174</v>
      </c>
      <c r="O2414" s="6">
        <v>18559</v>
      </c>
      <c r="P2414" s="7">
        <v>0</v>
      </c>
      <c r="Q2414" s="6">
        <v>0</v>
      </c>
    </row>
    <row r="2415" spans="1:17">
      <c r="A2415">
        <v>2414</v>
      </c>
      <c r="B2415" s="5">
        <v>45890</v>
      </c>
      <c r="C2415" t="s">
        <v>916</v>
      </c>
      <c r="D2415" t="s">
        <v>917</v>
      </c>
      <c r="E2415" t="s">
        <v>918</v>
      </c>
      <c r="F2415">
        <v>16</v>
      </c>
      <c r="G2415" t="s">
        <v>1674</v>
      </c>
      <c r="H2415" t="s">
        <v>66</v>
      </c>
      <c r="I2415" t="s">
        <v>22</v>
      </c>
      <c r="J2415" t="s">
        <v>67</v>
      </c>
      <c r="K2415" t="s">
        <v>34</v>
      </c>
      <c r="L2415" s="6">
        <v>200</v>
      </c>
      <c r="M2415" s="6">
        <v>0</v>
      </c>
      <c r="N2415" s="6">
        <v>-200</v>
      </c>
      <c r="O2415" s="6">
        <v>18359</v>
      </c>
      <c r="P2415" s="7">
        <v>0</v>
      </c>
      <c r="Q2415" s="6">
        <v>0</v>
      </c>
    </row>
    <row r="2416" spans="1:17">
      <c r="A2416">
        <v>2415</v>
      </c>
      <c r="B2416" s="5">
        <v>45890</v>
      </c>
      <c r="C2416" t="s">
        <v>916</v>
      </c>
      <c r="D2416" t="s">
        <v>917</v>
      </c>
      <c r="E2416" t="s">
        <v>918</v>
      </c>
      <c r="F2416">
        <v>16</v>
      </c>
      <c r="G2416" t="s">
        <v>1675</v>
      </c>
      <c r="H2416" t="s">
        <v>929</v>
      </c>
      <c r="I2416" t="s">
        <v>22</v>
      </c>
      <c r="J2416" t="s">
        <v>67</v>
      </c>
      <c r="K2416" t="s">
        <v>34</v>
      </c>
      <c r="L2416" s="6">
        <v>367</v>
      </c>
      <c r="M2416" s="6">
        <v>0</v>
      </c>
      <c r="N2416" s="6">
        <v>-367</v>
      </c>
      <c r="O2416" s="6">
        <v>17992</v>
      </c>
      <c r="P2416" s="7">
        <v>0</v>
      </c>
      <c r="Q2416" s="6">
        <v>0</v>
      </c>
    </row>
    <row r="2417" spans="1:17">
      <c r="A2417">
        <v>2416</v>
      </c>
      <c r="B2417" s="5">
        <v>45890</v>
      </c>
      <c r="C2417" t="s">
        <v>916</v>
      </c>
      <c r="D2417" t="s">
        <v>917</v>
      </c>
      <c r="E2417" t="s">
        <v>918</v>
      </c>
      <c r="F2417">
        <v>16</v>
      </c>
      <c r="G2417" t="s">
        <v>1676</v>
      </c>
      <c r="I2417" t="s">
        <v>16</v>
      </c>
      <c r="J2417" t="s">
        <v>52</v>
      </c>
      <c r="K2417" t="s">
        <v>35</v>
      </c>
      <c r="L2417" s="6">
        <v>0</v>
      </c>
      <c r="M2417" s="6">
        <v>1500</v>
      </c>
      <c r="N2417" s="6">
        <v>1500</v>
      </c>
      <c r="O2417" s="6">
        <v>19492</v>
      </c>
      <c r="P2417" s="7">
        <v>0</v>
      </c>
      <c r="Q2417" s="6">
        <v>0</v>
      </c>
    </row>
    <row r="2418" spans="1:17">
      <c r="A2418">
        <v>2417</v>
      </c>
      <c r="B2418" s="5">
        <v>45890</v>
      </c>
      <c r="C2418" t="s">
        <v>916</v>
      </c>
      <c r="D2418" t="s">
        <v>917</v>
      </c>
      <c r="E2418" t="s">
        <v>918</v>
      </c>
      <c r="F2418">
        <v>16</v>
      </c>
      <c r="G2418" t="s">
        <v>1677</v>
      </c>
      <c r="I2418" t="s">
        <v>16</v>
      </c>
      <c r="J2418" t="s">
        <v>52</v>
      </c>
      <c r="K2418" t="s">
        <v>35</v>
      </c>
      <c r="L2418" s="6">
        <v>0</v>
      </c>
      <c r="M2418" s="6">
        <v>3925</v>
      </c>
      <c r="N2418" s="6">
        <v>3925</v>
      </c>
      <c r="O2418" s="6">
        <v>23417</v>
      </c>
      <c r="P2418" s="7">
        <v>0</v>
      </c>
      <c r="Q2418" s="6">
        <v>0</v>
      </c>
    </row>
    <row r="2419" spans="1:17">
      <c r="A2419">
        <v>2418</v>
      </c>
      <c r="B2419" s="5">
        <v>45891</v>
      </c>
      <c r="C2419" t="s">
        <v>916</v>
      </c>
      <c r="D2419" t="s">
        <v>917</v>
      </c>
      <c r="E2419" t="s">
        <v>918</v>
      </c>
      <c r="F2419">
        <v>16</v>
      </c>
      <c r="G2419" t="s">
        <v>1678</v>
      </c>
      <c r="I2419" t="s">
        <v>17</v>
      </c>
      <c r="J2419" t="s">
        <v>64</v>
      </c>
      <c r="K2419" t="s">
        <v>34</v>
      </c>
      <c r="L2419" s="6">
        <v>12000</v>
      </c>
      <c r="M2419" s="6">
        <v>0</v>
      </c>
      <c r="N2419" s="6">
        <v>-12000</v>
      </c>
      <c r="O2419" s="6">
        <v>11417</v>
      </c>
      <c r="P2419" s="7">
        <v>0</v>
      </c>
      <c r="Q2419" s="6">
        <v>0</v>
      </c>
    </row>
    <row r="2420" spans="1:17">
      <c r="A2420">
        <v>2419</v>
      </c>
      <c r="B2420" s="5">
        <v>45891</v>
      </c>
      <c r="C2420" t="s">
        <v>916</v>
      </c>
      <c r="D2420" t="s">
        <v>917</v>
      </c>
      <c r="E2420" t="s">
        <v>918</v>
      </c>
      <c r="F2420">
        <v>16</v>
      </c>
      <c r="G2420" t="s">
        <v>1679</v>
      </c>
      <c r="H2420" t="s">
        <v>66</v>
      </c>
      <c r="I2420" t="s">
        <v>22</v>
      </c>
      <c r="J2420" t="s">
        <v>67</v>
      </c>
      <c r="K2420" t="s">
        <v>34</v>
      </c>
      <c r="L2420" s="6">
        <v>4400</v>
      </c>
      <c r="M2420" s="6">
        <v>0</v>
      </c>
      <c r="N2420" s="6">
        <v>-4400</v>
      </c>
      <c r="O2420" s="6">
        <v>7017</v>
      </c>
      <c r="P2420" s="7">
        <v>0</v>
      </c>
      <c r="Q2420" s="6">
        <v>0</v>
      </c>
    </row>
    <row r="2421" spans="1:17">
      <c r="A2421">
        <v>2420</v>
      </c>
      <c r="B2421" s="5">
        <v>45891</v>
      </c>
      <c r="C2421" t="s">
        <v>916</v>
      </c>
      <c r="D2421" t="s">
        <v>917</v>
      </c>
      <c r="E2421" t="s">
        <v>918</v>
      </c>
      <c r="F2421">
        <v>16</v>
      </c>
      <c r="G2421" t="s">
        <v>1680</v>
      </c>
      <c r="H2421" t="s">
        <v>929</v>
      </c>
      <c r="I2421" t="s">
        <v>22</v>
      </c>
      <c r="J2421" t="s">
        <v>67</v>
      </c>
      <c r="K2421" t="s">
        <v>34</v>
      </c>
      <c r="L2421" s="6">
        <v>100</v>
      </c>
      <c r="M2421" s="6">
        <v>0</v>
      </c>
      <c r="N2421" s="6">
        <v>-100</v>
      </c>
      <c r="O2421" s="6">
        <v>6917</v>
      </c>
      <c r="P2421" s="7">
        <v>0</v>
      </c>
      <c r="Q2421" s="6">
        <v>0</v>
      </c>
    </row>
    <row r="2422" spans="1:17">
      <c r="A2422">
        <v>2421</v>
      </c>
      <c r="B2422" s="5">
        <v>45891</v>
      </c>
      <c r="C2422" t="s">
        <v>916</v>
      </c>
      <c r="D2422" t="s">
        <v>917</v>
      </c>
      <c r="E2422" t="s">
        <v>918</v>
      </c>
      <c r="F2422">
        <v>16</v>
      </c>
      <c r="G2422" t="s">
        <v>1681</v>
      </c>
      <c r="H2422" t="s">
        <v>929</v>
      </c>
      <c r="I2422" t="s">
        <v>22</v>
      </c>
      <c r="J2422" t="s">
        <v>67</v>
      </c>
      <c r="K2422" t="s">
        <v>34</v>
      </c>
      <c r="L2422" s="6">
        <v>137.35</v>
      </c>
      <c r="M2422" s="6">
        <v>0</v>
      </c>
      <c r="N2422" s="6">
        <v>-137.35</v>
      </c>
      <c r="O2422" s="6">
        <v>6779.65</v>
      </c>
      <c r="P2422" s="7">
        <v>0</v>
      </c>
      <c r="Q2422" s="6">
        <v>0</v>
      </c>
    </row>
    <row r="2423" spans="1:17">
      <c r="A2423">
        <v>2422</v>
      </c>
      <c r="B2423" s="5">
        <v>45891</v>
      </c>
      <c r="C2423" t="s">
        <v>916</v>
      </c>
      <c r="D2423" t="s">
        <v>917</v>
      </c>
      <c r="E2423" t="s">
        <v>918</v>
      </c>
      <c r="F2423">
        <v>16</v>
      </c>
      <c r="G2423" t="s">
        <v>1682</v>
      </c>
      <c r="H2423" t="s">
        <v>929</v>
      </c>
      <c r="I2423" t="s">
        <v>22</v>
      </c>
      <c r="J2423" t="s">
        <v>67</v>
      </c>
      <c r="K2423" t="s">
        <v>34</v>
      </c>
      <c r="L2423" s="6">
        <v>250</v>
      </c>
      <c r="M2423" s="6">
        <v>0</v>
      </c>
      <c r="N2423" s="6">
        <v>-250</v>
      </c>
      <c r="O2423" s="6">
        <v>6529.65</v>
      </c>
      <c r="P2423" s="7">
        <v>0</v>
      </c>
      <c r="Q2423" s="6">
        <v>0</v>
      </c>
    </row>
    <row r="2424" spans="1:17">
      <c r="A2424">
        <v>2423</v>
      </c>
      <c r="B2424" s="5">
        <v>45891</v>
      </c>
      <c r="C2424" t="s">
        <v>916</v>
      </c>
      <c r="D2424" t="s">
        <v>917</v>
      </c>
      <c r="E2424" t="s">
        <v>918</v>
      </c>
      <c r="F2424">
        <v>16</v>
      </c>
      <c r="G2424" t="s">
        <v>1683</v>
      </c>
      <c r="H2424" t="s">
        <v>66</v>
      </c>
      <c r="I2424" t="s">
        <v>22</v>
      </c>
      <c r="J2424" t="s">
        <v>67</v>
      </c>
      <c r="K2424" t="s">
        <v>34</v>
      </c>
      <c r="L2424" s="6">
        <v>500</v>
      </c>
      <c r="M2424" s="6">
        <v>0</v>
      </c>
      <c r="N2424" s="6">
        <v>-500</v>
      </c>
      <c r="O2424" s="6">
        <v>6029.65</v>
      </c>
      <c r="P2424" s="7">
        <v>0</v>
      </c>
      <c r="Q2424" s="6">
        <v>0</v>
      </c>
    </row>
    <row r="2425" spans="1:17">
      <c r="A2425">
        <v>2424</v>
      </c>
      <c r="B2425" s="5">
        <v>45891</v>
      </c>
      <c r="C2425" t="s">
        <v>916</v>
      </c>
      <c r="D2425" t="s">
        <v>917</v>
      </c>
      <c r="E2425" t="s">
        <v>918</v>
      </c>
      <c r="F2425">
        <v>16</v>
      </c>
      <c r="G2425" t="s">
        <v>1684</v>
      </c>
      <c r="H2425" t="s">
        <v>66</v>
      </c>
      <c r="I2425" t="s">
        <v>22</v>
      </c>
      <c r="J2425" t="s">
        <v>67</v>
      </c>
      <c r="K2425" t="s">
        <v>34</v>
      </c>
      <c r="L2425" s="6">
        <v>285.3</v>
      </c>
      <c r="M2425" s="6">
        <v>0</v>
      </c>
      <c r="N2425" s="6">
        <v>-285.3</v>
      </c>
      <c r="O2425" s="6">
        <v>5744.35</v>
      </c>
      <c r="P2425" s="7">
        <v>0</v>
      </c>
      <c r="Q2425" s="6">
        <v>0</v>
      </c>
    </row>
    <row r="2426" spans="1:17">
      <c r="A2426">
        <v>2425</v>
      </c>
      <c r="B2426" s="5">
        <v>45891</v>
      </c>
      <c r="C2426" t="s">
        <v>916</v>
      </c>
      <c r="D2426" t="s">
        <v>917</v>
      </c>
      <c r="E2426" t="s">
        <v>918</v>
      </c>
      <c r="F2426">
        <v>16</v>
      </c>
      <c r="G2426" t="s">
        <v>1685</v>
      </c>
      <c r="H2426" t="s">
        <v>929</v>
      </c>
      <c r="I2426" t="s">
        <v>22</v>
      </c>
      <c r="J2426" t="s">
        <v>67</v>
      </c>
      <c r="K2426" t="s">
        <v>34</v>
      </c>
      <c r="L2426" s="6">
        <v>1371.03</v>
      </c>
      <c r="M2426" s="6">
        <v>0</v>
      </c>
      <c r="N2426" s="6">
        <v>-1371.03</v>
      </c>
      <c r="O2426" s="6">
        <v>4373.32</v>
      </c>
      <c r="P2426" s="7">
        <v>0</v>
      </c>
      <c r="Q2426" s="6">
        <v>0</v>
      </c>
    </row>
    <row r="2427" spans="1:17">
      <c r="A2427">
        <v>2426</v>
      </c>
      <c r="B2427" s="5">
        <v>45891</v>
      </c>
      <c r="C2427" t="s">
        <v>916</v>
      </c>
      <c r="D2427" t="s">
        <v>917</v>
      </c>
      <c r="E2427" t="s">
        <v>918</v>
      </c>
      <c r="F2427">
        <v>16</v>
      </c>
      <c r="G2427" t="s">
        <v>1686</v>
      </c>
      <c r="H2427" t="s">
        <v>66</v>
      </c>
      <c r="I2427" t="s">
        <v>22</v>
      </c>
      <c r="J2427" t="s">
        <v>67</v>
      </c>
      <c r="K2427" t="s">
        <v>34</v>
      </c>
      <c r="L2427" s="6">
        <v>400</v>
      </c>
      <c r="M2427" s="6">
        <v>0</v>
      </c>
      <c r="N2427" s="6">
        <v>-400</v>
      </c>
      <c r="O2427" s="6">
        <v>3973.32</v>
      </c>
      <c r="P2427" s="7">
        <v>0</v>
      </c>
      <c r="Q2427" s="6">
        <v>0</v>
      </c>
    </row>
    <row r="2428" spans="1:17">
      <c r="A2428">
        <v>2427</v>
      </c>
      <c r="B2428" s="5">
        <v>45891</v>
      </c>
      <c r="C2428" t="s">
        <v>916</v>
      </c>
      <c r="D2428" t="s">
        <v>917</v>
      </c>
      <c r="E2428" t="s">
        <v>918</v>
      </c>
      <c r="F2428">
        <v>16</v>
      </c>
      <c r="G2428" t="s">
        <v>1687</v>
      </c>
      <c r="H2428" t="s">
        <v>66</v>
      </c>
      <c r="I2428" t="s">
        <v>22</v>
      </c>
      <c r="J2428" t="s">
        <v>67</v>
      </c>
      <c r="K2428" t="s">
        <v>34</v>
      </c>
      <c r="L2428" s="6">
        <v>136.85</v>
      </c>
      <c r="M2428" s="6">
        <v>0</v>
      </c>
      <c r="N2428" s="6">
        <v>-136.85</v>
      </c>
      <c r="O2428" s="6">
        <v>3836.47</v>
      </c>
      <c r="P2428" s="7">
        <v>0</v>
      </c>
      <c r="Q2428" s="6">
        <v>0</v>
      </c>
    </row>
    <row r="2429" spans="1:17">
      <c r="A2429">
        <v>2428</v>
      </c>
      <c r="B2429" s="5">
        <v>45891</v>
      </c>
      <c r="C2429" t="s">
        <v>916</v>
      </c>
      <c r="D2429" t="s">
        <v>917</v>
      </c>
      <c r="E2429" t="s">
        <v>918</v>
      </c>
      <c r="F2429">
        <v>16</v>
      </c>
      <c r="G2429" t="s">
        <v>1688</v>
      </c>
      <c r="H2429" t="s">
        <v>66</v>
      </c>
      <c r="I2429" t="s">
        <v>22</v>
      </c>
      <c r="J2429" t="s">
        <v>67</v>
      </c>
      <c r="K2429" t="s">
        <v>34</v>
      </c>
      <c r="L2429" s="6">
        <v>105.24</v>
      </c>
      <c r="M2429" s="6">
        <v>0</v>
      </c>
      <c r="N2429" s="6">
        <v>-105.24</v>
      </c>
      <c r="O2429" s="6">
        <v>3731.23</v>
      </c>
      <c r="P2429" s="7">
        <v>0</v>
      </c>
      <c r="Q2429" s="6">
        <v>0</v>
      </c>
    </row>
    <row r="2430" spans="1:17">
      <c r="A2430">
        <v>2429</v>
      </c>
      <c r="B2430" s="5">
        <v>45891</v>
      </c>
      <c r="C2430" t="s">
        <v>916</v>
      </c>
      <c r="D2430" t="s">
        <v>917</v>
      </c>
      <c r="E2430" t="s">
        <v>918</v>
      </c>
      <c r="F2430">
        <v>16</v>
      </c>
      <c r="G2430" t="s">
        <v>1689</v>
      </c>
      <c r="H2430" t="s">
        <v>929</v>
      </c>
      <c r="I2430" t="s">
        <v>22</v>
      </c>
      <c r="J2430" t="s">
        <v>67</v>
      </c>
      <c r="K2430" t="s">
        <v>34</v>
      </c>
      <c r="L2430" s="6">
        <v>212.02</v>
      </c>
      <c r="M2430" s="6">
        <v>0</v>
      </c>
      <c r="N2430" s="6">
        <v>-212.02</v>
      </c>
      <c r="O2430" s="6">
        <v>3519.21</v>
      </c>
      <c r="P2430" s="7">
        <v>0</v>
      </c>
      <c r="Q2430" s="6">
        <v>0</v>
      </c>
    </row>
    <row r="2431" spans="1:17">
      <c r="A2431">
        <v>2430</v>
      </c>
      <c r="B2431" s="5">
        <v>45891</v>
      </c>
      <c r="C2431" t="s">
        <v>916</v>
      </c>
      <c r="D2431" t="s">
        <v>917</v>
      </c>
      <c r="E2431" t="s">
        <v>918</v>
      </c>
      <c r="F2431">
        <v>16</v>
      </c>
      <c r="G2431" t="s">
        <v>900</v>
      </c>
      <c r="I2431" t="s">
        <v>16</v>
      </c>
      <c r="J2431" t="s">
        <v>52</v>
      </c>
      <c r="K2431" t="s">
        <v>35</v>
      </c>
      <c r="L2431" s="6">
        <v>0</v>
      </c>
      <c r="M2431" s="6">
        <v>292.18</v>
      </c>
      <c r="N2431" s="6">
        <v>292.18</v>
      </c>
      <c r="O2431" s="6">
        <v>3811.39</v>
      </c>
      <c r="P2431" s="7">
        <v>0</v>
      </c>
      <c r="Q2431" s="6">
        <v>0</v>
      </c>
    </row>
    <row r="2432" spans="1:17">
      <c r="A2432">
        <v>2431</v>
      </c>
      <c r="B2432" s="5">
        <v>45891</v>
      </c>
      <c r="C2432" t="s">
        <v>916</v>
      </c>
      <c r="D2432" t="s">
        <v>917</v>
      </c>
      <c r="E2432" t="s">
        <v>918</v>
      </c>
      <c r="F2432">
        <v>16</v>
      </c>
      <c r="G2432" t="s">
        <v>1690</v>
      </c>
      <c r="I2432" t="s">
        <v>15</v>
      </c>
      <c r="J2432" t="s">
        <v>52</v>
      </c>
      <c r="K2432" t="s">
        <v>35</v>
      </c>
      <c r="L2432" s="6">
        <v>0</v>
      </c>
      <c r="M2432" s="6">
        <v>6727.99</v>
      </c>
      <c r="N2432" s="6">
        <v>6727.99</v>
      </c>
      <c r="O2432" s="6">
        <v>10539.38</v>
      </c>
      <c r="P2432" s="7">
        <v>0</v>
      </c>
      <c r="Q2432" s="6">
        <v>0</v>
      </c>
    </row>
    <row r="2433" spans="1:17">
      <c r="A2433">
        <v>2432</v>
      </c>
      <c r="B2433" s="5">
        <v>45891</v>
      </c>
      <c r="C2433" t="s">
        <v>916</v>
      </c>
      <c r="D2433" t="s">
        <v>917</v>
      </c>
      <c r="E2433" t="s">
        <v>918</v>
      </c>
      <c r="F2433">
        <v>16</v>
      </c>
      <c r="G2433" t="s">
        <v>415</v>
      </c>
      <c r="H2433" t="s">
        <v>416</v>
      </c>
      <c r="I2433" t="s">
        <v>16</v>
      </c>
      <c r="J2433" t="s">
        <v>52</v>
      </c>
      <c r="K2433" t="s">
        <v>35</v>
      </c>
      <c r="L2433" s="6">
        <v>0</v>
      </c>
      <c r="M2433" s="6">
        <v>500</v>
      </c>
      <c r="N2433" s="6">
        <v>500</v>
      </c>
      <c r="O2433" s="6">
        <v>11039.38</v>
      </c>
      <c r="P2433" s="7">
        <v>0</v>
      </c>
      <c r="Q2433" s="6">
        <v>0</v>
      </c>
    </row>
    <row r="2434" spans="1:17">
      <c r="A2434">
        <v>2433</v>
      </c>
      <c r="B2434" s="5">
        <v>45891</v>
      </c>
      <c r="C2434" t="s">
        <v>916</v>
      </c>
      <c r="D2434" t="s">
        <v>917</v>
      </c>
      <c r="E2434" t="s">
        <v>918</v>
      </c>
      <c r="F2434">
        <v>16</v>
      </c>
      <c r="G2434" t="s">
        <v>1165</v>
      </c>
      <c r="H2434" t="s">
        <v>1166</v>
      </c>
      <c r="I2434" t="s">
        <v>16</v>
      </c>
      <c r="J2434" t="s">
        <v>52</v>
      </c>
      <c r="K2434" t="s">
        <v>35</v>
      </c>
      <c r="L2434" s="6">
        <v>0</v>
      </c>
      <c r="M2434" s="6">
        <v>500</v>
      </c>
      <c r="N2434" s="6">
        <v>500</v>
      </c>
      <c r="O2434" s="6">
        <v>11539.38</v>
      </c>
      <c r="P2434" s="7">
        <v>0</v>
      </c>
      <c r="Q2434" s="6">
        <v>0</v>
      </c>
    </row>
    <row r="2435" spans="1:17">
      <c r="A2435">
        <v>2434</v>
      </c>
      <c r="B2435" s="5">
        <v>45891</v>
      </c>
      <c r="C2435" t="s">
        <v>916</v>
      </c>
      <c r="D2435" t="s">
        <v>917</v>
      </c>
      <c r="E2435" t="s">
        <v>918</v>
      </c>
      <c r="F2435">
        <v>16</v>
      </c>
      <c r="G2435" t="s">
        <v>1691</v>
      </c>
      <c r="H2435" t="s">
        <v>929</v>
      </c>
      <c r="I2435" t="s">
        <v>22</v>
      </c>
      <c r="J2435" t="s">
        <v>67</v>
      </c>
      <c r="K2435" t="s">
        <v>34</v>
      </c>
      <c r="L2435" s="6">
        <v>3000</v>
      </c>
      <c r="M2435" s="6">
        <v>0</v>
      </c>
      <c r="N2435" s="6">
        <v>-3000</v>
      </c>
      <c r="O2435" s="6">
        <v>8539.3799999999992</v>
      </c>
      <c r="P2435" s="7">
        <v>0</v>
      </c>
      <c r="Q2435" s="6">
        <v>0</v>
      </c>
    </row>
    <row r="2436" spans="1:17">
      <c r="A2436">
        <v>2435</v>
      </c>
      <c r="B2436" s="5">
        <v>45891</v>
      </c>
      <c r="C2436" t="s">
        <v>916</v>
      </c>
      <c r="D2436" t="s">
        <v>917</v>
      </c>
      <c r="E2436" t="s">
        <v>918</v>
      </c>
      <c r="F2436">
        <v>16</v>
      </c>
      <c r="G2436" t="s">
        <v>1692</v>
      </c>
      <c r="H2436" t="s">
        <v>929</v>
      </c>
      <c r="I2436" t="s">
        <v>22</v>
      </c>
      <c r="J2436" t="s">
        <v>67</v>
      </c>
      <c r="K2436" t="s">
        <v>34</v>
      </c>
      <c r="L2436" s="6">
        <v>300</v>
      </c>
      <c r="M2436" s="6">
        <v>0</v>
      </c>
      <c r="N2436" s="6">
        <v>-300</v>
      </c>
      <c r="O2436" s="6">
        <v>8239.3799999999992</v>
      </c>
      <c r="P2436" s="7">
        <v>0</v>
      </c>
      <c r="Q2436" s="6">
        <v>0</v>
      </c>
    </row>
    <row r="2437" spans="1:17">
      <c r="A2437">
        <v>2436</v>
      </c>
      <c r="B2437" s="5">
        <v>45891</v>
      </c>
      <c r="C2437" t="s">
        <v>916</v>
      </c>
      <c r="D2437" t="s">
        <v>917</v>
      </c>
      <c r="E2437" t="s">
        <v>918</v>
      </c>
      <c r="F2437">
        <v>16</v>
      </c>
      <c r="G2437" t="s">
        <v>1693</v>
      </c>
      <c r="H2437" t="s">
        <v>66</v>
      </c>
      <c r="I2437" t="s">
        <v>22</v>
      </c>
      <c r="J2437" t="s">
        <v>67</v>
      </c>
      <c r="K2437" t="s">
        <v>34</v>
      </c>
      <c r="L2437" s="6">
        <v>560.37</v>
      </c>
      <c r="M2437" s="6">
        <v>0</v>
      </c>
      <c r="N2437" s="6">
        <v>-560.37</v>
      </c>
      <c r="O2437" s="6">
        <v>7679.01</v>
      </c>
      <c r="P2437" s="7">
        <v>0</v>
      </c>
      <c r="Q2437" s="6">
        <v>0</v>
      </c>
    </row>
    <row r="2438" spans="1:17">
      <c r="A2438">
        <v>2437</v>
      </c>
      <c r="B2438" s="5">
        <v>45891</v>
      </c>
      <c r="C2438" t="s">
        <v>916</v>
      </c>
      <c r="D2438" t="s">
        <v>917</v>
      </c>
      <c r="E2438" t="s">
        <v>918</v>
      </c>
      <c r="F2438">
        <v>16</v>
      </c>
      <c r="G2438" t="s">
        <v>1694</v>
      </c>
      <c r="H2438" t="s">
        <v>929</v>
      </c>
      <c r="I2438" t="s">
        <v>22</v>
      </c>
      <c r="J2438" t="s">
        <v>67</v>
      </c>
      <c r="K2438" t="s">
        <v>34</v>
      </c>
      <c r="L2438" s="6">
        <v>500</v>
      </c>
      <c r="M2438" s="6">
        <v>0</v>
      </c>
      <c r="N2438" s="6">
        <v>-500</v>
      </c>
      <c r="O2438" s="6">
        <v>7179.01</v>
      </c>
      <c r="P2438" s="7">
        <v>0</v>
      </c>
      <c r="Q2438" s="6">
        <v>0</v>
      </c>
    </row>
    <row r="2439" spans="1:17">
      <c r="A2439">
        <v>2438</v>
      </c>
      <c r="B2439" s="5">
        <v>45891</v>
      </c>
      <c r="C2439" t="s">
        <v>916</v>
      </c>
      <c r="D2439" t="s">
        <v>917</v>
      </c>
      <c r="E2439" t="s">
        <v>918</v>
      </c>
      <c r="F2439">
        <v>16</v>
      </c>
      <c r="G2439" t="s">
        <v>1695</v>
      </c>
      <c r="H2439" t="s">
        <v>66</v>
      </c>
      <c r="I2439" t="s">
        <v>22</v>
      </c>
      <c r="J2439" t="s">
        <v>67</v>
      </c>
      <c r="K2439" t="s">
        <v>34</v>
      </c>
      <c r="L2439" s="6">
        <v>800</v>
      </c>
      <c r="M2439" s="6">
        <v>0</v>
      </c>
      <c r="N2439" s="6">
        <v>-800</v>
      </c>
      <c r="O2439" s="6">
        <v>6379.01</v>
      </c>
      <c r="P2439" s="7">
        <v>0</v>
      </c>
      <c r="Q2439" s="6">
        <v>0</v>
      </c>
    </row>
    <row r="2440" spans="1:17">
      <c r="A2440">
        <v>2439</v>
      </c>
      <c r="B2440" s="5">
        <v>45891</v>
      </c>
      <c r="C2440" t="s">
        <v>916</v>
      </c>
      <c r="D2440" t="s">
        <v>917</v>
      </c>
      <c r="E2440" t="s">
        <v>918</v>
      </c>
      <c r="F2440">
        <v>16</v>
      </c>
      <c r="G2440" t="s">
        <v>1696</v>
      </c>
      <c r="H2440" t="s">
        <v>929</v>
      </c>
      <c r="I2440" t="s">
        <v>22</v>
      </c>
      <c r="J2440" t="s">
        <v>67</v>
      </c>
      <c r="K2440" t="s">
        <v>34</v>
      </c>
      <c r="L2440" s="6">
        <v>400</v>
      </c>
      <c r="M2440" s="6">
        <v>0</v>
      </c>
      <c r="N2440" s="6">
        <v>-400</v>
      </c>
      <c r="O2440" s="6">
        <v>5979.01</v>
      </c>
      <c r="P2440" s="7">
        <v>0</v>
      </c>
      <c r="Q2440" s="6">
        <v>0</v>
      </c>
    </row>
    <row r="2441" spans="1:17">
      <c r="A2441">
        <v>2440</v>
      </c>
      <c r="B2441" s="5">
        <v>45891</v>
      </c>
      <c r="C2441" t="s">
        <v>916</v>
      </c>
      <c r="D2441" t="s">
        <v>917</v>
      </c>
      <c r="E2441" t="s">
        <v>918</v>
      </c>
      <c r="F2441">
        <v>16</v>
      </c>
      <c r="G2441" t="s">
        <v>1697</v>
      </c>
      <c r="H2441" t="s">
        <v>929</v>
      </c>
      <c r="I2441" t="s">
        <v>22</v>
      </c>
      <c r="J2441" t="s">
        <v>67</v>
      </c>
      <c r="K2441" t="s">
        <v>34</v>
      </c>
      <c r="L2441" s="6">
        <v>1002.17</v>
      </c>
      <c r="M2441" s="6">
        <v>0</v>
      </c>
      <c r="N2441" s="6">
        <v>-1002.17</v>
      </c>
      <c r="O2441" s="6">
        <v>4976.84</v>
      </c>
      <c r="P2441" s="7">
        <v>0</v>
      </c>
      <c r="Q2441" s="6">
        <v>0</v>
      </c>
    </row>
    <row r="2442" spans="1:17">
      <c r="A2442">
        <v>2441</v>
      </c>
      <c r="B2442" s="5">
        <v>45891</v>
      </c>
      <c r="C2442" t="s">
        <v>916</v>
      </c>
      <c r="D2442" t="s">
        <v>917</v>
      </c>
      <c r="E2442" t="s">
        <v>918</v>
      </c>
      <c r="F2442">
        <v>16</v>
      </c>
      <c r="G2442" t="s">
        <v>1698</v>
      </c>
      <c r="H2442" t="s">
        <v>929</v>
      </c>
      <c r="I2442" t="s">
        <v>22</v>
      </c>
      <c r="J2442" t="s">
        <v>67</v>
      </c>
      <c r="K2442" t="s">
        <v>34</v>
      </c>
      <c r="L2442" s="6">
        <v>100</v>
      </c>
      <c r="M2442" s="6">
        <v>0</v>
      </c>
      <c r="N2442" s="6">
        <v>-100</v>
      </c>
      <c r="O2442" s="6">
        <v>4876.84</v>
      </c>
      <c r="P2442" s="7">
        <v>0</v>
      </c>
      <c r="Q2442" s="6">
        <v>0</v>
      </c>
    </row>
    <row r="2443" spans="1:17">
      <c r="A2443">
        <v>2442</v>
      </c>
      <c r="B2443" s="5">
        <v>45891</v>
      </c>
      <c r="C2443" t="s">
        <v>916</v>
      </c>
      <c r="D2443" t="s">
        <v>917</v>
      </c>
      <c r="E2443" t="s">
        <v>918</v>
      </c>
      <c r="F2443">
        <v>16</v>
      </c>
      <c r="G2443" t="s">
        <v>1147</v>
      </c>
      <c r="H2443" t="s">
        <v>1148</v>
      </c>
      <c r="I2443" t="s">
        <v>16</v>
      </c>
      <c r="J2443" t="s">
        <v>52</v>
      </c>
      <c r="K2443" t="s">
        <v>35</v>
      </c>
      <c r="L2443" s="6">
        <v>0</v>
      </c>
      <c r="M2443" s="6">
        <v>500</v>
      </c>
      <c r="N2443" s="6">
        <v>500</v>
      </c>
      <c r="O2443" s="6">
        <v>5376.84</v>
      </c>
      <c r="P2443" s="7">
        <v>0</v>
      </c>
      <c r="Q2443" s="6">
        <v>0</v>
      </c>
    </row>
    <row r="2444" spans="1:17">
      <c r="A2444">
        <v>2443</v>
      </c>
      <c r="B2444" s="5">
        <v>45891</v>
      </c>
      <c r="C2444" t="s">
        <v>916</v>
      </c>
      <c r="D2444" t="s">
        <v>917</v>
      </c>
      <c r="E2444" t="s">
        <v>918</v>
      </c>
      <c r="F2444">
        <v>16</v>
      </c>
      <c r="G2444" t="s">
        <v>1022</v>
      </c>
      <c r="H2444" t="s">
        <v>1023</v>
      </c>
      <c r="I2444" t="s">
        <v>16</v>
      </c>
      <c r="J2444" t="s">
        <v>52</v>
      </c>
      <c r="K2444" t="s">
        <v>35</v>
      </c>
      <c r="L2444" s="6">
        <v>0</v>
      </c>
      <c r="M2444" s="6">
        <v>2000</v>
      </c>
      <c r="N2444" s="6">
        <v>2000</v>
      </c>
      <c r="O2444" s="6">
        <v>7376.84</v>
      </c>
      <c r="P2444" s="7">
        <v>0</v>
      </c>
      <c r="Q2444" s="6">
        <v>0</v>
      </c>
    </row>
    <row r="2445" spans="1:17">
      <c r="A2445">
        <v>2444</v>
      </c>
      <c r="B2445" s="5">
        <v>45891</v>
      </c>
      <c r="C2445" t="s">
        <v>916</v>
      </c>
      <c r="D2445" t="s">
        <v>917</v>
      </c>
      <c r="E2445" t="s">
        <v>918</v>
      </c>
      <c r="F2445">
        <v>16</v>
      </c>
      <c r="G2445" t="s">
        <v>1699</v>
      </c>
      <c r="I2445" t="s">
        <v>16</v>
      </c>
      <c r="J2445" t="s">
        <v>52</v>
      </c>
      <c r="K2445" t="s">
        <v>35</v>
      </c>
      <c r="L2445" s="6">
        <v>0</v>
      </c>
      <c r="M2445" s="6">
        <v>3661</v>
      </c>
      <c r="N2445" s="6">
        <v>3661</v>
      </c>
      <c r="O2445" s="6">
        <v>11037.84</v>
      </c>
      <c r="P2445" s="7">
        <v>0</v>
      </c>
      <c r="Q2445" s="6">
        <v>0</v>
      </c>
    </row>
    <row r="2446" spans="1:17">
      <c r="A2446">
        <v>2445</v>
      </c>
      <c r="B2446" s="5">
        <v>45891</v>
      </c>
      <c r="C2446" t="s">
        <v>916</v>
      </c>
      <c r="D2446" t="s">
        <v>917</v>
      </c>
      <c r="E2446" t="s">
        <v>918</v>
      </c>
      <c r="F2446">
        <v>16</v>
      </c>
      <c r="G2446" t="s">
        <v>1700</v>
      </c>
      <c r="I2446" t="s">
        <v>16</v>
      </c>
      <c r="J2446" t="s">
        <v>52</v>
      </c>
      <c r="K2446" t="s">
        <v>35</v>
      </c>
      <c r="L2446" s="6">
        <v>0</v>
      </c>
      <c r="M2446" s="6">
        <v>5215</v>
      </c>
      <c r="N2446" s="6">
        <v>5215</v>
      </c>
      <c r="O2446" s="6">
        <v>16252.84</v>
      </c>
      <c r="P2446" s="7">
        <v>0</v>
      </c>
      <c r="Q2446" s="6">
        <v>0</v>
      </c>
    </row>
    <row r="2447" spans="1:17">
      <c r="A2447">
        <v>2446</v>
      </c>
      <c r="B2447" s="5">
        <v>45892</v>
      </c>
      <c r="C2447" t="s">
        <v>916</v>
      </c>
      <c r="D2447" t="s">
        <v>917</v>
      </c>
      <c r="E2447" t="s">
        <v>918</v>
      </c>
      <c r="F2447">
        <v>16</v>
      </c>
      <c r="G2447" t="s">
        <v>1701</v>
      </c>
      <c r="I2447" t="s">
        <v>17</v>
      </c>
      <c r="J2447" t="s">
        <v>64</v>
      </c>
      <c r="K2447" t="s">
        <v>34</v>
      </c>
      <c r="L2447" s="6">
        <v>3000</v>
      </c>
      <c r="M2447" s="6">
        <v>0</v>
      </c>
      <c r="N2447" s="6">
        <v>-3000</v>
      </c>
      <c r="O2447" s="6">
        <v>13252.84</v>
      </c>
      <c r="P2447" s="7">
        <v>0</v>
      </c>
      <c r="Q2447" s="6">
        <v>0</v>
      </c>
    </row>
    <row r="2448" spans="1:17">
      <c r="A2448">
        <v>2447</v>
      </c>
      <c r="B2448" s="5">
        <v>45892</v>
      </c>
      <c r="C2448" t="s">
        <v>916</v>
      </c>
      <c r="D2448" t="s">
        <v>917</v>
      </c>
      <c r="E2448" t="s">
        <v>918</v>
      </c>
      <c r="F2448">
        <v>16</v>
      </c>
      <c r="G2448" t="s">
        <v>1702</v>
      </c>
      <c r="I2448" t="s">
        <v>17</v>
      </c>
      <c r="J2448" t="s">
        <v>64</v>
      </c>
      <c r="K2448" t="s">
        <v>34</v>
      </c>
      <c r="L2448" s="6">
        <v>10000</v>
      </c>
      <c r="M2448" s="6">
        <v>0</v>
      </c>
      <c r="N2448" s="6">
        <v>-10000</v>
      </c>
      <c r="O2448" s="6">
        <v>3252.84</v>
      </c>
      <c r="P2448" s="7">
        <v>0</v>
      </c>
      <c r="Q2448" s="6">
        <v>0</v>
      </c>
    </row>
    <row r="2449" spans="1:18">
      <c r="A2449">
        <v>2448</v>
      </c>
      <c r="B2449" s="5">
        <v>45892</v>
      </c>
      <c r="C2449" t="s">
        <v>916</v>
      </c>
      <c r="D2449" t="s">
        <v>917</v>
      </c>
      <c r="E2449" t="s">
        <v>918</v>
      </c>
      <c r="F2449">
        <v>16</v>
      </c>
      <c r="G2449" t="s">
        <v>1703</v>
      </c>
      <c r="H2449" t="s">
        <v>1704</v>
      </c>
      <c r="I2449" t="s">
        <v>18</v>
      </c>
      <c r="J2449" t="s">
        <v>345</v>
      </c>
      <c r="K2449" t="s">
        <v>34</v>
      </c>
      <c r="L2449" s="6">
        <v>55</v>
      </c>
      <c r="M2449" s="6">
        <v>0</v>
      </c>
      <c r="N2449" s="6">
        <v>-55</v>
      </c>
      <c r="O2449" s="6">
        <v>3197.84</v>
      </c>
      <c r="P2449" s="7">
        <v>0</v>
      </c>
      <c r="Q2449" s="6">
        <v>0</v>
      </c>
    </row>
    <row r="2450" spans="1:18">
      <c r="A2450">
        <v>2449</v>
      </c>
      <c r="B2450" s="5">
        <v>45892</v>
      </c>
      <c r="C2450" t="s">
        <v>916</v>
      </c>
      <c r="D2450" t="s">
        <v>917</v>
      </c>
      <c r="E2450" t="s">
        <v>918</v>
      </c>
      <c r="F2450">
        <v>16</v>
      </c>
      <c r="G2450" t="s">
        <v>346</v>
      </c>
      <c r="I2450" t="s">
        <v>14</v>
      </c>
      <c r="J2450" t="s">
        <v>46</v>
      </c>
      <c r="K2450" t="s">
        <v>34</v>
      </c>
      <c r="L2450" s="6">
        <v>40</v>
      </c>
      <c r="M2450" s="6">
        <v>0</v>
      </c>
      <c r="N2450" s="6">
        <v>-40</v>
      </c>
      <c r="O2450" s="6">
        <v>3157.84</v>
      </c>
      <c r="P2450" s="7">
        <v>0.15</v>
      </c>
      <c r="Q2450" s="6">
        <v>5.22</v>
      </c>
    </row>
    <row r="2451" spans="1:18">
      <c r="A2451">
        <v>2450</v>
      </c>
      <c r="B2451" s="5">
        <v>45894</v>
      </c>
      <c r="C2451" t="s">
        <v>916</v>
      </c>
      <c r="D2451" t="s">
        <v>917</v>
      </c>
      <c r="E2451" t="s">
        <v>918</v>
      </c>
      <c r="F2451">
        <v>16</v>
      </c>
      <c r="G2451" t="s">
        <v>1468</v>
      </c>
      <c r="H2451" t="s">
        <v>1469</v>
      </c>
      <c r="I2451" t="s">
        <v>16</v>
      </c>
      <c r="J2451" t="s">
        <v>52</v>
      </c>
      <c r="K2451" t="s">
        <v>35</v>
      </c>
      <c r="L2451" s="6">
        <v>0</v>
      </c>
      <c r="M2451" s="6">
        <v>500</v>
      </c>
      <c r="N2451" s="6">
        <v>500</v>
      </c>
      <c r="O2451" s="6">
        <v>3657.84</v>
      </c>
      <c r="P2451" s="7">
        <v>0</v>
      </c>
      <c r="Q2451" s="6">
        <v>0</v>
      </c>
    </row>
    <row r="2452" spans="1:18">
      <c r="A2452">
        <v>2451</v>
      </c>
      <c r="B2452" s="5">
        <v>45894</v>
      </c>
      <c r="C2452" t="s">
        <v>916</v>
      </c>
      <c r="D2452" t="s">
        <v>917</v>
      </c>
      <c r="E2452" t="s">
        <v>918</v>
      </c>
      <c r="F2452">
        <v>16</v>
      </c>
      <c r="G2452" t="s">
        <v>1468</v>
      </c>
      <c r="H2452" t="s">
        <v>1469</v>
      </c>
      <c r="I2452" t="s">
        <v>16</v>
      </c>
      <c r="J2452" t="s">
        <v>52</v>
      </c>
      <c r="K2452" t="s">
        <v>35</v>
      </c>
      <c r="L2452" s="6">
        <v>0</v>
      </c>
      <c r="M2452" s="6">
        <v>500</v>
      </c>
      <c r="N2452" s="6">
        <v>500</v>
      </c>
      <c r="O2452" s="6">
        <v>4157.84</v>
      </c>
      <c r="P2452" s="7">
        <v>0</v>
      </c>
      <c r="Q2452" s="6">
        <v>0</v>
      </c>
    </row>
    <row r="2453" spans="1:18">
      <c r="A2453">
        <v>2452</v>
      </c>
      <c r="B2453" s="5">
        <v>45894</v>
      </c>
      <c r="C2453" t="s">
        <v>916</v>
      </c>
      <c r="D2453" t="s">
        <v>917</v>
      </c>
      <c r="E2453" t="s">
        <v>918</v>
      </c>
      <c r="F2453">
        <v>16</v>
      </c>
      <c r="G2453" t="s">
        <v>1705</v>
      </c>
      <c r="H2453" t="s">
        <v>929</v>
      </c>
      <c r="I2453" t="s">
        <v>22</v>
      </c>
      <c r="J2453" t="s">
        <v>67</v>
      </c>
      <c r="K2453" t="s">
        <v>34</v>
      </c>
      <c r="L2453" s="6">
        <v>600</v>
      </c>
      <c r="M2453" s="6">
        <v>0</v>
      </c>
      <c r="N2453" s="6">
        <v>-600</v>
      </c>
      <c r="O2453" s="6">
        <v>3557.84</v>
      </c>
      <c r="P2453" s="7">
        <v>0</v>
      </c>
      <c r="Q2453" s="6">
        <v>0</v>
      </c>
    </row>
    <row r="2454" spans="1:18">
      <c r="A2454">
        <v>2453</v>
      </c>
      <c r="B2454" s="5">
        <v>45894</v>
      </c>
      <c r="C2454" t="s">
        <v>916</v>
      </c>
      <c r="D2454" t="s">
        <v>917</v>
      </c>
      <c r="E2454" t="s">
        <v>918</v>
      </c>
      <c r="F2454">
        <v>16</v>
      </c>
      <c r="G2454" t="s">
        <v>1706</v>
      </c>
      <c r="H2454" t="s">
        <v>929</v>
      </c>
      <c r="I2454" t="s">
        <v>22</v>
      </c>
      <c r="J2454" t="s">
        <v>67</v>
      </c>
      <c r="K2454" t="s">
        <v>34</v>
      </c>
      <c r="L2454" s="6">
        <v>225</v>
      </c>
      <c r="M2454" s="6">
        <v>0</v>
      </c>
      <c r="N2454" s="6">
        <v>-225</v>
      </c>
      <c r="O2454" s="6">
        <v>3332.84</v>
      </c>
      <c r="P2454" s="7">
        <v>0</v>
      </c>
      <c r="Q2454" s="6">
        <v>0</v>
      </c>
    </row>
    <row r="2455" spans="1:18">
      <c r="A2455">
        <v>2454</v>
      </c>
      <c r="B2455" s="5">
        <v>45894</v>
      </c>
      <c r="C2455" t="s">
        <v>916</v>
      </c>
      <c r="D2455" t="s">
        <v>917</v>
      </c>
      <c r="E2455" t="s">
        <v>918</v>
      </c>
      <c r="F2455">
        <v>16</v>
      </c>
      <c r="G2455" t="s">
        <v>1707</v>
      </c>
      <c r="H2455" t="s">
        <v>66</v>
      </c>
      <c r="I2455" t="s">
        <v>22</v>
      </c>
      <c r="J2455" t="s">
        <v>67</v>
      </c>
      <c r="K2455" t="s">
        <v>34</v>
      </c>
      <c r="L2455" s="6">
        <v>32.99</v>
      </c>
      <c r="M2455" s="6">
        <v>0</v>
      </c>
      <c r="N2455" s="6">
        <v>-32.99</v>
      </c>
      <c r="O2455" s="6">
        <v>3299.85</v>
      </c>
      <c r="P2455" s="7">
        <v>0</v>
      </c>
      <c r="Q2455" s="6">
        <v>0</v>
      </c>
    </row>
    <row r="2456" spans="1:18">
      <c r="A2456">
        <v>2455</v>
      </c>
      <c r="B2456" s="5">
        <v>45894</v>
      </c>
      <c r="C2456" t="s">
        <v>916</v>
      </c>
      <c r="D2456" t="s">
        <v>917</v>
      </c>
      <c r="E2456" t="s">
        <v>918</v>
      </c>
      <c r="F2456">
        <v>16</v>
      </c>
      <c r="G2456" t="s">
        <v>1708</v>
      </c>
      <c r="H2456" t="s">
        <v>929</v>
      </c>
      <c r="I2456" t="s">
        <v>22</v>
      </c>
      <c r="J2456" t="s">
        <v>67</v>
      </c>
      <c r="K2456" t="s">
        <v>34</v>
      </c>
      <c r="L2456" s="6">
        <v>170.13</v>
      </c>
      <c r="M2456" s="6">
        <v>0</v>
      </c>
      <c r="N2456" s="6">
        <v>-170.13</v>
      </c>
      <c r="O2456" s="6">
        <v>3129.72</v>
      </c>
      <c r="P2456" s="7">
        <v>0</v>
      </c>
      <c r="Q2456" s="6">
        <v>0</v>
      </c>
    </row>
    <row r="2457" spans="1:18">
      <c r="A2457">
        <v>2456</v>
      </c>
      <c r="B2457" s="5">
        <v>45894</v>
      </c>
      <c r="C2457" t="s">
        <v>916</v>
      </c>
      <c r="D2457" t="s">
        <v>917</v>
      </c>
      <c r="E2457" t="s">
        <v>918</v>
      </c>
      <c r="F2457">
        <v>16</v>
      </c>
      <c r="G2457" t="s">
        <v>1709</v>
      </c>
      <c r="H2457" t="s">
        <v>929</v>
      </c>
      <c r="I2457" t="s">
        <v>22</v>
      </c>
      <c r="J2457" t="s">
        <v>67</v>
      </c>
      <c r="K2457" t="s">
        <v>34</v>
      </c>
      <c r="L2457" s="6">
        <v>400</v>
      </c>
      <c r="M2457" s="6">
        <v>0</v>
      </c>
      <c r="N2457" s="6">
        <v>-400</v>
      </c>
      <c r="O2457" s="6">
        <v>2729.72</v>
      </c>
      <c r="P2457" s="7">
        <v>0</v>
      </c>
      <c r="Q2457" s="6">
        <v>0</v>
      </c>
    </row>
    <row r="2458" spans="1:18">
      <c r="A2458">
        <v>2457</v>
      </c>
      <c r="B2458" s="5">
        <v>45894</v>
      </c>
      <c r="C2458" t="s">
        <v>916</v>
      </c>
      <c r="D2458" t="s">
        <v>917</v>
      </c>
      <c r="E2458" t="s">
        <v>918</v>
      </c>
      <c r="F2458">
        <v>16</v>
      </c>
      <c r="G2458" t="s">
        <v>1159</v>
      </c>
      <c r="H2458" t="s">
        <v>1160</v>
      </c>
      <c r="I2458" t="s">
        <v>16</v>
      </c>
      <c r="J2458" t="s">
        <v>52</v>
      </c>
      <c r="K2458" t="s">
        <v>35</v>
      </c>
      <c r="L2458" s="6">
        <v>0</v>
      </c>
      <c r="M2458" s="6">
        <v>500</v>
      </c>
      <c r="N2458" s="6">
        <v>500</v>
      </c>
      <c r="O2458" s="6">
        <v>3229.72</v>
      </c>
      <c r="P2458" s="7">
        <v>0</v>
      </c>
      <c r="Q2458" s="6">
        <v>0</v>
      </c>
    </row>
    <row r="2459" spans="1:18">
      <c r="A2459">
        <v>2458</v>
      </c>
      <c r="B2459" s="5">
        <v>45894</v>
      </c>
      <c r="C2459" t="s">
        <v>916</v>
      </c>
      <c r="D2459" t="s">
        <v>917</v>
      </c>
      <c r="E2459" t="s">
        <v>918</v>
      </c>
      <c r="F2459">
        <v>17</v>
      </c>
      <c r="G2459" t="s">
        <v>1710</v>
      </c>
      <c r="H2459" t="s">
        <v>1711</v>
      </c>
      <c r="I2459" t="s">
        <v>16</v>
      </c>
      <c r="J2459" t="s">
        <v>52</v>
      </c>
      <c r="K2459" t="s">
        <v>35</v>
      </c>
      <c r="L2459" s="6">
        <v>0</v>
      </c>
      <c r="M2459" s="6">
        <v>1000</v>
      </c>
      <c r="N2459" s="6">
        <v>1000</v>
      </c>
      <c r="O2459" s="6">
        <v>4229.72</v>
      </c>
      <c r="P2459" s="7">
        <v>0</v>
      </c>
      <c r="Q2459" s="6">
        <v>0</v>
      </c>
    </row>
    <row r="2460" spans="1:18">
      <c r="A2460">
        <v>2459</v>
      </c>
      <c r="B2460" s="5">
        <v>45894</v>
      </c>
      <c r="C2460" t="s">
        <v>916</v>
      </c>
      <c r="D2460" t="s">
        <v>917</v>
      </c>
      <c r="E2460" t="s">
        <v>918</v>
      </c>
      <c r="F2460">
        <v>17</v>
      </c>
      <c r="G2460" t="s">
        <v>1163</v>
      </c>
      <c r="H2460" t="s">
        <v>1164</v>
      </c>
      <c r="I2460" t="s">
        <v>16</v>
      </c>
      <c r="J2460" t="s">
        <v>52</v>
      </c>
      <c r="K2460" t="s">
        <v>35</v>
      </c>
      <c r="L2460" s="6">
        <v>0</v>
      </c>
      <c r="M2460" s="6">
        <v>2000</v>
      </c>
      <c r="N2460" s="6">
        <v>2000</v>
      </c>
      <c r="O2460" s="6">
        <v>6229.72</v>
      </c>
      <c r="P2460" s="7">
        <v>0</v>
      </c>
      <c r="Q2460" s="6">
        <v>0</v>
      </c>
    </row>
    <row r="2461" spans="1:18">
      <c r="A2461">
        <v>2460</v>
      </c>
      <c r="B2461" s="5">
        <v>45894</v>
      </c>
      <c r="C2461" t="s">
        <v>916</v>
      </c>
      <c r="D2461" t="s">
        <v>917</v>
      </c>
      <c r="E2461" t="s">
        <v>918</v>
      </c>
      <c r="F2461">
        <v>17</v>
      </c>
      <c r="G2461" t="s">
        <v>1712</v>
      </c>
      <c r="H2461" t="s">
        <v>1713</v>
      </c>
      <c r="I2461" t="s">
        <v>20</v>
      </c>
      <c r="J2461" t="s">
        <v>20</v>
      </c>
      <c r="K2461" t="s">
        <v>35</v>
      </c>
      <c r="L2461" s="6">
        <v>0</v>
      </c>
      <c r="M2461" s="6">
        <v>500</v>
      </c>
      <c r="N2461" s="6">
        <v>500</v>
      </c>
      <c r="O2461" s="6">
        <v>6729.72</v>
      </c>
      <c r="P2461" s="7">
        <v>0</v>
      </c>
      <c r="Q2461" s="6">
        <v>0</v>
      </c>
      <c r="R2461" t="s">
        <v>169</v>
      </c>
    </row>
    <row r="2462" spans="1:18">
      <c r="A2462">
        <v>2461</v>
      </c>
      <c r="B2462" s="5">
        <v>45894</v>
      </c>
      <c r="C2462" t="s">
        <v>916</v>
      </c>
      <c r="D2462" t="s">
        <v>917</v>
      </c>
      <c r="E2462" t="s">
        <v>918</v>
      </c>
      <c r="F2462">
        <v>17</v>
      </c>
      <c r="G2462" t="s">
        <v>1714</v>
      </c>
      <c r="H2462" t="s">
        <v>1713</v>
      </c>
      <c r="I2462" t="s">
        <v>16</v>
      </c>
      <c r="J2462" t="s">
        <v>52</v>
      </c>
      <c r="K2462" t="s">
        <v>35</v>
      </c>
      <c r="L2462" s="6">
        <v>0</v>
      </c>
      <c r="M2462" s="6">
        <v>500</v>
      </c>
      <c r="N2462" s="6">
        <v>500</v>
      </c>
      <c r="O2462" s="6">
        <v>7229.72</v>
      </c>
      <c r="P2462" s="7">
        <v>0</v>
      </c>
      <c r="Q2462" s="6">
        <v>0</v>
      </c>
    </row>
    <row r="2463" spans="1:18">
      <c r="A2463">
        <v>2462</v>
      </c>
      <c r="B2463" s="5">
        <v>45894</v>
      </c>
      <c r="C2463" t="s">
        <v>916</v>
      </c>
      <c r="D2463" t="s">
        <v>917</v>
      </c>
      <c r="E2463" t="s">
        <v>918</v>
      </c>
      <c r="F2463">
        <v>17</v>
      </c>
      <c r="G2463" t="s">
        <v>1715</v>
      </c>
      <c r="H2463" t="s">
        <v>66</v>
      </c>
      <c r="I2463" t="s">
        <v>22</v>
      </c>
      <c r="J2463" t="s">
        <v>67</v>
      </c>
      <c r="K2463" t="s">
        <v>34</v>
      </c>
      <c r="L2463" s="6">
        <v>6208.35</v>
      </c>
      <c r="M2463" s="6">
        <v>0</v>
      </c>
      <c r="N2463" s="6">
        <v>-6208.35</v>
      </c>
      <c r="O2463" s="6">
        <v>1021.37</v>
      </c>
      <c r="P2463" s="7">
        <v>0</v>
      </c>
      <c r="Q2463" s="6">
        <v>0</v>
      </c>
    </row>
    <row r="2464" spans="1:18">
      <c r="A2464">
        <v>2463</v>
      </c>
      <c r="B2464" s="5">
        <v>45894</v>
      </c>
      <c r="C2464" t="s">
        <v>916</v>
      </c>
      <c r="D2464" t="s">
        <v>917</v>
      </c>
      <c r="E2464" t="s">
        <v>918</v>
      </c>
      <c r="F2464">
        <v>17</v>
      </c>
      <c r="G2464" t="s">
        <v>1468</v>
      </c>
      <c r="H2464" t="s">
        <v>1469</v>
      </c>
      <c r="I2464" t="s">
        <v>16</v>
      </c>
      <c r="J2464" t="s">
        <v>52</v>
      </c>
      <c r="K2464" t="s">
        <v>35</v>
      </c>
      <c r="L2464" s="6">
        <v>0</v>
      </c>
      <c r="M2464" s="6">
        <v>820</v>
      </c>
      <c r="N2464" s="6">
        <v>820</v>
      </c>
      <c r="O2464" s="6">
        <v>1841.37</v>
      </c>
      <c r="P2464" s="7">
        <v>0</v>
      </c>
      <c r="Q2464" s="6">
        <v>0</v>
      </c>
    </row>
    <row r="2465" spans="1:17">
      <c r="A2465">
        <v>2464</v>
      </c>
      <c r="B2465" s="5">
        <v>45894</v>
      </c>
      <c r="C2465" t="s">
        <v>916</v>
      </c>
      <c r="D2465" t="s">
        <v>917</v>
      </c>
      <c r="E2465" t="s">
        <v>918</v>
      </c>
      <c r="F2465">
        <v>17</v>
      </c>
      <c r="G2465" t="s">
        <v>1716</v>
      </c>
      <c r="I2465" t="s">
        <v>15</v>
      </c>
      <c r="J2465" t="s">
        <v>52</v>
      </c>
      <c r="K2465" t="s">
        <v>35</v>
      </c>
      <c r="L2465" s="6">
        <v>0</v>
      </c>
      <c r="M2465" s="6">
        <v>64353</v>
      </c>
      <c r="N2465" s="6">
        <v>64353</v>
      </c>
      <c r="O2465" s="6">
        <v>66194.37</v>
      </c>
      <c r="P2465" s="7">
        <v>0</v>
      </c>
      <c r="Q2465" s="6">
        <v>0</v>
      </c>
    </row>
    <row r="2466" spans="1:17">
      <c r="A2466">
        <v>2465</v>
      </c>
      <c r="B2466" s="5">
        <v>45894</v>
      </c>
      <c r="C2466" t="s">
        <v>916</v>
      </c>
      <c r="D2466" t="s">
        <v>917</v>
      </c>
      <c r="E2466" t="s">
        <v>918</v>
      </c>
      <c r="F2466">
        <v>17</v>
      </c>
      <c r="G2466" t="s">
        <v>1716</v>
      </c>
      <c r="I2466" t="s">
        <v>15</v>
      </c>
      <c r="J2466" t="s">
        <v>52</v>
      </c>
      <c r="K2466" t="s">
        <v>35</v>
      </c>
      <c r="L2466" s="6">
        <v>0</v>
      </c>
      <c r="M2466" s="6">
        <v>16850</v>
      </c>
      <c r="N2466" s="6">
        <v>16850</v>
      </c>
      <c r="O2466" s="6">
        <v>83044.37</v>
      </c>
      <c r="P2466" s="7">
        <v>0</v>
      </c>
      <c r="Q2466" s="6">
        <v>0</v>
      </c>
    </row>
    <row r="2467" spans="1:17">
      <c r="A2467">
        <v>2466</v>
      </c>
      <c r="B2467" s="5">
        <v>45894</v>
      </c>
      <c r="C2467" t="s">
        <v>916</v>
      </c>
      <c r="D2467" t="s">
        <v>917</v>
      </c>
      <c r="E2467" t="s">
        <v>918</v>
      </c>
      <c r="F2467">
        <v>17</v>
      </c>
      <c r="G2467" t="s">
        <v>1716</v>
      </c>
      <c r="I2467" t="s">
        <v>15</v>
      </c>
      <c r="J2467" t="s">
        <v>52</v>
      </c>
      <c r="K2467" t="s">
        <v>35</v>
      </c>
      <c r="L2467" s="6">
        <v>0</v>
      </c>
      <c r="M2467" s="6">
        <v>300</v>
      </c>
      <c r="N2467" s="6">
        <v>300</v>
      </c>
      <c r="O2467" s="6">
        <v>83344.37</v>
      </c>
      <c r="P2467" s="7">
        <v>0</v>
      </c>
      <c r="Q2467" s="6">
        <v>0</v>
      </c>
    </row>
    <row r="2468" spans="1:17">
      <c r="A2468">
        <v>2467</v>
      </c>
      <c r="B2468" s="5">
        <v>45894</v>
      </c>
      <c r="C2468" t="s">
        <v>916</v>
      </c>
      <c r="D2468" t="s">
        <v>917</v>
      </c>
      <c r="E2468" t="s">
        <v>918</v>
      </c>
      <c r="F2468">
        <v>17</v>
      </c>
      <c r="G2468" t="s">
        <v>1717</v>
      </c>
      <c r="H2468" t="s">
        <v>929</v>
      </c>
      <c r="I2468" t="s">
        <v>22</v>
      </c>
      <c r="J2468" t="s">
        <v>67</v>
      </c>
      <c r="K2468" t="s">
        <v>34</v>
      </c>
      <c r="L2468" s="6">
        <v>3500</v>
      </c>
      <c r="M2468" s="6">
        <v>0</v>
      </c>
      <c r="N2468" s="6">
        <v>-3500</v>
      </c>
      <c r="O2468" s="6">
        <v>79844.37</v>
      </c>
      <c r="P2468" s="7">
        <v>0</v>
      </c>
      <c r="Q2468" s="6">
        <v>0</v>
      </c>
    </row>
    <row r="2469" spans="1:17">
      <c r="A2469">
        <v>2468</v>
      </c>
      <c r="B2469" s="5">
        <v>45894</v>
      </c>
      <c r="C2469" t="s">
        <v>916</v>
      </c>
      <c r="D2469" t="s">
        <v>917</v>
      </c>
      <c r="E2469" t="s">
        <v>918</v>
      </c>
      <c r="F2469">
        <v>17</v>
      </c>
      <c r="G2469" t="s">
        <v>1718</v>
      </c>
      <c r="H2469" t="s">
        <v>66</v>
      </c>
      <c r="I2469" t="s">
        <v>22</v>
      </c>
      <c r="J2469" t="s">
        <v>67</v>
      </c>
      <c r="K2469" t="s">
        <v>34</v>
      </c>
      <c r="L2469" s="6">
        <v>14991.63</v>
      </c>
      <c r="M2469" s="6">
        <v>0</v>
      </c>
      <c r="N2469" s="6">
        <v>-14991.63</v>
      </c>
      <c r="O2469" s="6">
        <v>64852.74</v>
      </c>
      <c r="P2469" s="7">
        <v>0</v>
      </c>
      <c r="Q2469" s="6">
        <v>0</v>
      </c>
    </row>
    <row r="2470" spans="1:17">
      <c r="A2470">
        <v>2469</v>
      </c>
      <c r="B2470" s="5">
        <v>45894</v>
      </c>
      <c r="C2470" t="s">
        <v>916</v>
      </c>
      <c r="D2470" t="s">
        <v>917</v>
      </c>
      <c r="E2470" t="s">
        <v>918</v>
      </c>
      <c r="F2470">
        <v>17</v>
      </c>
      <c r="G2470" t="s">
        <v>1719</v>
      </c>
      <c r="H2470" t="s">
        <v>66</v>
      </c>
      <c r="I2470" t="s">
        <v>22</v>
      </c>
      <c r="J2470" t="s">
        <v>67</v>
      </c>
      <c r="K2470" t="s">
        <v>34</v>
      </c>
      <c r="L2470" s="6">
        <v>12267.6</v>
      </c>
      <c r="M2470" s="6">
        <v>0</v>
      </c>
      <c r="N2470" s="6">
        <v>-12267.6</v>
      </c>
      <c r="O2470" s="6">
        <v>52585.14</v>
      </c>
      <c r="P2470" s="7">
        <v>0</v>
      </c>
      <c r="Q2470" s="6">
        <v>0</v>
      </c>
    </row>
    <row r="2471" spans="1:17">
      <c r="A2471">
        <v>2470</v>
      </c>
      <c r="B2471" s="5">
        <v>45894</v>
      </c>
      <c r="C2471" t="s">
        <v>916</v>
      </c>
      <c r="D2471" t="s">
        <v>917</v>
      </c>
      <c r="E2471" t="s">
        <v>918</v>
      </c>
      <c r="F2471">
        <v>17</v>
      </c>
      <c r="G2471" t="s">
        <v>1720</v>
      </c>
      <c r="H2471" t="s">
        <v>66</v>
      </c>
      <c r="I2471" t="s">
        <v>22</v>
      </c>
      <c r="J2471" t="s">
        <v>67</v>
      </c>
      <c r="K2471" t="s">
        <v>34</v>
      </c>
      <c r="L2471" s="6">
        <v>32500</v>
      </c>
      <c r="M2471" s="6">
        <v>0</v>
      </c>
      <c r="N2471" s="6">
        <v>-32500</v>
      </c>
      <c r="O2471" s="6">
        <v>20085.14</v>
      </c>
      <c r="P2471" s="7">
        <v>0</v>
      </c>
      <c r="Q2471" s="6">
        <v>0</v>
      </c>
    </row>
    <row r="2472" spans="1:17">
      <c r="A2472">
        <v>2471</v>
      </c>
      <c r="B2472" s="5">
        <v>45894</v>
      </c>
      <c r="C2472" t="s">
        <v>916</v>
      </c>
      <c r="D2472" t="s">
        <v>917</v>
      </c>
      <c r="E2472" t="s">
        <v>918</v>
      </c>
      <c r="F2472">
        <v>17</v>
      </c>
      <c r="G2472" t="s">
        <v>900</v>
      </c>
      <c r="I2472" t="s">
        <v>16</v>
      </c>
      <c r="J2472" t="s">
        <v>52</v>
      </c>
      <c r="K2472" t="s">
        <v>35</v>
      </c>
      <c r="L2472" s="6">
        <v>0</v>
      </c>
      <c r="M2472" s="6">
        <v>7624.82</v>
      </c>
      <c r="N2472" s="6">
        <v>7624.82</v>
      </c>
      <c r="O2472" s="6">
        <v>27709.96</v>
      </c>
      <c r="P2472" s="7">
        <v>0</v>
      </c>
      <c r="Q2472" s="6">
        <v>0</v>
      </c>
    </row>
    <row r="2473" spans="1:17">
      <c r="A2473">
        <v>2472</v>
      </c>
      <c r="B2473" s="5">
        <v>45894</v>
      </c>
      <c r="C2473" t="s">
        <v>916</v>
      </c>
      <c r="D2473" t="s">
        <v>917</v>
      </c>
      <c r="E2473" t="s">
        <v>918</v>
      </c>
      <c r="F2473">
        <v>17</v>
      </c>
      <c r="G2473" t="s">
        <v>900</v>
      </c>
      <c r="I2473" t="s">
        <v>16</v>
      </c>
      <c r="J2473" t="s">
        <v>52</v>
      </c>
      <c r="K2473" t="s">
        <v>35</v>
      </c>
      <c r="L2473" s="6">
        <v>0</v>
      </c>
      <c r="M2473" s="6">
        <v>85.77</v>
      </c>
      <c r="N2473" s="6">
        <v>85.77</v>
      </c>
      <c r="O2473" s="6">
        <v>27795.73</v>
      </c>
      <c r="P2473" s="7">
        <v>0</v>
      </c>
      <c r="Q2473" s="6">
        <v>0</v>
      </c>
    </row>
    <row r="2474" spans="1:17">
      <c r="A2474">
        <v>2473</v>
      </c>
      <c r="B2474" s="5">
        <v>45894</v>
      </c>
      <c r="C2474" t="s">
        <v>916</v>
      </c>
      <c r="D2474" t="s">
        <v>917</v>
      </c>
      <c r="E2474" t="s">
        <v>918</v>
      </c>
      <c r="F2474">
        <v>17</v>
      </c>
      <c r="G2474" t="s">
        <v>900</v>
      </c>
      <c r="I2474" t="s">
        <v>16</v>
      </c>
      <c r="J2474" t="s">
        <v>52</v>
      </c>
      <c r="K2474" t="s">
        <v>35</v>
      </c>
      <c r="L2474" s="6">
        <v>0</v>
      </c>
      <c r="M2474" s="6">
        <v>377</v>
      </c>
      <c r="N2474" s="6">
        <v>377</v>
      </c>
      <c r="O2474" s="6">
        <v>28172.73</v>
      </c>
      <c r="P2474" s="7">
        <v>0</v>
      </c>
      <c r="Q2474" s="6">
        <v>0</v>
      </c>
    </row>
    <row r="2475" spans="1:17">
      <c r="A2475">
        <v>2474</v>
      </c>
      <c r="B2475" s="5">
        <v>45894</v>
      </c>
      <c r="C2475" t="s">
        <v>916</v>
      </c>
      <c r="D2475" t="s">
        <v>917</v>
      </c>
      <c r="E2475" t="s">
        <v>918</v>
      </c>
      <c r="F2475">
        <v>17</v>
      </c>
      <c r="G2475" t="s">
        <v>1721</v>
      </c>
      <c r="I2475" t="s">
        <v>17</v>
      </c>
      <c r="J2475" t="s">
        <v>64</v>
      </c>
      <c r="K2475" t="s">
        <v>34</v>
      </c>
      <c r="L2475" s="6">
        <v>3000</v>
      </c>
      <c r="M2475" s="6">
        <v>0</v>
      </c>
      <c r="N2475" s="6">
        <v>-3000</v>
      </c>
      <c r="O2475" s="6">
        <v>25172.73</v>
      </c>
      <c r="P2475" s="7">
        <v>0</v>
      </c>
      <c r="Q2475" s="6">
        <v>0</v>
      </c>
    </row>
    <row r="2476" spans="1:17">
      <c r="A2476">
        <v>2475</v>
      </c>
      <c r="B2476" s="5">
        <v>45894</v>
      </c>
      <c r="C2476" t="s">
        <v>916</v>
      </c>
      <c r="D2476" t="s">
        <v>917</v>
      </c>
      <c r="E2476" t="s">
        <v>918</v>
      </c>
      <c r="F2476">
        <v>17</v>
      </c>
      <c r="G2476" t="s">
        <v>1722</v>
      </c>
      <c r="H2476" t="s">
        <v>66</v>
      </c>
      <c r="I2476" t="s">
        <v>22</v>
      </c>
      <c r="J2476" t="s">
        <v>67</v>
      </c>
      <c r="K2476" t="s">
        <v>34</v>
      </c>
      <c r="L2476" s="6">
        <v>500</v>
      </c>
      <c r="M2476" s="6">
        <v>0</v>
      </c>
      <c r="N2476" s="6">
        <v>-500</v>
      </c>
      <c r="O2476" s="6">
        <v>24672.73</v>
      </c>
      <c r="P2476" s="7">
        <v>0</v>
      </c>
      <c r="Q2476" s="6">
        <v>0</v>
      </c>
    </row>
    <row r="2477" spans="1:17">
      <c r="A2477">
        <v>2476</v>
      </c>
      <c r="B2477" s="5">
        <v>45894</v>
      </c>
      <c r="C2477" t="s">
        <v>916</v>
      </c>
      <c r="D2477" t="s">
        <v>917</v>
      </c>
      <c r="E2477" t="s">
        <v>918</v>
      </c>
      <c r="F2477">
        <v>17</v>
      </c>
      <c r="G2477" t="s">
        <v>1723</v>
      </c>
      <c r="H2477" t="s">
        <v>929</v>
      </c>
      <c r="I2477" t="s">
        <v>22</v>
      </c>
      <c r="J2477" t="s">
        <v>67</v>
      </c>
      <c r="K2477" t="s">
        <v>34</v>
      </c>
      <c r="L2477" s="6">
        <v>205</v>
      </c>
      <c r="M2477" s="6">
        <v>0</v>
      </c>
      <c r="N2477" s="6">
        <v>-205</v>
      </c>
      <c r="O2477" s="6">
        <v>24467.73</v>
      </c>
      <c r="P2477" s="7">
        <v>0</v>
      </c>
      <c r="Q2477" s="6">
        <v>0</v>
      </c>
    </row>
    <row r="2478" spans="1:17">
      <c r="A2478">
        <v>2477</v>
      </c>
      <c r="B2478" s="5">
        <v>45894</v>
      </c>
      <c r="C2478" t="s">
        <v>916</v>
      </c>
      <c r="D2478" t="s">
        <v>917</v>
      </c>
      <c r="E2478" t="s">
        <v>918</v>
      </c>
      <c r="F2478">
        <v>17</v>
      </c>
      <c r="G2478" t="s">
        <v>1724</v>
      </c>
      <c r="H2478" t="s">
        <v>929</v>
      </c>
      <c r="I2478" t="s">
        <v>22</v>
      </c>
      <c r="J2478" t="s">
        <v>67</v>
      </c>
      <c r="K2478" t="s">
        <v>34</v>
      </c>
      <c r="L2478" s="6">
        <v>176.6</v>
      </c>
      <c r="M2478" s="6">
        <v>0</v>
      </c>
      <c r="N2478" s="6">
        <v>-176.6</v>
      </c>
      <c r="O2478" s="6">
        <v>24291.13</v>
      </c>
      <c r="P2478" s="7">
        <v>0</v>
      </c>
      <c r="Q2478" s="6">
        <v>0</v>
      </c>
    </row>
    <row r="2479" spans="1:17">
      <c r="A2479">
        <v>2478</v>
      </c>
      <c r="B2479" s="5">
        <v>45894</v>
      </c>
      <c r="C2479" t="s">
        <v>916</v>
      </c>
      <c r="D2479" t="s">
        <v>917</v>
      </c>
      <c r="E2479" t="s">
        <v>918</v>
      </c>
      <c r="F2479">
        <v>17</v>
      </c>
      <c r="G2479" t="s">
        <v>1725</v>
      </c>
      <c r="H2479" t="s">
        <v>66</v>
      </c>
      <c r="I2479" t="s">
        <v>22</v>
      </c>
      <c r="J2479" t="s">
        <v>67</v>
      </c>
      <c r="K2479" t="s">
        <v>34</v>
      </c>
      <c r="L2479" s="6">
        <v>2500</v>
      </c>
      <c r="M2479" s="6">
        <v>0</v>
      </c>
      <c r="N2479" s="6">
        <v>-2500</v>
      </c>
      <c r="O2479" s="6">
        <v>21791.13</v>
      </c>
      <c r="P2479" s="7">
        <v>0</v>
      </c>
      <c r="Q2479" s="6">
        <v>0</v>
      </c>
    </row>
    <row r="2480" spans="1:17">
      <c r="A2480">
        <v>2479</v>
      </c>
      <c r="B2480" s="5">
        <v>45894</v>
      </c>
      <c r="C2480" t="s">
        <v>916</v>
      </c>
      <c r="D2480" t="s">
        <v>917</v>
      </c>
      <c r="E2480" t="s">
        <v>918</v>
      </c>
      <c r="F2480">
        <v>17</v>
      </c>
      <c r="G2480" t="s">
        <v>1726</v>
      </c>
      <c r="H2480" t="s">
        <v>929</v>
      </c>
      <c r="I2480" t="s">
        <v>22</v>
      </c>
      <c r="J2480" t="s">
        <v>67</v>
      </c>
      <c r="K2480" t="s">
        <v>34</v>
      </c>
      <c r="L2480" s="6">
        <v>44.55</v>
      </c>
      <c r="M2480" s="6">
        <v>0</v>
      </c>
      <c r="N2480" s="6">
        <v>-44.55</v>
      </c>
      <c r="O2480" s="6">
        <v>21746.58</v>
      </c>
      <c r="P2480" s="7">
        <v>0</v>
      </c>
      <c r="Q2480" s="6">
        <v>0</v>
      </c>
    </row>
    <row r="2481" spans="1:17">
      <c r="A2481">
        <v>2480</v>
      </c>
      <c r="B2481" s="5">
        <v>45894</v>
      </c>
      <c r="C2481" t="s">
        <v>916</v>
      </c>
      <c r="D2481" t="s">
        <v>917</v>
      </c>
      <c r="E2481" t="s">
        <v>918</v>
      </c>
      <c r="F2481">
        <v>17</v>
      </c>
      <c r="G2481" t="s">
        <v>1727</v>
      </c>
      <c r="H2481" t="s">
        <v>66</v>
      </c>
      <c r="I2481" t="s">
        <v>22</v>
      </c>
      <c r="J2481" t="s">
        <v>67</v>
      </c>
      <c r="K2481" t="s">
        <v>34</v>
      </c>
      <c r="L2481" s="6">
        <v>102</v>
      </c>
      <c r="M2481" s="6">
        <v>0</v>
      </c>
      <c r="N2481" s="6">
        <v>-102</v>
      </c>
      <c r="O2481" s="6">
        <v>21644.58</v>
      </c>
      <c r="P2481" s="7">
        <v>0</v>
      </c>
      <c r="Q2481" s="6">
        <v>0</v>
      </c>
    </row>
    <row r="2482" spans="1:17">
      <c r="A2482">
        <v>2481</v>
      </c>
      <c r="B2482" s="5">
        <v>45894</v>
      </c>
      <c r="C2482" t="s">
        <v>916</v>
      </c>
      <c r="D2482" t="s">
        <v>917</v>
      </c>
      <c r="E2482" t="s">
        <v>918</v>
      </c>
      <c r="F2482">
        <v>17</v>
      </c>
      <c r="G2482" t="s">
        <v>1728</v>
      </c>
      <c r="H2482" t="s">
        <v>929</v>
      </c>
      <c r="I2482" t="s">
        <v>22</v>
      </c>
      <c r="J2482" t="s">
        <v>67</v>
      </c>
      <c r="K2482" t="s">
        <v>34</v>
      </c>
      <c r="L2482" s="6">
        <v>50.33</v>
      </c>
      <c r="M2482" s="6">
        <v>0</v>
      </c>
      <c r="N2482" s="6">
        <v>-50.33</v>
      </c>
      <c r="O2482" s="6">
        <v>21594.25</v>
      </c>
      <c r="P2482" s="7">
        <v>0</v>
      </c>
      <c r="Q2482" s="6">
        <v>0</v>
      </c>
    </row>
    <row r="2483" spans="1:17">
      <c r="A2483">
        <v>2482</v>
      </c>
      <c r="B2483" s="5">
        <v>45894</v>
      </c>
      <c r="C2483" t="s">
        <v>916</v>
      </c>
      <c r="D2483" t="s">
        <v>917</v>
      </c>
      <c r="E2483" t="s">
        <v>918</v>
      </c>
      <c r="F2483">
        <v>17</v>
      </c>
      <c r="G2483" t="s">
        <v>1729</v>
      </c>
      <c r="H2483" t="s">
        <v>929</v>
      </c>
      <c r="I2483" t="s">
        <v>22</v>
      </c>
      <c r="J2483" t="s">
        <v>67</v>
      </c>
      <c r="K2483" t="s">
        <v>34</v>
      </c>
      <c r="L2483" s="6">
        <v>100.03</v>
      </c>
      <c r="M2483" s="6">
        <v>0</v>
      </c>
      <c r="N2483" s="6">
        <v>-100.03</v>
      </c>
      <c r="O2483" s="6">
        <v>21494.22</v>
      </c>
      <c r="P2483" s="7">
        <v>0</v>
      </c>
      <c r="Q2483" s="6">
        <v>0</v>
      </c>
    </row>
    <row r="2484" spans="1:17">
      <c r="A2484">
        <v>2483</v>
      </c>
      <c r="B2484" s="5">
        <v>45894</v>
      </c>
      <c r="C2484" t="s">
        <v>916</v>
      </c>
      <c r="D2484" t="s">
        <v>917</v>
      </c>
      <c r="E2484" t="s">
        <v>918</v>
      </c>
      <c r="F2484">
        <v>17</v>
      </c>
      <c r="G2484" t="s">
        <v>1730</v>
      </c>
      <c r="H2484" t="s">
        <v>929</v>
      </c>
      <c r="I2484" t="s">
        <v>22</v>
      </c>
      <c r="J2484" t="s">
        <v>67</v>
      </c>
      <c r="K2484" t="s">
        <v>34</v>
      </c>
      <c r="L2484" s="6">
        <v>210.45</v>
      </c>
      <c r="M2484" s="6">
        <v>0</v>
      </c>
      <c r="N2484" s="6">
        <v>-210.45</v>
      </c>
      <c r="O2484" s="6">
        <v>21283.77</v>
      </c>
      <c r="P2484" s="7">
        <v>0</v>
      </c>
      <c r="Q2484" s="6">
        <v>0</v>
      </c>
    </row>
    <row r="2485" spans="1:17">
      <c r="A2485">
        <v>2484</v>
      </c>
      <c r="B2485" s="5">
        <v>45894</v>
      </c>
      <c r="C2485" t="s">
        <v>916</v>
      </c>
      <c r="D2485" t="s">
        <v>917</v>
      </c>
      <c r="E2485" t="s">
        <v>918</v>
      </c>
      <c r="F2485">
        <v>17</v>
      </c>
      <c r="G2485" t="s">
        <v>1731</v>
      </c>
      <c r="H2485" t="s">
        <v>929</v>
      </c>
      <c r="I2485" t="s">
        <v>22</v>
      </c>
      <c r="J2485" t="s">
        <v>67</v>
      </c>
      <c r="K2485" t="s">
        <v>34</v>
      </c>
      <c r="L2485" s="6">
        <v>188.88</v>
      </c>
      <c r="M2485" s="6">
        <v>0</v>
      </c>
      <c r="N2485" s="6">
        <v>-188.88</v>
      </c>
      <c r="O2485" s="6">
        <v>21094.89</v>
      </c>
      <c r="P2485" s="7">
        <v>0</v>
      </c>
      <c r="Q2485" s="6">
        <v>0</v>
      </c>
    </row>
    <row r="2486" spans="1:17">
      <c r="A2486">
        <v>2485</v>
      </c>
      <c r="B2486" s="5">
        <v>45894</v>
      </c>
      <c r="C2486" t="s">
        <v>916</v>
      </c>
      <c r="D2486" t="s">
        <v>917</v>
      </c>
      <c r="E2486" t="s">
        <v>918</v>
      </c>
      <c r="F2486">
        <v>17</v>
      </c>
      <c r="G2486" t="s">
        <v>1732</v>
      </c>
      <c r="H2486" t="s">
        <v>929</v>
      </c>
      <c r="I2486" t="s">
        <v>22</v>
      </c>
      <c r="J2486" t="s">
        <v>67</v>
      </c>
      <c r="K2486" t="s">
        <v>34</v>
      </c>
      <c r="L2486" s="6">
        <v>100</v>
      </c>
      <c r="M2486" s="6">
        <v>0</v>
      </c>
      <c r="N2486" s="6">
        <v>-100</v>
      </c>
      <c r="O2486" s="6">
        <v>20994.89</v>
      </c>
      <c r="P2486" s="7">
        <v>0</v>
      </c>
      <c r="Q2486" s="6">
        <v>0</v>
      </c>
    </row>
    <row r="2487" spans="1:17">
      <c r="A2487">
        <v>2486</v>
      </c>
      <c r="B2487" s="5">
        <v>45894</v>
      </c>
      <c r="C2487" t="s">
        <v>916</v>
      </c>
      <c r="D2487" t="s">
        <v>917</v>
      </c>
      <c r="E2487" t="s">
        <v>918</v>
      </c>
      <c r="F2487">
        <v>17</v>
      </c>
      <c r="G2487" t="s">
        <v>1733</v>
      </c>
      <c r="H2487" t="s">
        <v>66</v>
      </c>
      <c r="I2487" t="s">
        <v>22</v>
      </c>
      <c r="J2487" t="s">
        <v>67</v>
      </c>
      <c r="K2487" t="s">
        <v>34</v>
      </c>
      <c r="L2487" s="6">
        <v>300</v>
      </c>
      <c r="M2487" s="6">
        <v>0</v>
      </c>
      <c r="N2487" s="6">
        <v>-300</v>
      </c>
      <c r="O2487" s="6">
        <v>20694.89</v>
      </c>
      <c r="P2487" s="7">
        <v>0</v>
      </c>
      <c r="Q2487" s="6">
        <v>0</v>
      </c>
    </row>
    <row r="2488" spans="1:17">
      <c r="A2488">
        <v>2487</v>
      </c>
      <c r="B2488" s="5">
        <v>45894</v>
      </c>
      <c r="C2488" t="s">
        <v>916</v>
      </c>
      <c r="D2488" t="s">
        <v>917</v>
      </c>
      <c r="E2488" t="s">
        <v>918</v>
      </c>
      <c r="F2488">
        <v>17</v>
      </c>
      <c r="G2488" t="s">
        <v>1734</v>
      </c>
      <c r="H2488" t="s">
        <v>929</v>
      </c>
      <c r="I2488" t="s">
        <v>22</v>
      </c>
      <c r="J2488" t="s">
        <v>67</v>
      </c>
      <c r="K2488" t="s">
        <v>34</v>
      </c>
      <c r="L2488" s="6">
        <v>308</v>
      </c>
      <c r="M2488" s="6">
        <v>0</v>
      </c>
      <c r="N2488" s="6">
        <v>-308</v>
      </c>
      <c r="O2488" s="6">
        <v>20386.89</v>
      </c>
      <c r="P2488" s="7">
        <v>0</v>
      </c>
      <c r="Q2488" s="6">
        <v>0</v>
      </c>
    </row>
    <row r="2489" spans="1:17">
      <c r="A2489">
        <v>2488</v>
      </c>
      <c r="B2489" s="5">
        <v>45894</v>
      </c>
      <c r="C2489" t="s">
        <v>916</v>
      </c>
      <c r="D2489" t="s">
        <v>917</v>
      </c>
      <c r="E2489" t="s">
        <v>918</v>
      </c>
      <c r="F2489">
        <v>17</v>
      </c>
      <c r="G2489" t="s">
        <v>1735</v>
      </c>
      <c r="H2489" t="s">
        <v>929</v>
      </c>
      <c r="I2489" t="s">
        <v>22</v>
      </c>
      <c r="J2489" t="s">
        <v>67</v>
      </c>
      <c r="K2489" t="s">
        <v>34</v>
      </c>
      <c r="L2489" s="6">
        <v>1056</v>
      </c>
      <c r="M2489" s="6">
        <v>0</v>
      </c>
      <c r="N2489" s="6">
        <v>-1056</v>
      </c>
      <c r="O2489" s="6">
        <v>19330.89</v>
      </c>
      <c r="P2489" s="7">
        <v>0</v>
      </c>
      <c r="Q2489" s="6">
        <v>0</v>
      </c>
    </row>
    <row r="2490" spans="1:17">
      <c r="A2490">
        <v>2489</v>
      </c>
      <c r="B2490" s="5">
        <v>45894</v>
      </c>
      <c r="C2490" t="s">
        <v>916</v>
      </c>
      <c r="D2490" t="s">
        <v>917</v>
      </c>
      <c r="E2490" t="s">
        <v>918</v>
      </c>
      <c r="F2490">
        <v>17</v>
      </c>
      <c r="G2490" t="s">
        <v>1736</v>
      </c>
      <c r="H2490" t="s">
        <v>66</v>
      </c>
      <c r="I2490" t="s">
        <v>22</v>
      </c>
      <c r="J2490" t="s">
        <v>67</v>
      </c>
      <c r="K2490" t="s">
        <v>34</v>
      </c>
      <c r="L2490" s="6">
        <v>520</v>
      </c>
      <c r="M2490" s="6">
        <v>0</v>
      </c>
      <c r="N2490" s="6">
        <v>-520</v>
      </c>
      <c r="O2490" s="6">
        <v>18810.89</v>
      </c>
      <c r="P2490" s="7">
        <v>0</v>
      </c>
      <c r="Q2490" s="6">
        <v>0</v>
      </c>
    </row>
    <row r="2491" spans="1:17">
      <c r="A2491">
        <v>2490</v>
      </c>
      <c r="B2491" s="5">
        <v>45894</v>
      </c>
      <c r="C2491" t="s">
        <v>916</v>
      </c>
      <c r="D2491" t="s">
        <v>917</v>
      </c>
      <c r="E2491" t="s">
        <v>918</v>
      </c>
      <c r="F2491">
        <v>17</v>
      </c>
      <c r="G2491" t="s">
        <v>1737</v>
      </c>
      <c r="H2491" t="s">
        <v>929</v>
      </c>
      <c r="I2491" t="s">
        <v>22</v>
      </c>
      <c r="J2491" t="s">
        <v>67</v>
      </c>
      <c r="K2491" t="s">
        <v>34</v>
      </c>
      <c r="L2491" s="6">
        <v>1008</v>
      </c>
      <c r="M2491" s="6">
        <v>0</v>
      </c>
      <c r="N2491" s="6">
        <v>-1008</v>
      </c>
      <c r="O2491" s="6">
        <v>17802.89</v>
      </c>
      <c r="P2491" s="7">
        <v>0</v>
      </c>
      <c r="Q2491" s="6">
        <v>0</v>
      </c>
    </row>
    <row r="2492" spans="1:17">
      <c r="A2492">
        <v>2491</v>
      </c>
      <c r="B2492" s="5">
        <v>45894</v>
      </c>
      <c r="C2492" t="s">
        <v>916</v>
      </c>
      <c r="D2492" t="s">
        <v>917</v>
      </c>
      <c r="E2492" t="s">
        <v>918</v>
      </c>
      <c r="F2492">
        <v>17</v>
      </c>
      <c r="G2492" t="s">
        <v>1738</v>
      </c>
      <c r="H2492" t="s">
        <v>929</v>
      </c>
      <c r="I2492" t="s">
        <v>22</v>
      </c>
      <c r="J2492" t="s">
        <v>67</v>
      </c>
      <c r="K2492" t="s">
        <v>34</v>
      </c>
      <c r="L2492" s="6">
        <v>660</v>
      </c>
      <c r="M2492" s="6">
        <v>0</v>
      </c>
      <c r="N2492" s="6">
        <v>-660</v>
      </c>
      <c r="O2492" s="6">
        <v>17142.89</v>
      </c>
      <c r="P2492" s="7">
        <v>0</v>
      </c>
      <c r="Q2492" s="6">
        <v>0</v>
      </c>
    </row>
    <row r="2493" spans="1:17">
      <c r="A2493">
        <v>2492</v>
      </c>
      <c r="B2493" s="5">
        <v>45894</v>
      </c>
      <c r="C2493" t="s">
        <v>916</v>
      </c>
      <c r="D2493" t="s">
        <v>917</v>
      </c>
      <c r="E2493" t="s">
        <v>918</v>
      </c>
      <c r="F2493">
        <v>17</v>
      </c>
      <c r="G2493" t="s">
        <v>1739</v>
      </c>
      <c r="H2493" t="s">
        <v>66</v>
      </c>
      <c r="I2493" t="s">
        <v>22</v>
      </c>
      <c r="J2493" t="s">
        <v>67</v>
      </c>
      <c r="K2493" t="s">
        <v>34</v>
      </c>
      <c r="L2493" s="6">
        <v>4077.69</v>
      </c>
      <c r="M2493" s="6">
        <v>0</v>
      </c>
      <c r="N2493" s="6">
        <v>-4077.69</v>
      </c>
      <c r="O2493" s="6">
        <v>13065.2</v>
      </c>
      <c r="P2493" s="7">
        <v>0</v>
      </c>
      <c r="Q2493" s="6">
        <v>0</v>
      </c>
    </row>
    <row r="2494" spans="1:17">
      <c r="A2494">
        <v>2493</v>
      </c>
      <c r="B2494" s="5">
        <v>45894</v>
      </c>
      <c r="C2494" t="s">
        <v>916</v>
      </c>
      <c r="D2494" t="s">
        <v>917</v>
      </c>
      <c r="E2494" t="s">
        <v>918</v>
      </c>
      <c r="F2494">
        <v>17</v>
      </c>
      <c r="G2494" t="s">
        <v>1740</v>
      </c>
      <c r="H2494" t="s">
        <v>66</v>
      </c>
      <c r="I2494" t="s">
        <v>22</v>
      </c>
      <c r="J2494" t="s">
        <v>67</v>
      </c>
      <c r="K2494" t="s">
        <v>34</v>
      </c>
      <c r="L2494" s="6">
        <v>100</v>
      </c>
      <c r="M2494" s="6">
        <v>0</v>
      </c>
      <c r="N2494" s="6">
        <v>-100</v>
      </c>
      <c r="O2494" s="6">
        <v>12965.2</v>
      </c>
      <c r="P2494" s="7">
        <v>0</v>
      </c>
      <c r="Q2494" s="6">
        <v>0</v>
      </c>
    </row>
    <row r="2495" spans="1:17">
      <c r="A2495">
        <v>2494</v>
      </c>
      <c r="B2495" s="5">
        <v>45894</v>
      </c>
      <c r="C2495" t="s">
        <v>916</v>
      </c>
      <c r="D2495" t="s">
        <v>917</v>
      </c>
      <c r="E2495" t="s">
        <v>918</v>
      </c>
      <c r="F2495">
        <v>17</v>
      </c>
      <c r="G2495" t="s">
        <v>1741</v>
      </c>
      <c r="I2495" t="s">
        <v>17</v>
      </c>
      <c r="J2495" t="s">
        <v>64</v>
      </c>
      <c r="K2495" t="s">
        <v>34</v>
      </c>
      <c r="L2495" s="6">
        <v>10000</v>
      </c>
      <c r="M2495" s="6">
        <v>0</v>
      </c>
      <c r="N2495" s="6">
        <v>-10000</v>
      </c>
      <c r="O2495" s="6">
        <v>2965.2</v>
      </c>
      <c r="P2495" s="7">
        <v>0</v>
      </c>
      <c r="Q2495" s="6">
        <v>0</v>
      </c>
    </row>
    <row r="2496" spans="1:17">
      <c r="A2496">
        <v>2495</v>
      </c>
      <c r="B2496" s="5">
        <v>45894</v>
      </c>
      <c r="C2496" t="s">
        <v>916</v>
      </c>
      <c r="D2496" t="s">
        <v>917</v>
      </c>
      <c r="E2496" t="s">
        <v>918</v>
      </c>
      <c r="F2496">
        <v>17</v>
      </c>
      <c r="G2496" t="s">
        <v>1742</v>
      </c>
      <c r="H2496" t="s">
        <v>1743</v>
      </c>
      <c r="I2496" t="s">
        <v>16</v>
      </c>
      <c r="J2496" t="s">
        <v>52</v>
      </c>
      <c r="K2496" t="s">
        <v>35</v>
      </c>
      <c r="L2496" s="6">
        <v>0</v>
      </c>
      <c r="M2496" s="6">
        <v>290</v>
      </c>
      <c r="N2496" s="6">
        <v>290</v>
      </c>
      <c r="O2496" s="6">
        <v>3255.2</v>
      </c>
      <c r="P2496" s="7">
        <v>0</v>
      </c>
      <c r="Q2496" s="6">
        <v>0</v>
      </c>
    </row>
    <row r="2497" spans="1:17">
      <c r="A2497">
        <v>2496</v>
      </c>
      <c r="B2497" s="5">
        <v>45894</v>
      </c>
      <c r="C2497" t="s">
        <v>916</v>
      </c>
      <c r="D2497" t="s">
        <v>917</v>
      </c>
      <c r="E2497" t="s">
        <v>918</v>
      </c>
      <c r="F2497">
        <v>17</v>
      </c>
      <c r="G2497" t="s">
        <v>1744</v>
      </c>
      <c r="I2497" t="s">
        <v>16</v>
      </c>
      <c r="J2497" t="s">
        <v>52</v>
      </c>
      <c r="K2497" t="s">
        <v>35</v>
      </c>
      <c r="L2497" s="6">
        <v>0</v>
      </c>
      <c r="M2497" s="6">
        <v>450</v>
      </c>
      <c r="N2497" s="6">
        <v>450</v>
      </c>
      <c r="O2497" s="6">
        <v>3705.2</v>
      </c>
      <c r="P2497" s="7">
        <v>0</v>
      </c>
      <c r="Q2497" s="6">
        <v>0</v>
      </c>
    </row>
    <row r="2498" spans="1:17">
      <c r="A2498">
        <v>2497</v>
      </c>
      <c r="B2498" s="5">
        <v>45894</v>
      </c>
      <c r="C2498" t="s">
        <v>916</v>
      </c>
      <c r="D2498" t="s">
        <v>917</v>
      </c>
      <c r="E2498" t="s">
        <v>918</v>
      </c>
      <c r="F2498">
        <v>17</v>
      </c>
      <c r="G2498" t="s">
        <v>1745</v>
      </c>
      <c r="I2498" t="s">
        <v>16</v>
      </c>
      <c r="J2498" t="s">
        <v>52</v>
      </c>
      <c r="K2498" t="s">
        <v>35</v>
      </c>
      <c r="L2498" s="6">
        <v>0</v>
      </c>
      <c r="M2498" s="6">
        <v>38082</v>
      </c>
      <c r="N2498" s="6">
        <v>38082</v>
      </c>
      <c r="O2498" s="6">
        <v>41787.199999999997</v>
      </c>
      <c r="P2498" s="7">
        <v>0</v>
      </c>
      <c r="Q2498" s="6">
        <v>0</v>
      </c>
    </row>
    <row r="2499" spans="1:17">
      <c r="A2499">
        <v>2498</v>
      </c>
      <c r="B2499" s="5">
        <v>45895</v>
      </c>
      <c r="C2499" t="s">
        <v>916</v>
      </c>
      <c r="D2499" t="s">
        <v>917</v>
      </c>
      <c r="E2499" t="s">
        <v>918</v>
      </c>
      <c r="F2499">
        <v>17</v>
      </c>
      <c r="G2499" t="s">
        <v>1746</v>
      </c>
      <c r="H2499" t="s">
        <v>66</v>
      </c>
      <c r="I2499" t="s">
        <v>22</v>
      </c>
      <c r="J2499" t="s">
        <v>67</v>
      </c>
      <c r="K2499" t="s">
        <v>34</v>
      </c>
      <c r="L2499" s="6">
        <v>2167.71</v>
      </c>
      <c r="M2499" s="6">
        <v>0</v>
      </c>
      <c r="N2499" s="6">
        <v>-2167.71</v>
      </c>
      <c r="O2499" s="6">
        <v>39619.49</v>
      </c>
      <c r="P2499" s="7">
        <v>0</v>
      </c>
      <c r="Q2499" s="6">
        <v>0</v>
      </c>
    </row>
    <row r="2500" spans="1:17">
      <c r="A2500">
        <v>2499</v>
      </c>
      <c r="B2500" s="5">
        <v>45895</v>
      </c>
      <c r="C2500" t="s">
        <v>916</v>
      </c>
      <c r="D2500" t="s">
        <v>917</v>
      </c>
      <c r="E2500" t="s">
        <v>918</v>
      </c>
      <c r="F2500">
        <v>17</v>
      </c>
      <c r="G2500" t="s">
        <v>1747</v>
      </c>
      <c r="H2500" t="s">
        <v>66</v>
      </c>
      <c r="I2500" t="s">
        <v>22</v>
      </c>
      <c r="J2500" t="s">
        <v>67</v>
      </c>
      <c r="K2500" t="s">
        <v>34</v>
      </c>
      <c r="L2500" s="6">
        <v>981.67</v>
      </c>
      <c r="M2500" s="6">
        <v>0</v>
      </c>
      <c r="N2500" s="6">
        <v>-981.67</v>
      </c>
      <c r="O2500" s="6">
        <v>38637.82</v>
      </c>
      <c r="P2500" s="7">
        <v>0</v>
      </c>
      <c r="Q2500" s="6">
        <v>0</v>
      </c>
    </row>
    <row r="2501" spans="1:17">
      <c r="A2501">
        <v>2500</v>
      </c>
      <c r="B2501" s="5">
        <v>45895</v>
      </c>
      <c r="C2501" t="s">
        <v>916</v>
      </c>
      <c r="D2501" t="s">
        <v>917</v>
      </c>
      <c r="E2501" t="s">
        <v>918</v>
      </c>
      <c r="F2501">
        <v>17</v>
      </c>
      <c r="G2501" t="s">
        <v>1748</v>
      </c>
      <c r="H2501" t="s">
        <v>929</v>
      </c>
      <c r="I2501" t="s">
        <v>22</v>
      </c>
      <c r="J2501" t="s">
        <v>67</v>
      </c>
      <c r="K2501" t="s">
        <v>34</v>
      </c>
      <c r="L2501" s="6">
        <v>100.03</v>
      </c>
      <c r="M2501" s="6">
        <v>0</v>
      </c>
      <c r="N2501" s="6">
        <v>-100.03</v>
      </c>
      <c r="O2501" s="6">
        <v>38537.79</v>
      </c>
      <c r="P2501" s="7">
        <v>0</v>
      </c>
      <c r="Q2501" s="6">
        <v>0</v>
      </c>
    </row>
    <row r="2502" spans="1:17">
      <c r="A2502">
        <v>2501</v>
      </c>
      <c r="B2502" s="5">
        <v>45895</v>
      </c>
      <c r="C2502" t="s">
        <v>916</v>
      </c>
      <c r="D2502" t="s">
        <v>917</v>
      </c>
      <c r="E2502" t="s">
        <v>918</v>
      </c>
      <c r="F2502">
        <v>17</v>
      </c>
      <c r="G2502" t="s">
        <v>1749</v>
      </c>
      <c r="H2502" t="s">
        <v>66</v>
      </c>
      <c r="I2502" t="s">
        <v>22</v>
      </c>
      <c r="J2502" t="s">
        <v>67</v>
      </c>
      <c r="K2502" t="s">
        <v>34</v>
      </c>
      <c r="L2502" s="6">
        <v>322.89</v>
      </c>
      <c r="M2502" s="6">
        <v>0</v>
      </c>
      <c r="N2502" s="6">
        <v>-322.89</v>
      </c>
      <c r="O2502" s="6">
        <v>38214.9</v>
      </c>
      <c r="P2502" s="7">
        <v>0</v>
      </c>
      <c r="Q2502" s="6">
        <v>0</v>
      </c>
    </row>
    <row r="2503" spans="1:17">
      <c r="A2503">
        <v>2502</v>
      </c>
      <c r="B2503" s="5">
        <v>45895</v>
      </c>
      <c r="C2503" t="s">
        <v>916</v>
      </c>
      <c r="D2503" t="s">
        <v>917</v>
      </c>
      <c r="E2503" t="s">
        <v>918</v>
      </c>
      <c r="F2503">
        <v>17</v>
      </c>
      <c r="G2503" t="s">
        <v>1750</v>
      </c>
      <c r="H2503" t="s">
        <v>929</v>
      </c>
      <c r="I2503" t="s">
        <v>22</v>
      </c>
      <c r="J2503" t="s">
        <v>67</v>
      </c>
      <c r="K2503" t="s">
        <v>34</v>
      </c>
      <c r="L2503" s="6">
        <v>20</v>
      </c>
      <c r="M2503" s="6">
        <v>0</v>
      </c>
      <c r="N2503" s="6">
        <v>-20</v>
      </c>
      <c r="O2503" s="6">
        <v>38194.9</v>
      </c>
      <c r="P2503" s="7">
        <v>0</v>
      </c>
      <c r="Q2503" s="6">
        <v>0</v>
      </c>
    </row>
    <row r="2504" spans="1:17">
      <c r="A2504">
        <v>2503</v>
      </c>
      <c r="B2504" s="5">
        <v>45895</v>
      </c>
      <c r="C2504" t="s">
        <v>916</v>
      </c>
      <c r="D2504" t="s">
        <v>917</v>
      </c>
      <c r="E2504" t="s">
        <v>918</v>
      </c>
      <c r="F2504">
        <v>17</v>
      </c>
      <c r="G2504" t="s">
        <v>1751</v>
      </c>
      <c r="H2504" t="s">
        <v>66</v>
      </c>
      <c r="I2504" t="s">
        <v>22</v>
      </c>
      <c r="J2504" t="s">
        <v>67</v>
      </c>
      <c r="K2504" t="s">
        <v>34</v>
      </c>
      <c r="L2504" s="6">
        <v>556</v>
      </c>
      <c r="M2504" s="6">
        <v>0</v>
      </c>
      <c r="N2504" s="6">
        <v>-556</v>
      </c>
      <c r="O2504" s="6">
        <v>37638.9</v>
      </c>
      <c r="P2504" s="7">
        <v>0</v>
      </c>
      <c r="Q2504" s="6">
        <v>0</v>
      </c>
    </row>
    <row r="2505" spans="1:17">
      <c r="A2505">
        <v>2504</v>
      </c>
      <c r="B2505" s="5">
        <v>45895</v>
      </c>
      <c r="C2505" t="s">
        <v>916</v>
      </c>
      <c r="D2505" t="s">
        <v>917</v>
      </c>
      <c r="E2505" t="s">
        <v>918</v>
      </c>
      <c r="F2505">
        <v>17</v>
      </c>
      <c r="G2505" t="s">
        <v>1752</v>
      </c>
      <c r="H2505" t="s">
        <v>1753</v>
      </c>
      <c r="I2505" t="s">
        <v>16</v>
      </c>
      <c r="J2505" t="s">
        <v>52</v>
      </c>
      <c r="K2505" t="s">
        <v>35</v>
      </c>
      <c r="L2505" s="6">
        <v>0</v>
      </c>
      <c r="M2505" s="6">
        <v>150</v>
      </c>
      <c r="N2505" s="6">
        <v>150</v>
      </c>
      <c r="O2505" s="6">
        <v>37788.9</v>
      </c>
      <c r="P2505" s="7">
        <v>0</v>
      </c>
      <c r="Q2505" s="6">
        <v>0</v>
      </c>
    </row>
    <row r="2506" spans="1:17">
      <c r="A2506">
        <v>2505</v>
      </c>
      <c r="B2506" s="5">
        <v>45895</v>
      </c>
      <c r="C2506" t="s">
        <v>916</v>
      </c>
      <c r="D2506" t="s">
        <v>917</v>
      </c>
      <c r="E2506" t="s">
        <v>918</v>
      </c>
      <c r="F2506">
        <v>17</v>
      </c>
      <c r="G2506" t="s">
        <v>1754</v>
      </c>
      <c r="I2506" t="s">
        <v>17</v>
      </c>
      <c r="J2506" t="s">
        <v>64</v>
      </c>
      <c r="K2506" t="s">
        <v>34</v>
      </c>
      <c r="L2506" s="6">
        <v>6500</v>
      </c>
      <c r="M2506" s="6">
        <v>0</v>
      </c>
      <c r="N2506" s="6">
        <v>-6500</v>
      </c>
      <c r="O2506" s="6">
        <v>31288.9</v>
      </c>
      <c r="P2506" s="7">
        <v>0</v>
      </c>
      <c r="Q2506" s="6">
        <v>0</v>
      </c>
    </row>
    <row r="2507" spans="1:17">
      <c r="A2507">
        <v>2506</v>
      </c>
      <c r="B2507" s="5">
        <v>45895</v>
      </c>
      <c r="C2507" t="s">
        <v>916</v>
      </c>
      <c r="D2507" t="s">
        <v>917</v>
      </c>
      <c r="E2507" t="s">
        <v>918</v>
      </c>
      <c r="F2507">
        <v>17</v>
      </c>
      <c r="G2507" t="s">
        <v>1755</v>
      </c>
      <c r="H2507" t="s">
        <v>66</v>
      </c>
      <c r="I2507" t="s">
        <v>22</v>
      </c>
      <c r="J2507" t="s">
        <v>67</v>
      </c>
      <c r="K2507" t="s">
        <v>34</v>
      </c>
      <c r="L2507" s="6">
        <v>3520</v>
      </c>
      <c r="M2507" s="6">
        <v>0</v>
      </c>
      <c r="N2507" s="6">
        <v>-3520</v>
      </c>
      <c r="O2507" s="6">
        <v>27768.9</v>
      </c>
      <c r="P2507" s="7">
        <v>0</v>
      </c>
      <c r="Q2507" s="6">
        <v>0</v>
      </c>
    </row>
    <row r="2508" spans="1:17">
      <c r="A2508">
        <v>2507</v>
      </c>
      <c r="B2508" s="5">
        <v>45895</v>
      </c>
      <c r="C2508" t="s">
        <v>916</v>
      </c>
      <c r="D2508" t="s">
        <v>917</v>
      </c>
      <c r="E2508" t="s">
        <v>918</v>
      </c>
      <c r="F2508">
        <v>17</v>
      </c>
      <c r="G2508" t="s">
        <v>1756</v>
      </c>
      <c r="H2508" t="s">
        <v>1757</v>
      </c>
      <c r="I2508" t="s">
        <v>18</v>
      </c>
      <c r="J2508" t="s">
        <v>345</v>
      </c>
      <c r="K2508" t="s">
        <v>34</v>
      </c>
      <c r="L2508" s="6">
        <v>89</v>
      </c>
      <c r="M2508" s="6">
        <v>0</v>
      </c>
      <c r="N2508" s="6">
        <v>-89</v>
      </c>
      <c r="O2508" s="6">
        <v>27679.9</v>
      </c>
      <c r="P2508" s="7">
        <v>0</v>
      </c>
      <c r="Q2508" s="6">
        <v>0</v>
      </c>
    </row>
    <row r="2509" spans="1:17">
      <c r="A2509">
        <v>2508</v>
      </c>
      <c r="B2509" s="5">
        <v>45895</v>
      </c>
      <c r="C2509" t="s">
        <v>916</v>
      </c>
      <c r="D2509" t="s">
        <v>917</v>
      </c>
      <c r="E2509" t="s">
        <v>918</v>
      </c>
      <c r="F2509">
        <v>18</v>
      </c>
      <c r="G2509" t="s">
        <v>346</v>
      </c>
      <c r="I2509" t="s">
        <v>14</v>
      </c>
      <c r="J2509" t="s">
        <v>46</v>
      </c>
      <c r="K2509" t="s">
        <v>34</v>
      </c>
      <c r="L2509" s="6">
        <v>10</v>
      </c>
      <c r="M2509" s="6">
        <v>0</v>
      </c>
      <c r="N2509" s="6">
        <v>-10</v>
      </c>
      <c r="O2509" s="6">
        <v>27669.9</v>
      </c>
      <c r="P2509" s="7">
        <v>0.15</v>
      </c>
      <c r="Q2509" s="6">
        <v>1.3</v>
      </c>
    </row>
    <row r="2510" spans="1:17">
      <c r="A2510">
        <v>2509</v>
      </c>
      <c r="B2510" s="5">
        <v>45895</v>
      </c>
      <c r="C2510" t="s">
        <v>916</v>
      </c>
      <c r="D2510" t="s">
        <v>917</v>
      </c>
      <c r="E2510" t="s">
        <v>918</v>
      </c>
      <c r="F2510">
        <v>18</v>
      </c>
      <c r="G2510" t="s">
        <v>900</v>
      </c>
      <c r="I2510" t="s">
        <v>16</v>
      </c>
      <c r="J2510" t="s">
        <v>52</v>
      </c>
      <c r="K2510" t="s">
        <v>35</v>
      </c>
      <c r="L2510" s="6">
        <v>0</v>
      </c>
      <c r="M2510" s="6">
        <v>1286.51</v>
      </c>
      <c r="N2510" s="6">
        <v>1286.51</v>
      </c>
      <c r="O2510" s="6">
        <v>28956.41</v>
      </c>
      <c r="P2510" s="7">
        <v>0</v>
      </c>
      <c r="Q2510" s="6">
        <v>0</v>
      </c>
    </row>
    <row r="2511" spans="1:17">
      <c r="A2511">
        <v>2510</v>
      </c>
      <c r="B2511" s="5">
        <v>45895</v>
      </c>
      <c r="C2511" t="s">
        <v>916</v>
      </c>
      <c r="D2511" t="s">
        <v>917</v>
      </c>
      <c r="E2511" t="s">
        <v>918</v>
      </c>
      <c r="F2511">
        <v>18</v>
      </c>
      <c r="G2511" t="s">
        <v>1758</v>
      </c>
      <c r="H2511" t="s">
        <v>66</v>
      </c>
      <c r="I2511" t="s">
        <v>22</v>
      </c>
      <c r="J2511" t="s">
        <v>67</v>
      </c>
      <c r="K2511" t="s">
        <v>34</v>
      </c>
      <c r="L2511" s="6">
        <v>500</v>
      </c>
      <c r="M2511" s="6">
        <v>0</v>
      </c>
      <c r="N2511" s="6">
        <v>-500</v>
      </c>
      <c r="O2511" s="6">
        <v>28456.41</v>
      </c>
      <c r="P2511" s="7">
        <v>0</v>
      </c>
      <c r="Q2511" s="6">
        <v>0</v>
      </c>
    </row>
    <row r="2512" spans="1:17">
      <c r="A2512">
        <v>2511</v>
      </c>
      <c r="B2512" s="5">
        <v>45895</v>
      </c>
      <c r="C2512" t="s">
        <v>916</v>
      </c>
      <c r="D2512" t="s">
        <v>917</v>
      </c>
      <c r="E2512" t="s">
        <v>918</v>
      </c>
      <c r="F2512">
        <v>18</v>
      </c>
      <c r="G2512" t="s">
        <v>1759</v>
      </c>
      <c r="H2512" t="s">
        <v>929</v>
      </c>
      <c r="I2512" t="s">
        <v>22</v>
      </c>
      <c r="J2512" t="s">
        <v>67</v>
      </c>
      <c r="K2512" t="s">
        <v>34</v>
      </c>
      <c r="L2512" s="6">
        <v>765.63</v>
      </c>
      <c r="M2512" s="6">
        <v>0</v>
      </c>
      <c r="N2512" s="6">
        <v>-765.63</v>
      </c>
      <c r="O2512" s="6">
        <v>27690.78</v>
      </c>
      <c r="P2512" s="7">
        <v>0</v>
      </c>
      <c r="Q2512" s="6">
        <v>0</v>
      </c>
    </row>
    <row r="2513" spans="1:17">
      <c r="A2513">
        <v>2512</v>
      </c>
      <c r="B2513" s="5">
        <v>45895</v>
      </c>
      <c r="C2513" t="s">
        <v>916</v>
      </c>
      <c r="D2513" t="s">
        <v>917</v>
      </c>
      <c r="E2513" t="s">
        <v>918</v>
      </c>
      <c r="F2513">
        <v>18</v>
      </c>
      <c r="G2513" t="s">
        <v>1760</v>
      </c>
      <c r="H2513" t="s">
        <v>66</v>
      </c>
      <c r="I2513" t="s">
        <v>22</v>
      </c>
      <c r="J2513" t="s">
        <v>67</v>
      </c>
      <c r="K2513" t="s">
        <v>34</v>
      </c>
      <c r="L2513" s="6">
        <v>415.8</v>
      </c>
      <c r="M2513" s="6">
        <v>0</v>
      </c>
      <c r="N2513" s="6">
        <v>-415.8</v>
      </c>
      <c r="O2513" s="6">
        <v>27274.98</v>
      </c>
      <c r="P2513" s="7">
        <v>0</v>
      </c>
      <c r="Q2513" s="6">
        <v>0</v>
      </c>
    </row>
    <row r="2514" spans="1:17">
      <c r="A2514">
        <v>2513</v>
      </c>
      <c r="B2514" s="5">
        <v>45895</v>
      </c>
      <c r="C2514" t="s">
        <v>916</v>
      </c>
      <c r="D2514" t="s">
        <v>917</v>
      </c>
      <c r="E2514" t="s">
        <v>918</v>
      </c>
      <c r="F2514">
        <v>18</v>
      </c>
      <c r="G2514" t="s">
        <v>1761</v>
      </c>
      <c r="H2514" t="s">
        <v>66</v>
      </c>
      <c r="I2514" t="s">
        <v>22</v>
      </c>
      <c r="J2514" t="s">
        <v>67</v>
      </c>
      <c r="K2514" t="s">
        <v>34</v>
      </c>
      <c r="L2514" s="6">
        <v>92.77</v>
      </c>
      <c r="M2514" s="6">
        <v>0</v>
      </c>
      <c r="N2514" s="6">
        <v>-92.77</v>
      </c>
      <c r="O2514" s="6">
        <v>27182.21</v>
      </c>
      <c r="P2514" s="7">
        <v>0</v>
      </c>
      <c r="Q2514" s="6">
        <v>0</v>
      </c>
    </row>
    <row r="2515" spans="1:17">
      <c r="A2515">
        <v>2514</v>
      </c>
      <c r="B2515" s="5">
        <v>45895</v>
      </c>
      <c r="C2515" t="s">
        <v>916</v>
      </c>
      <c r="D2515" t="s">
        <v>917</v>
      </c>
      <c r="E2515" t="s">
        <v>918</v>
      </c>
      <c r="F2515">
        <v>18</v>
      </c>
      <c r="G2515" t="s">
        <v>1762</v>
      </c>
      <c r="H2515" t="s">
        <v>929</v>
      </c>
      <c r="I2515" t="s">
        <v>22</v>
      </c>
      <c r="J2515" t="s">
        <v>67</v>
      </c>
      <c r="K2515" t="s">
        <v>34</v>
      </c>
      <c r="L2515" s="6">
        <v>900</v>
      </c>
      <c r="M2515" s="6">
        <v>0</v>
      </c>
      <c r="N2515" s="6">
        <v>-900</v>
      </c>
      <c r="O2515" s="6">
        <v>26282.21</v>
      </c>
      <c r="P2515" s="7">
        <v>0</v>
      </c>
      <c r="Q2515" s="6">
        <v>0</v>
      </c>
    </row>
    <row r="2516" spans="1:17">
      <c r="A2516">
        <v>2515</v>
      </c>
      <c r="B2516" s="5">
        <v>45895</v>
      </c>
      <c r="C2516" t="s">
        <v>916</v>
      </c>
      <c r="D2516" t="s">
        <v>917</v>
      </c>
      <c r="E2516" t="s">
        <v>918</v>
      </c>
      <c r="F2516">
        <v>18</v>
      </c>
      <c r="G2516" t="s">
        <v>1763</v>
      </c>
      <c r="H2516" t="s">
        <v>929</v>
      </c>
      <c r="I2516" t="s">
        <v>22</v>
      </c>
      <c r="J2516" t="s">
        <v>67</v>
      </c>
      <c r="K2516" t="s">
        <v>34</v>
      </c>
      <c r="L2516" s="6">
        <v>500</v>
      </c>
      <c r="M2516" s="6">
        <v>0</v>
      </c>
      <c r="N2516" s="6">
        <v>-500</v>
      </c>
      <c r="O2516" s="6">
        <v>25782.21</v>
      </c>
      <c r="P2516" s="7">
        <v>0</v>
      </c>
      <c r="Q2516" s="6">
        <v>0</v>
      </c>
    </row>
    <row r="2517" spans="1:17">
      <c r="A2517">
        <v>2516</v>
      </c>
      <c r="B2517" s="5">
        <v>45895</v>
      </c>
      <c r="C2517" t="s">
        <v>916</v>
      </c>
      <c r="D2517" t="s">
        <v>917</v>
      </c>
      <c r="E2517" t="s">
        <v>918</v>
      </c>
      <c r="F2517">
        <v>18</v>
      </c>
      <c r="G2517" t="s">
        <v>1764</v>
      </c>
      <c r="H2517" t="s">
        <v>929</v>
      </c>
      <c r="I2517" t="s">
        <v>22</v>
      </c>
      <c r="J2517" t="s">
        <v>67</v>
      </c>
      <c r="K2517" t="s">
        <v>34</v>
      </c>
      <c r="L2517" s="6">
        <v>120</v>
      </c>
      <c r="M2517" s="6">
        <v>0</v>
      </c>
      <c r="N2517" s="6">
        <v>-120</v>
      </c>
      <c r="O2517" s="6">
        <v>25662.21</v>
      </c>
      <c r="P2517" s="7">
        <v>0</v>
      </c>
      <c r="Q2517" s="6">
        <v>0</v>
      </c>
    </row>
    <row r="2518" spans="1:17">
      <c r="A2518">
        <v>2517</v>
      </c>
      <c r="B2518" s="5">
        <v>45895</v>
      </c>
      <c r="C2518" t="s">
        <v>916</v>
      </c>
      <c r="D2518" t="s">
        <v>917</v>
      </c>
      <c r="E2518" t="s">
        <v>918</v>
      </c>
      <c r="F2518">
        <v>18</v>
      </c>
      <c r="G2518" t="s">
        <v>1765</v>
      </c>
      <c r="H2518" t="s">
        <v>929</v>
      </c>
      <c r="I2518" t="s">
        <v>22</v>
      </c>
      <c r="J2518" t="s">
        <v>67</v>
      </c>
      <c r="K2518" t="s">
        <v>34</v>
      </c>
      <c r="L2518" s="6">
        <v>80</v>
      </c>
      <c r="M2518" s="6">
        <v>0</v>
      </c>
      <c r="N2518" s="6">
        <v>-80</v>
      </c>
      <c r="O2518" s="6">
        <v>25582.21</v>
      </c>
      <c r="P2518" s="7">
        <v>0</v>
      </c>
      <c r="Q2518" s="6">
        <v>0</v>
      </c>
    </row>
    <row r="2519" spans="1:17">
      <c r="A2519">
        <v>2518</v>
      </c>
      <c r="B2519" s="5">
        <v>45895</v>
      </c>
      <c r="C2519" t="s">
        <v>916</v>
      </c>
      <c r="D2519" t="s">
        <v>917</v>
      </c>
      <c r="E2519" t="s">
        <v>918</v>
      </c>
      <c r="F2519">
        <v>18</v>
      </c>
      <c r="G2519" t="s">
        <v>1766</v>
      </c>
      <c r="H2519" t="s">
        <v>929</v>
      </c>
      <c r="I2519" t="s">
        <v>22</v>
      </c>
      <c r="J2519" t="s">
        <v>67</v>
      </c>
      <c r="K2519" t="s">
        <v>34</v>
      </c>
      <c r="L2519" s="6">
        <v>850</v>
      </c>
      <c r="M2519" s="6">
        <v>0</v>
      </c>
      <c r="N2519" s="6">
        <v>-850</v>
      </c>
      <c r="O2519" s="6">
        <v>24732.21</v>
      </c>
      <c r="P2519" s="7">
        <v>0</v>
      </c>
      <c r="Q2519" s="6">
        <v>0</v>
      </c>
    </row>
    <row r="2520" spans="1:17">
      <c r="A2520">
        <v>2519</v>
      </c>
      <c r="B2520" s="5">
        <v>45895</v>
      </c>
      <c r="C2520" t="s">
        <v>916</v>
      </c>
      <c r="D2520" t="s">
        <v>917</v>
      </c>
      <c r="E2520" t="s">
        <v>918</v>
      </c>
      <c r="F2520">
        <v>18</v>
      </c>
      <c r="G2520" t="s">
        <v>1767</v>
      </c>
      <c r="H2520" t="s">
        <v>929</v>
      </c>
      <c r="I2520" t="s">
        <v>22</v>
      </c>
      <c r="J2520" t="s">
        <v>67</v>
      </c>
      <c r="K2520" t="s">
        <v>34</v>
      </c>
      <c r="L2520" s="6">
        <v>1048</v>
      </c>
      <c r="M2520" s="6">
        <v>0</v>
      </c>
      <c r="N2520" s="6">
        <v>-1048</v>
      </c>
      <c r="O2520" s="6">
        <v>23684.21</v>
      </c>
      <c r="P2520" s="7">
        <v>0</v>
      </c>
      <c r="Q2520" s="6">
        <v>0</v>
      </c>
    </row>
    <row r="2521" spans="1:17">
      <c r="A2521">
        <v>2520</v>
      </c>
      <c r="B2521" s="5">
        <v>45895</v>
      </c>
      <c r="C2521" t="s">
        <v>916</v>
      </c>
      <c r="D2521" t="s">
        <v>917</v>
      </c>
      <c r="E2521" t="s">
        <v>918</v>
      </c>
      <c r="F2521">
        <v>18</v>
      </c>
      <c r="G2521" t="s">
        <v>1768</v>
      </c>
      <c r="H2521" t="s">
        <v>929</v>
      </c>
      <c r="I2521" t="s">
        <v>22</v>
      </c>
      <c r="J2521" t="s">
        <v>67</v>
      </c>
      <c r="K2521" t="s">
        <v>34</v>
      </c>
      <c r="L2521" s="6">
        <v>140</v>
      </c>
      <c r="M2521" s="6">
        <v>0</v>
      </c>
      <c r="N2521" s="6">
        <v>-140</v>
      </c>
      <c r="O2521" s="6">
        <v>23544.21</v>
      </c>
      <c r="P2521" s="7">
        <v>0</v>
      </c>
      <c r="Q2521" s="6">
        <v>0</v>
      </c>
    </row>
    <row r="2522" spans="1:17">
      <c r="A2522">
        <v>2521</v>
      </c>
      <c r="B2522" s="5">
        <v>45895</v>
      </c>
      <c r="C2522" t="s">
        <v>916</v>
      </c>
      <c r="D2522" t="s">
        <v>917</v>
      </c>
      <c r="E2522" t="s">
        <v>918</v>
      </c>
      <c r="F2522">
        <v>18</v>
      </c>
      <c r="G2522" t="s">
        <v>1769</v>
      </c>
      <c r="H2522" t="s">
        <v>929</v>
      </c>
      <c r="I2522" t="s">
        <v>22</v>
      </c>
      <c r="J2522" t="s">
        <v>67</v>
      </c>
      <c r="K2522" t="s">
        <v>34</v>
      </c>
      <c r="L2522" s="6">
        <v>517</v>
      </c>
      <c r="M2522" s="6">
        <v>0</v>
      </c>
      <c r="N2522" s="6">
        <v>-517</v>
      </c>
      <c r="O2522" s="6">
        <v>23027.21</v>
      </c>
      <c r="P2522" s="7">
        <v>0</v>
      </c>
      <c r="Q2522" s="6">
        <v>0</v>
      </c>
    </row>
    <row r="2523" spans="1:17">
      <c r="A2523">
        <v>2522</v>
      </c>
      <c r="B2523" s="5">
        <v>45895</v>
      </c>
      <c r="C2523" t="s">
        <v>916</v>
      </c>
      <c r="D2523" t="s">
        <v>917</v>
      </c>
      <c r="E2523" t="s">
        <v>918</v>
      </c>
      <c r="F2523">
        <v>18</v>
      </c>
      <c r="G2523" t="s">
        <v>1770</v>
      </c>
      <c r="H2523" t="s">
        <v>66</v>
      </c>
      <c r="I2523" t="s">
        <v>22</v>
      </c>
      <c r="J2523" t="s">
        <v>67</v>
      </c>
      <c r="K2523" t="s">
        <v>34</v>
      </c>
      <c r="L2523" s="6">
        <v>400.6</v>
      </c>
      <c r="M2523" s="6">
        <v>0</v>
      </c>
      <c r="N2523" s="6">
        <v>-400.6</v>
      </c>
      <c r="O2523" s="6">
        <v>22626.61</v>
      </c>
      <c r="P2523" s="7">
        <v>0</v>
      </c>
      <c r="Q2523" s="6">
        <v>0</v>
      </c>
    </row>
    <row r="2524" spans="1:17">
      <c r="A2524">
        <v>2523</v>
      </c>
      <c r="B2524" s="5">
        <v>45895</v>
      </c>
      <c r="C2524" t="s">
        <v>916</v>
      </c>
      <c r="D2524" t="s">
        <v>917</v>
      </c>
      <c r="E2524" t="s">
        <v>918</v>
      </c>
      <c r="F2524">
        <v>18</v>
      </c>
      <c r="G2524" t="s">
        <v>1771</v>
      </c>
      <c r="H2524" t="s">
        <v>929</v>
      </c>
      <c r="I2524" t="s">
        <v>22</v>
      </c>
      <c r="J2524" t="s">
        <v>67</v>
      </c>
      <c r="K2524" t="s">
        <v>34</v>
      </c>
      <c r="L2524" s="6">
        <v>10000</v>
      </c>
      <c r="M2524" s="6">
        <v>0</v>
      </c>
      <c r="N2524" s="6">
        <v>-10000</v>
      </c>
      <c r="O2524" s="6">
        <v>12626.61</v>
      </c>
      <c r="P2524" s="7">
        <v>0</v>
      </c>
      <c r="Q2524" s="6">
        <v>0</v>
      </c>
    </row>
    <row r="2525" spans="1:17">
      <c r="A2525">
        <v>2524</v>
      </c>
      <c r="B2525" s="5">
        <v>45895</v>
      </c>
      <c r="C2525" t="s">
        <v>916</v>
      </c>
      <c r="D2525" t="s">
        <v>917</v>
      </c>
      <c r="E2525" t="s">
        <v>918</v>
      </c>
      <c r="F2525">
        <v>18</v>
      </c>
      <c r="G2525" t="s">
        <v>1772</v>
      </c>
      <c r="I2525" t="s">
        <v>22</v>
      </c>
      <c r="J2525" t="s">
        <v>67</v>
      </c>
      <c r="K2525" t="s">
        <v>34</v>
      </c>
      <c r="L2525" s="6">
        <v>3549.59</v>
      </c>
      <c r="M2525" s="6">
        <v>0</v>
      </c>
      <c r="N2525" s="6">
        <v>-3549.59</v>
      </c>
      <c r="O2525" s="6">
        <v>9077.02</v>
      </c>
      <c r="P2525" s="7">
        <v>0</v>
      </c>
      <c r="Q2525" s="6">
        <v>0</v>
      </c>
    </row>
    <row r="2526" spans="1:17">
      <c r="A2526">
        <v>2525</v>
      </c>
      <c r="B2526" s="5">
        <v>45895</v>
      </c>
      <c r="C2526" t="s">
        <v>916</v>
      </c>
      <c r="D2526" t="s">
        <v>917</v>
      </c>
      <c r="E2526" t="s">
        <v>918</v>
      </c>
      <c r="F2526">
        <v>18</v>
      </c>
      <c r="G2526" t="s">
        <v>1773</v>
      </c>
      <c r="H2526" t="s">
        <v>929</v>
      </c>
      <c r="I2526" t="s">
        <v>22</v>
      </c>
      <c r="J2526" t="s">
        <v>67</v>
      </c>
      <c r="K2526" t="s">
        <v>34</v>
      </c>
      <c r="L2526" s="6">
        <v>1000</v>
      </c>
      <c r="M2526" s="6">
        <v>0</v>
      </c>
      <c r="N2526" s="6">
        <v>-1000</v>
      </c>
      <c r="O2526" s="6">
        <v>8077.02</v>
      </c>
      <c r="P2526" s="7">
        <v>0</v>
      </c>
      <c r="Q2526" s="6">
        <v>0</v>
      </c>
    </row>
    <row r="2527" spans="1:17">
      <c r="A2527">
        <v>2526</v>
      </c>
      <c r="B2527" s="5">
        <v>45895</v>
      </c>
      <c r="C2527" t="s">
        <v>916</v>
      </c>
      <c r="D2527" t="s">
        <v>917</v>
      </c>
      <c r="E2527" t="s">
        <v>918</v>
      </c>
      <c r="F2527">
        <v>18</v>
      </c>
      <c r="G2527" t="s">
        <v>1774</v>
      </c>
      <c r="I2527" t="s">
        <v>15</v>
      </c>
      <c r="J2527" t="s">
        <v>52</v>
      </c>
      <c r="K2527" t="s">
        <v>35</v>
      </c>
      <c r="L2527" s="6">
        <v>0</v>
      </c>
      <c r="M2527" s="6">
        <v>60826</v>
      </c>
      <c r="N2527" s="6">
        <v>60826</v>
      </c>
      <c r="O2527" s="6">
        <v>68903.02</v>
      </c>
      <c r="P2527" s="7">
        <v>0</v>
      </c>
      <c r="Q2527" s="6">
        <v>0</v>
      </c>
    </row>
    <row r="2528" spans="1:17">
      <c r="A2528">
        <v>2527</v>
      </c>
      <c r="B2528" s="5">
        <v>45895</v>
      </c>
      <c r="C2528" t="s">
        <v>916</v>
      </c>
      <c r="D2528" t="s">
        <v>917</v>
      </c>
      <c r="E2528" t="s">
        <v>918</v>
      </c>
      <c r="F2528">
        <v>18</v>
      </c>
      <c r="G2528" t="s">
        <v>1775</v>
      </c>
      <c r="H2528" t="s">
        <v>66</v>
      </c>
      <c r="I2528" t="s">
        <v>22</v>
      </c>
      <c r="J2528" t="s">
        <v>67</v>
      </c>
      <c r="K2528" t="s">
        <v>34</v>
      </c>
      <c r="L2528" s="6">
        <v>26010.67</v>
      </c>
      <c r="M2528" s="6">
        <v>0</v>
      </c>
      <c r="N2528" s="6">
        <v>-26010.67</v>
      </c>
      <c r="O2528" s="6">
        <v>42892.35</v>
      </c>
      <c r="P2528" s="7">
        <v>0</v>
      </c>
      <c r="Q2528" s="6">
        <v>0</v>
      </c>
    </row>
    <row r="2529" spans="1:18">
      <c r="A2529">
        <v>2528</v>
      </c>
      <c r="B2529" s="5">
        <v>45895</v>
      </c>
      <c r="C2529" t="s">
        <v>916</v>
      </c>
      <c r="D2529" t="s">
        <v>917</v>
      </c>
      <c r="E2529" t="s">
        <v>918</v>
      </c>
      <c r="F2529">
        <v>18</v>
      </c>
      <c r="G2529" t="s">
        <v>1776</v>
      </c>
      <c r="H2529" t="s">
        <v>66</v>
      </c>
      <c r="I2529" t="s">
        <v>22</v>
      </c>
      <c r="J2529" t="s">
        <v>67</v>
      </c>
      <c r="K2529" t="s">
        <v>34</v>
      </c>
      <c r="L2529" s="6">
        <v>25558.04</v>
      </c>
      <c r="M2529" s="6">
        <v>0</v>
      </c>
      <c r="N2529" s="6">
        <v>-25558.04</v>
      </c>
      <c r="O2529" s="6">
        <v>17334.310000000001</v>
      </c>
      <c r="P2529" s="7">
        <v>0</v>
      </c>
      <c r="Q2529" s="6">
        <v>0</v>
      </c>
    </row>
    <row r="2530" spans="1:18">
      <c r="A2530">
        <v>2529</v>
      </c>
      <c r="B2530" s="5">
        <v>45895</v>
      </c>
      <c r="C2530" t="s">
        <v>916</v>
      </c>
      <c r="D2530" t="s">
        <v>917</v>
      </c>
      <c r="E2530" t="s">
        <v>918</v>
      </c>
      <c r="F2530">
        <v>18</v>
      </c>
      <c r="G2530" t="s">
        <v>1777</v>
      </c>
      <c r="I2530" t="s">
        <v>17</v>
      </c>
      <c r="J2530" t="s">
        <v>64</v>
      </c>
      <c r="K2530" t="s">
        <v>34</v>
      </c>
      <c r="L2530" s="6">
        <v>5000</v>
      </c>
      <c r="M2530" s="6">
        <v>0</v>
      </c>
      <c r="N2530" s="6">
        <v>-5000</v>
      </c>
      <c r="O2530" s="6">
        <v>12334.31</v>
      </c>
      <c r="P2530" s="7">
        <v>0</v>
      </c>
      <c r="Q2530" s="6">
        <v>0</v>
      </c>
    </row>
    <row r="2531" spans="1:18">
      <c r="A2531">
        <v>2530</v>
      </c>
      <c r="B2531" s="5">
        <v>45895</v>
      </c>
      <c r="C2531" t="s">
        <v>916</v>
      </c>
      <c r="D2531" t="s">
        <v>917</v>
      </c>
      <c r="E2531" t="s">
        <v>918</v>
      </c>
      <c r="F2531">
        <v>18</v>
      </c>
      <c r="G2531" t="s">
        <v>1778</v>
      </c>
      <c r="I2531" t="s">
        <v>17</v>
      </c>
      <c r="J2531" t="s">
        <v>64</v>
      </c>
      <c r="K2531" t="s">
        <v>34</v>
      </c>
      <c r="L2531" s="6">
        <v>4000</v>
      </c>
      <c r="M2531" s="6">
        <v>0</v>
      </c>
      <c r="N2531" s="6">
        <v>-4000</v>
      </c>
      <c r="O2531" s="6">
        <v>8334.31</v>
      </c>
      <c r="P2531" s="7">
        <v>0</v>
      </c>
      <c r="Q2531" s="6">
        <v>0</v>
      </c>
    </row>
    <row r="2532" spans="1:18">
      <c r="A2532">
        <v>2531</v>
      </c>
      <c r="B2532" s="5">
        <v>45895</v>
      </c>
      <c r="C2532" t="s">
        <v>916</v>
      </c>
      <c r="D2532" t="s">
        <v>917</v>
      </c>
      <c r="E2532" t="s">
        <v>918</v>
      </c>
      <c r="F2532">
        <v>18</v>
      </c>
      <c r="G2532" t="s">
        <v>1779</v>
      </c>
      <c r="H2532" t="s">
        <v>929</v>
      </c>
      <c r="I2532" t="s">
        <v>22</v>
      </c>
      <c r="J2532" t="s">
        <v>67</v>
      </c>
      <c r="K2532" t="s">
        <v>34</v>
      </c>
      <c r="L2532" s="6">
        <v>100</v>
      </c>
      <c r="M2532" s="6">
        <v>0</v>
      </c>
      <c r="N2532" s="6">
        <v>-100</v>
      </c>
      <c r="O2532" s="6">
        <v>8234.31</v>
      </c>
      <c r="P2532" s="7">
        <v>0</v>
      </c>
      <c r="Q2532" s="6">
        <v>0</v>
      </c>
    </row>
    <row r="2533" spans="1:18">
      <c r="A2533">
        <v>2532</v>
      </c>
      <c r="B2533" s="5">
        <v>45895</v>
      </c>
      <c r="C2533" t="s">
        <v>916</v>
      </c>
      <c r="D2533" t="s">
        <v>917</v>
      </c>
      <c r="E2533" t="s">
        <v>918</v>
      </c>
      <c r="F2533">
        <v>18</v>
      </c>
      <c r="G2533" t="s">
        <v>1780</v>
      </c>
      <c r="H2533" t="s">
        <v>929</v>
      </c>
      <c r="I2533" t="s">
        <v>22</v>
      </c>
      <c r="J2533" t="s">
        <v>67</v>
      </c>
      <c r="K2533" t="s">
        <v>34</v>
      </c>
      <c r="L2533" s="6">
        <v>120</v>
      </c>
      <c r="M2533" s="6">
        <v>0</v>
      </c>
      <c r="N2533" s="6">
        <v>-120</v>
      </c>
      <c r="O2533" s="6">
        <v>8114.31</v>
      </c>
      <c r="P2533" s="7">
        <v>0</v>
      </c>
      <c r="Q2533" s="6">
        <v>0</v>
      </c>
    </row>
    <row r="2534" spans="1:18">
      <c r="A2534">
        <v>2533</v>
      </c>
      <c r="B2534" s="5">
        <v>45895</v>
      </c>
      <c r="C2534" t="s">
        <v>916</v>
      </c>
      <c r="D2534" t="s">
        <v>917</v>
      </c>
      <c r="E2534" t="s">
        <v>918</v>
      </c>
      <c r="F2534">
        <v>18</v>
      </c>
      <c r="G2534" t="s">
        <v>1781</v>
      </c>
      <c r="H2534" t="s">
        <v>929</v>
      </c>
      <c r="I2534" t="s">
        <v>22</v>
      </c>
      <c r="J2534" t="s">
        <v>67</v>
      </c>
      <c r="K2534" t="s">
        <v>34</v>
      </c>
      <c r="L2534" s="6">
        <v>342</v>
      </c>
      <c r="M2534" s="6">
        <v>0</v>
      </c>
      <c r="N2534" s="6">
        <v>-342</v>
      </c>
      <c r="O2534" s="6">
        <v>7772.31</v>
      </c>
      <c r="P2534" s="7">
        <v>0</v>
      </c>
      <c r="Q2534" s="6">
        <v>0</v>
      </c>
    </row>
    <row r="2535" spans="1:18">
      <c r="A2535">
        <v>2534</v>
      </c>
      <c r="B2535" s="5">
        <v>45895</v>
      </c>
      <c r="C2535" t="s">
        <v>916</v>
      </c>
      <c r="D2535" t="s">
        <v>917</v>
      </c>
      <c r="E2535" t="s">
        <v>918</v>
      </c>
      <c r="F2535">
        <v>18</v>
      </c>
      <c r="G2535" t="s">
        <v>1782</v>
      </c>
      <c r="H2535" t="s">
        <v>66</v>
      </c>
      <c r="I2535" t="s">
        <v>22</v>
      </c>
      <c r="J2535" t="s">
        <v>67</v>
      </c>
      <c r="K2535" t="s">
        <v>34</v>
      </c>
      <c r="L2535" s="6">
        <v>569.73</v>
      </c>
      <c r="M2535" s="6">
        <v>0</v>
      </c>
      <c r="N2535" s="6">
        <v>-569.73</v>
      </c>
      <c r="O2535" s="6">
        <v>7202.58</v>
      </c>
      <c r="P2535" s="7">
        <v>0</v>
      </c>
      <c r="Q2535" s="6">
        <v>0</v>
      </c>
    </row>
    <row r="2536" spans="1:18">
      <c r="A2536">
        <v>2535</v>
      </c>
      <c r="B2536" s="5">
        <v>45895</v>
      </c>
      <c r="C2536" t="s">
        <v>916</v>
      </c>
      <c r="D2536" t="s">
        <v>917</v>
      </c>
      <c r="E2536" t="s">
        <v>918</v>
      </c>
      <c r="F2536">
        <v>18</v>
      </c>
      <c r="G2536" t="s">
        <v>1783</v>
      </c>
      <c r="H2536" t="s">
        <v>929</v>
      </c>
      <c r="I2536" t="s">
        <v>22</v>
      </c>
      <c r="J2536" t="s">
        <v>67</v>
      </c>
      <c r="K2536" t="s">
        <v>34</v>
      </c>
      <c r="L2536" s="6">
        <v>226</v>
      </c>
      <c r="M2536" s="6">
        <v>0</v>
      </c>
      <c r="N2536" s="6">
        <v>-226</v>
      </c>
      <c r="O2536" s="6">
        <v>6976.58</v>
      </c>
      <c r="P2536" s="7">
        <v>0</v>
      </c>
      <c r="Q2536" s="6">
        <v>0</v>
      </c>
    </row>
    <row r="2537" spans="1:18">
      <c r="A2537">
        <v>2536</v>
      </c>
      <c r="B2537" s="5">
        <v>45895</v>
      </c>
      <c r="C2537" t="s">
        <v>916</v>
      </c>
      <c r="D2537" t="s">
        <v>917</v>
      </c>
      <c r="E2537" t="s">
        <v>918</v>
      </c>
      <c r="F2537">
        <v>18</v>
      </c>
      <c r="G2537" t="s">
        <v>1784</v>
      </c>
      <c r="H2537" t="s">
        <v>66</v>
      </c>
      <c r="I2537" t="s">
        <v>22</v>
      </c>
      <c r="J2537" t="s">
        <v>67</v>
      </c>
      <c r="K2537" t="s">
        <v>34</v>
      </c>
      <c r="L2537" s="6">
        <v>319.54000000000002</v>
      </c>
      <c r="M2537" s="6">
        <v>0</v>
      </c>
      <c r="N2537" s="6">
        <v>-319.54000000000002</v>
      </c>
      <c r="O2537" s="6">
        <v>6657.04</v>
      </c>
      <c r="P2537" s="7">
        <v>0</v>
      </c>
      <c r="Q2537" s="6">
        <v>0</v>
      </c>
    </row>
    <row r="2538" spans="1:18">
      <c r="A2538">
        <v>2537</v>
      </c>
      <c r="B2538" s="5">
        <v>45895</v>
      </c>
      <c r="C2538" t="s">
        <v>916</v>
      </c>
      <c r="D2538" t="s">
        <v>917</v>
      </c>
      <c r="E2538" t="s">
        <v>918</v>
      </c>
      <c r="F2538">
        <v>18</v>
      </c>
      <c r="G2538" t="s">
        <v>1785</v>
      </c>
      <c r="H2538" t="s">
        <v>1786</v>
      </c>
      <c r="I2538" t="s">
        <v>16</v>
      </c>
      <c r="J2538" t="s">
        <v>52</v>
      </c>
      <c r="K2538" t="s">
        <v>35</v>
      </c>
      <c r="L2538" s="6">
        <v>0</v>
      </c>
      <c r="M2538" s="6">
        <v>150</v>
      </c>
      <c r="N2538" s="6">
        <v>150</v>
      </c>
      <c r="O2538" s="6">
        <v>6807.04</v>
      </c>
      <c r="P2538" s="7">
        <v>0</v>
      </c>
      <c r="Q2538" s="6">
        <v>0</v>
      </c>
    </row>
    <row r="2539" spans="1:18">
      <c r="A2539">
        <v>2538</v>
      </c>
      <c r="B2539" s="5">
        <v>45895</v>
      </c>
      <c r="C2539" t="s">
        <v>916</v>
      </c>
      <c r="D2539" t="s">
        <v>917</v>
      </c>
      <c r="E2539" t="s">
        <v>918</v>
      </c>
      <c r="F2539">
        <v>18</v>
      </c>
      <c r="G2539" t="s">
        <v>1147</v>
      </c>
      <c r="H2539" t="s">
        <v>1148</v>
      </c>
      <c r="I2539" t="s">
        <v>16</v>
      </c>
      <c r="J2539" t="s">
        <v>52</v>
      </c>
      <c r="K2539" t="s">
        <v>35</v>
      </c>
      <c r="L2539" s="6">
        <v>0</v>
      </c>
      <c r="M2539" s="6">
        <v>500</v>
      </c>
      <c r="N2539" s="6">
        <v>500</v>
      </c>
      <c r="O2539" s="6">
        <v>7307.04</v>
      </c>
      <c r="P2539" s="7">
        <v>0</v>
      </c>
      <c r="Q2539" s="6">
        <v>0</v>
      </c>
    </row>
    <row r="2540" spans="1:18">
      <c r="A2540">
        <v>2539</v>
      </c>
      <c r="B2540" s="5">
        <v>45895</v>
      </c>
      <c r="C2540" t="s">
        <v>916</v>
      </c>
      <c r="D2540" t="s">
        <v>917</v>
      </c>
      <c r="E2540" t="s">
        <v>918</v>
      </c>
      <c r="F2540">
        <v>18</v>
      </c>
      <c r="G2540" t="s">
        <v>1787</v>
      </c>
      <c r="I2540" t="s">
        <v>16</v>
      </c>
      <c r="J2540" t="s">
        <v>52</v>
      </c>
      <c r="K2540" t="s">
        <v>35</v>
      </c>
      <c r="L2540" s="6">
        <v>0</v>
      </c>
      <c r="M2540" s="6">
        <v>1104</v>
      </c>
      <c r="N2540" s="6">
        <v>1104</v>
      </c>
      <c r="O2540" s="6">
        <v>8411.0400000000009</v>
      </c>
      <c r="P2540" s="7">
        <v>0</v>
      </c>
      <c r="Q2540" s="6">
        <v>0</v>
      </c>
    </row>
    <row r="2541" spans="1:18">
      <c r="A2541">
        <v>2540</v>
      </c>
      <c r="B2541" s="5">
        <v>45896</v>
      </c>
      <c r="C2541" t="s">
        <v>916</v>
      </c>
      <c r="D2541" t="s">
        <v>917</v>
      </c>
      <c r="E2541" t="s">
        <v>918</v>
      </c>
      <c r="F2541">
        <v>18</v>
      </c>
      <c r="G2541" t="s">
        <v>1788</v>
      </c>
      <c r="I2541" t="s">
        <v>17</v>
      </c>
      <c r="J2541" t="s">
        <v>64</v>
      </c>
      <c r="K2541" t="s">
        <v>34</v>
      </c>
      <c r="L2541" s="6">
        <v>6000</v>
      </c>
      <c r="M2541" s="6">
        <v>0</v>
      </c>
      <c r="N2541" s="6">
        <v>-6000</v>
      </c>
      <c r="O2541" s="6">
        <v>2411.04</v>
      </c>
      <c r="P2541" s="7">
        <v>0</v>
      </c>
      <c r="Q2541" s="6">
        <v>0</v>
      </c>
    </row>
    <row r="2542" spans="1:18">
      <c r="A2542">
        <v>2541</v>
      </c>
      <c r="B2542" s="5">
        <v>45896</v>
      </c>
      <c r="C2542" t="s">
        <v>916</v>
      </c>
      <c r="D2542" t="s">
        <v>917</v>
      </c>
      <c r="E2542" t="s">
        <v>918</v>
      </c>
      <c r="F2542">
        <v>18</v>
      </c>
      <c r="G2542" t="s">
        <v>1789</v>
      </c>
      <c r="I2542" t="s">
        <v>20</v>
      </c>
      <c r="J2542" t="s">
        <v>20</v>
      </c>
      <c r="K2542" t="s">
        <v>35</v>
      </c>
      <c r="L2542" s="6">
        <v>0</v>
      </c>
      <c r="M2542" s="6">
        <v>22000</v>
      </c>
      <c r="N2542" s="6">
        <v>22000</v>
      </c>
      <c r="O2542" s="6">
        <v>24411.040000000001</v>
      </c>
      <c r="P2542" s="7">
        <v>0</v>
      </c>
      <c r="Q2542" s="6">
        <v>0</v>
      </c>
      <c r="R2542" t="s">
        <v>169</v>
      </c>
    </row>
    <row r="2543" spans="1:18">
      <c r="A2543">
        <v>2542</v>
      </c>
      <c r="B2543" s="5">
        <v>45896</v>
      </c>
      <c r="C2543" t="s">
        <v>916</v>
      </c>
      <c r="D2543" t="s">
        <v>917</v>
      </c>
      <c r="E2543" t="s">
        <v>918</v>
      </c>
      <c r="F2543">
        <v>18</v>
      </c>
      <c r="G2543" t="s">
        <v>1790</v>
      </c>
      <c r="H2543" t="s">
        <v>929</v>
      </c>
      <c r="I2543" t="s">
        <v>22</v>
      </c>
      <c r="J2543" t="s">
        <v>67</v>
      </c>
      <c r="K2543" t="s">
        <v>34</v>
      </c>
      <c r="L2543" s="6">
        <v>350</v>
      </c>
      <c r="M2543" s="6">
        <v>0</v>
      </c>
      <c r="N2543" s="6">
        <v>-350</v>
      </c>
      <c r="O2543" s="6">
        <v>24061.040000000001</v>
      </c>
      <c r="P2543" s="7">
        <v>0</v>
      </c>
      <c r="Q2543" s="6">
        <v>0</v>
      </c>
    </row>
    <row r="2544" spans="1:18">
      <c r="A2544">
        <v>2543</v>
      </c>
      <c r="B2544" s="5">
        <v>45896</v>
      </c>
      <c r="C2544" t="s">
        <v>916</v>
      </c>
      <c r="D2544" t="s">
        <v>917</v>
      </c>
      <c r="E2544" t="s">
        <v>918</v>
      </c>
      <c r="F2544">
        <v>18</v>
      </c>
      <c r="G2544" t="s">
        <v>1791</v>
      </c>
      <c r="H2544" t="s">
        <v>929</v>
      </c>
      <c r="I2544" t="s">
        <v>22</v>
      </c>
      <c r="J2544" t="s">
        <v>67</v>
      </c>
      <c r="K2544" t="s">
        <v>34</v>
      </c>
      <c r="L2544" s="6">
        <v>300</v>
      </c>
      <c r="M2544" s="6">
        <v>0</v>
      </c>
      <c r="N2544" s="6">
        <v>-300</v>
      </c>
      <c r="O2544" s="6">
        <v>23761.040000000001</v>
      </c>
      <c r="P2544" s="7">
        <v>0</v>
      </c>
      <c r="Q2544" s="6">
        <v>0</v>
      </c>
    </row>
    <row r="2545" spans="1:17">
      <c r="A2545">
        <v>2544</v>
      </c>
      <c r="B2545" s="5">
        <v>45896</v>
      </c>
      <c r="C2545" t="s">
        <v>916</v>
      </c>
      <c r="D2545" t="s">
        <v>917</v>
      </c>
      <c r="E2545" t="s">
        <v>918</v>
      </c>
      <c r="F2545">
        <v>18</v>
      </c>
      <c r="G2545" t="s">
        <v>1792</v>
      </c>
      <c r="H2545" t="s">
        <v>929</v>
      </c>
      <c r="I2545" t="s">
        <v>22</v>
      </c>
      <c r="J2545" t="s">
        <v>67</v>
      </c>
      <c r="K2545" t="s">
        <v>34</v>
      </c>
      <c r="L2545" s="6">
        <v>500</v>
      </c>
      <c r="M2545" s="6">
        <v>0</v>
      </c>
      <c r="N2545" s="6">
        <v>-500</v>
      </c>
      <c r="O2545" s="6">
        <v>23261.040000000001</v>
      </c>
      <c r="P2545" s="7">
        <v>0</v>
      </c>
      <c r="Q2545" s="6">
        <v>0</v>
      </c>
    </row>
    <row r="2546" spans="1:17">
      <c r="A2546">
        <v>2545</v>
      </c>
      <c r="B2546" s="5">
        <v>45896</v>
      </c>
      <c r="C2546" t="s">
        <v>916</v>
      </c>
      <c r="D2546" t="s">
        <v>917</v>
      </c>
      <c r="E2546" t="s">
        <v>918</v>
      </c>
      <c r="F2546">
        <v>18</v>
      </c>
      <c r="G2546" t="s">
        <v>1793</v>
      </c>
      <c r="H2546" t="s">
        <v>66</v>
      </c>
      <c r="I2546" t="s">
        <v>22</v>
      </c>
      <c r="J2546" t="s">
        <v>67</v>
      </c>
      <c r="K2546" t="s">
        <v>34</v>
      </c>
      <c r="L2546" s="6">
        <v>255</v>
      </c>
      <c r="M2546" s="6">
        <v>0</v>
      </c>
      <c r="N2546" s="6">
        <v>-255</v>
      </c>
      <c r="O2546" s="6">
        <v>23006.04</v>
      </c>
      <c r="P2546" s="7">
        <v>0</v>
      </c>
      <c r="Q2546" s="6">
        <v>0</v>
      </c>
    </row>
    <row r="2547" spans="1:17">
      <c r="A2547">
        <v>2546</v>
      </c>
      <c r="B2547" s="5">
        <v>45896</v>
      </c>
      <c r="C2547" t="s">
        <v>916</v>
      </c>
      <c r="D2547" t="s">
        <v>917</v>
      </c>
      <c r="E2547" t="s">
        <v>918</v>
      </c>
      <c r="F2547">
        <v>18</v>
      </c>
      <c r="G2547" t="s">
        <v>1794</v>
      </c>
      <c r="H2547" t="s">
        <v>66</v>
      </c>
      <c r="I2547" t="s">
        <v>22</v>
      </c>
      <c r="J2547" t="s">
        <v>67</v>
      </c>
      <c r="K2547" t="s">
        <v>34</v>
      </c>
      <c r="L2547" s="6">
        <v>1000</v>
      </c>
      <c r="M2547" s="6">
        <v>0</v>
      </c>
      <c r="N2547" s="6">
        <v>-1000</v>
      </c>
      <c r="O2547" s="6">
        <v>22006.04</v>
      </c>
      <c r="P2547" s="7">
        <v>0</v>
      </c>
      <c r="Q2547" s="6">
        <v>0</v>
      </c>
    </row>
    <row r="2548" spans="1:17">
      <c r="A2548">
        <v>2547</v>
      </c>
      <c r="B2548" s="5">
        <v>45896</v>
      </c>
      <c r="C2548" t="s">
        <v>916</v>
      </c>
      <c r="D2548" t="s">
        <v>917</v>
      </c>
      <c r="E2548" t="s">
        <v>918</v>
      </c>
      <c r="F2548">
        <v>18</v>
      </c>
      <c r="G2548" t="s">
        <v>1795</v>
      </c>
      <c r="H2548" t="s">
        <v>66</v>
      </c>
      <c r="I2548" t="s">
        <v>22</v>
      </c>
      <c r="J2548" t="s">
        <v>67</v>
      </c>
      <c r="K2548" t="s">
        <v>34</v>
      </c>
      <c r="L2548" s="6">
        <v>245</v>
      </c>
      <c r="M2548" s="6">
        <v>0</v>
      </c>
      <c r="N2548" s="6">
        <v>-245</v>
      </c>
      <c r="O2548" s="6">
        <v>21761.040000000001</v>
      </c>
      <c r="P2548" s="7">
        <v>0</v>
      </c>
      <c r="Q2548" s="6">
        <v>0</v>
      </c>
    </row>
    <row r="2549" spans="1:17">
      <c r="A2549">
        <v>2548</v>
      </c>
      <c r="B2549" s="5">
        <v>45896</v>
      </c>
      <c r="C2549" t="s">
        <v>916</v>
      </c>
      <c r="D2549" t="s">
        <v>917</v>
      </c>
      <c r="E2549" t="s">
        <v>918</v>
      </c>
      <c r="F2549">
        <v>18</v>
      </c>
      <c r="G2549" t="s">
        <v>1796</v>
      </c>
      <c r="I2549" t="s">
        <v>15</v>
      </c>
      <c r="J2549" t="s">
        <v>52</v>
      </c>
      <c r="K2549" t="s">
        <v>35</v>
      </c>
      <c r="L2549" s="6">
        <v>0</v>
      </c>
      <c r="M2549" s="6">
        <v>3765</v>
      </c>
      <c r="N2549" s="6">
        <v>3765</v>
      </c>
      <c r="O2549" s="6">
        <v>25526.04</v>
      </c>
      <c r="P2549" s="7">
        <v>0</v>
      </c>
      <c r="Q2549" s="6">
        <v>0</v>
      </c>
    </row>
    <row r="2550" spans="1:17">
      <c r="A2550">
        <v>2549</v>
      </c>
      <c r="B2550" s="5">
        <v>45896</v>
      </c>
      <c r="C2550" t="s">
        <v>916</v>
      </c>
      <c r="D2550" t="s">
        <v>917</v>
      </c>
      <c r="E2550" t="s">
        <v>918</v>
      </c>
      <c r="F2550">
        <v>18</v>
      </c>
      <c r="G2550" t="s">
        <v>900</v>
      </c>
      <c r="I2550" t="s">
        <v>16</v>
      </c>
      <c r="J2550" t="s">
        <v>52</v>
      </c>
      <c r="K2550" t="s">
        <v>35</v>
      </c>
      <c r="L2550" s="6">
        <v>0</v>
      </c>
      <c r="M2550" s="6">
        <v>188.5</v>
      </c>
      <c r="N2550" s="6">
        <v>188.5</v>
      </c>
      <c r="O2550" s="6">
        <v>25714.54</v>
      </c>
      <c r="P2550" s="7">
        <v>0</v>
      </c>
      <c r="Q2550" s="6">
        <v>0</v>
      </c>
    </row>
    <row r="2551" spans="1:17">
      <c r="A2551">
        <v>2550</v>
      </c>
      <c r="B2551" s="5">
        <v>45896</v>
      </c>
      <c r="C2551" t="s">
        <v>916</v>
      </c>
      <c r="D2551" t="s">
        <v>917</v>
      </c>
      <c r="E2551" t="s">
        <v>918</v>
      </c>
      <c r="F2551">
        <v>18</v>
      </c>
      <c r="G2551" t="s">
        <v>1797</v>
      </c>
      <c r="H2551" t="s">
        <v>1798</v>
      </c>
      <c r="I2551" t="s">
        <v>16</v>
      </c>
      <c r="J2551" t="s">
        <v>52</v>
      </c>
      <c r="K2551" t="s">
        <v>35</v>
      </c>
      <c r="L2551" s="6">
        <v>0</v>
      </c>
      <c r="M2551" s="6">
        <v>16500</v>
      </c>
      <c r="N2551" s="6">
        <v>16500</v>
      </c>
      <c r="O2551" s="6">
        <v>42214.54</v>
      </c>
      <c r="P2551" s="7">
        <v>0</v>
      </c>
      <c r="Q2551" s="6">
        <v>0</v>
      </c>
    </row>
    <row r="2552" spans="1:17">
      <c r="A2552">
        <v>2551</v>
      </c>
      <c r="B2552" s="5">
        <v>45896</v>
      </c>
      <c r="C2552" t="s">
        <v>916</v>
      </c>
      <c r="D2552" t="s">
        <v>917</v>
      </c>
      <c r="E2552" t="s">
        <v>918</v>
      </c>
      <c r="F2552">
        <v>18</v>
      </c>
      <c r="G2552" t="s">
        <v>1799</v>
      </c>
      <c r="H2552" t="s">
        <v>66</v>
      </c>
      <c r="I2552" t="s">
        <v>22</v>
      </c>
      <c r="J2552" t="s">
        <v>67</v>
      </c>
      <c r="K2552" t="s">
        <v>34</v>
      </c>
      <c r="L2552" s="6">
        <v>25000</v>
      </c>
      <c r="M2552" s="6">
        <v>0</v>
      </c>
      <c r="N2552" s="6">
        <v>-25000</v>
      </c>
      <c r="O2552" s="6">
        <v>17214.54</v>
      </c>
      <c r="P2552" s="7">
        <v>0</v>
      </c>
      <c r="Q2552" s="6">
        <v>0</v>
      </c>
    </row>
    <row r="2553" spans="1:17">
      <c r="A2553">
        <v>2552</v>
      </c>
      <c r="B2553" s="5">
        <v>45896</v>
      </c>
      <c r="C2553" t="s">
        <v>916</v>
      </c>
      <c r="D2553" t="s">
        <v>917</v>
      </c>
      <c r="E2553" t="s">
        <v>918</v>
      </c>
      <c r="F2553">
        <v>18</v>
      </c>
      <c r="G2553" t="s">
        <v>1800</v>
      </c>
      <c r="H2553" t="s">
        <v>929</v>
      </c>
      <c r="I2553" t="s">
        <v>22</v>
      </c>
      <c r="J2553" t="s">
        <v>67</v>
      </c>
      <c r="K2553" t="s">
        <v>34</v>
      </c>
      <c r="L2553" s="6">
        <v>103</v>
      </c>
      <c r="M2553" s="6">
        <v>0</v>
      </c>
      <c r="N2553" s="6">
        <v>-103</v>
      </c>
      <c r="O2553" s="6">
        <v>17111.54</v>
      </c>
      <c r="P2553" s="7">
        <v>0</v>
      </c>
      <c r="Q2553" s="6">
        <v>0</v>
      </c>
    </row>
    <row r="2554" spans="1:17">
      <c r="A2554">
        <v>2553</v>
      </c>
      <c r="B2554" s="5">
        <v>45896</v>
      </c>
      <c r="C2554" t="s">
        <v>916</v>
      </c>
      <c r="D2554" t="s">
        <v>917</v>
      </c>
      <c r="E2554" t="s">
        <v>918</v>
      </c>
      <c r="F2554">
        <v>18</v>
      </c>
      <c r="G2554" t="s">
        <v>1801</v>
      </c>
      <c r="H2554" t="s">
        <v>66</v>
      </c>
      <c r="I2554" t="s">
        <v>22</v>
      </c>
      <c r="J2554" t="s">
        <v>67</v>
      </c>
      <c r="K2554" t="s">
        <v>34</v>
      </c>
      <c r="L2554" s="6">
        <v>202.11</v>
      </c>
      <c r="M2554" s="6">
        <v>0</v>
      </c>
      <c r="N2554" s="6">
        <v>-202.11</v>
      </c>
      <c r="O2554" s="6">
        <v>16909.43</v>
      </c>
      <c r="P2554" s="7">
        <v>0</v>
      </c>
      <c r="Q2554" s="6">
        <v>0</v>
      </c>
    </row>
    <row r="2555" spans="1:17">
      <c r="A2555">
        <v>2554</v>
      </c>
      <c r="B2555" s="5">
        <v>45896</v>
      </c>
      <c r="C2555" t="s">
        <v>916</v>
      </c>
      <c r="D2555" t="s">
        <v>917</v>
      </c>
      <c r="E2555" t="s">
        <v>918</v>
      </c>
      <c r="F2555">
        <v>18</v>
      </c>
      <c r="G2555" t="s">
        <v>1802</v>
      </c>
      <c r="I2555" t="s">
        <v>17</v>
      </c>
      <c r="J2555" t="s">
        <v>64</v>
      </c>
      <c r="K2555" t="s">
        <v>34</v>
      </c>
      <c r="L2555" s="6">
        <v>3000</v>
      </c>
      <c r="M2555" s="6">
        <v>0</v>
      </c>
      <c r="N2555" s="6">
        <v>-3000</v>
      </c>
      <c r="O2555" s="6">
        <v>13909.43</v>
      </c>
      <c r="P2555" s="7">
        <v>0</v>
      </c>
      <c r="Q2555" s="6">
        <v>0</v>
      </c>
    </row>
    <row r="2556" spans="1:17">
      <c r="A2556">
        <v>2555</v>
      </c>
      <c r="B2556" s="5">
        <v>45896</v>
      </c>
      <c r="C2556" t="s">
        <v>916</v>
      </c>
      <c r="D2556" t="s">
        <v>917</v>
      </c>
      <c r="E2556" t="s">
        <v>918</v>
      </c>
      <c r="F2556">
        <v>18</v>
      </c>
      <c r="G2556" t="s">
        <v>253</v>
      </c>
      <c r="H2556" t="s">
        <v>72</v>
      </c>
      <c r="I2556" t="s">
        <v>16</v>
      </c>
      <c r="J2556" t="s">
        <v>52</v>
      </c>
      <c r="K2556" t="s">
        <v>35</v>
      </c>
      <c r="L2556" s="6">
        <v>0</v>
      </c>
      <c r="M2556" s="6">
        <v>1000</v>
      </c>
      <c r="N2556" s="6">
        <v>1000</v>
      </c>
      <c r="O2556" s="6">
        <v>14909.43</v>
      </c>
      <c r="P2556" s="7">
        <v>0</v>
      </c>
      <c r="Q2556" s="6">
        <v>0</v>
      </c>
    </row>
    <row r="2557" spans="1:17">
      <c r="A2557">
        <v>2556</v>
      </c>
      <c r="B2557" s="5">
        <v>45896</v>
      </c>
      <c r="C2557" t="s">
        <v>916</v>
      </c>
      <c r="D2557" t="s">
        <v>917</v>
      </c>
      <c r="E2557" t="s">
        <v>918</v>
      </c>
      <c r="F2557">
        <v>18</v>
      </c>
      <c r="G2557" t="s">
        <v>1803</v>
      </c>
      <c r="I2557" t="s">
        <v>16</v>
      </c>
      <c r="J2557" t="s">
        <v>52</v>
      </c>
      <c r="K2557" t="s">
        <v>35</v>
      </c>
      <c r="L2557" s="6">
        <v>0</v>
      </c>
      <c r="M2557" s="6">
        <v>105</v>
      </c>
      <c r="N2557" s="6">
        <v>105</v>
      </c>
      <c r="O2557" s="6">
        <v>15014.43</v>
      </c>
      <c r="P2557" s="7">
        <v>0</v>
      </c>
      <c r="Q2557" s="6">
        <v>0</v>
      </c>
    </row>
    <row r="2558" spans="1:17">
      <c r="A2558">
        <v>2557</v>
      </c>
      <c r="B2558" s="5">
        <v>45896</v>
      </c>
      <c r="C2558" t="s">
        <v>916</v>
      </c>
      <c r="D2558" t="s">
        <v>917</v>
      </c>
      <c r="E2558" t="s">
        <v>918</v>
      </c>
      <c r="F2558">
        <v>18</v>
      </c>
      <c r="G2558" t="s">
        <v>1591</v>
      </c>
      <c r="H2558" t="s">
        <v>1592</v>
      </c>
      <c r="I2558" t="s">
        <v>16</v>
      </c>
      <c r="J2558" t="s">
        <v>52</v>
      </c>
      <c r="K2558" t="s">
        <v>35</v>
      </c>
      <c r="L2558" s="6">
        <v>0</v>
      </c>
      <c r="M2558" s="6">
        <v>200</v>
      </c>
      <c r="N2558" s="6">
        <v>200</v>
      </c>
      <c r="O2558" s="6">
        <v>15214.43</v>
      </c>
      <c r="P2558" s="7">
        <v>0</v>
      </c>
      <c r="Q2558" s="6">
        <v>0</v>
      </c>
    </row>
    <row r="2559" spans="1:17">
      <c r="A2559">
        <v>2558</v>
      </c>
      <c r="B2559" s="5">
        <v>45896</v>
      </c>
      <c r="C2559" t="s">
        <v>916</v>
      </c>
      <c r="D2559" t="s">
        <v>917</v>
      </c>
      <c r="E2559" t="s">
        <v>918</v>
      </c>
      <c r="F2559">
        <v>18</v>
      </c>
      <c r="G2559" t="s">
        <v>1143</v>
      </c>
      <c r="H2559" t="s">
        <v>1144</v>
      </c>
      <c r="I2559" t="s">
        <v>16</v>
      </c>
      <c r="J2559" t="s">
        <v>52</v>
      </c>
      <c r="K2559" t="s">
        <v>35</v>
      </c>
      <c r="L2559" s="6">
        <v>0</v>
      </c>
      <c r="M2559" s="6">
        <v>250</v>
      </c>
      <c r="N2559" s="6">
        <v>250</v>
      </c>
      <c r="O2559" s="6">
        <v>15464.43</v>
      </c>
      <c r="P2559" s="7">
        <v>0</v>
      </c>
      <c r="Q2559" s="6">
        <v>0</v>
      </c>
    </row>
    <row r="2560" spans="1:17">
      <c r="A2560">
        <v>2559</v>
      </c>
      <c r="B2560" s="5">
        <v>45896</v>
      </c>
      <c r="C2560" t="s">
        <v>916</v>
      </c>
      <c r="D2560" t="s">
        <v>917</v>
      </c>
      <c r="E2560" t="s">
        <v>918</v>
      </c>
      <c r="F2560">
        <v>18</v>
      </c>
      <c r="G2560" t="s">
        <v>1804</v>
      </c>
      <c r="I2560" t="s">
        <v>16</v>
      </c>
      <c r="J2560" t="s">
        <v>52</v>
      </c>
      <c r="K2560" t="s">
        <v>35</v>
      </c>
      <c r="L2560" s="6">
        <v>0</v>
      </c>
      <c r="M2560" s="6">
        <v>5177</v>
      </c>
      <c r="N2560" s="6">
        <v>5177</v>
      </c>
      <c r="O2560" s="6">
        <v>20641.43</v>
      </c>
      <c r="P2560" s="7">
        <v>0</v>
      </c>
      <c r="Q2560" s="6">
        <v>0</v>
      </c>
    </row>
    <row r="2561" spans="1:17">
      <c r="A2561">
        <v>2560</v>
      </c>
      <c r="B2561" s="5">
        <v>45897</v>
      </c>
      <c r="C2561" t="s">
        <v>916</v>
      </c>
      <c r="D2561" t="s">
        <v>917</v>
      </c>
      <c r="E2561" t="s">
        <v>918</v>
      </c>
      <c r="F2561">
        <v>18</v>
      </c>
      <c r="G2561" t="s">
        <v>1805</v>
      </c>
      <c r="H2561" t="s">
        <v>1806</v>
      </c>
      <c r="I2561" t="s">
        <v>16</v>
      </c>
      <c r="J2561" t="s">
        <v>52</v>
      </c>
      <c r="K2561" t="s">
        <v>35</v>
      </c>
      <c r="L2561" s="6">
        <v>0</v>
      </c>
      <c r="M2561" s="6">
        <v>110</v>
      </c>
      <c r="N2561" s="6">
        <v>110</v>
      </c>
      <c r="O2561" s="6">
        <v>20751.43</v>
      </c>
      <c r="P2561" s="7">
        <v>0</v>
      </c>
      <c r="Q2561" s="6">
        <v>0</v>
      </c>
    </row>
    <row r="2562" spans="1:17">
      <c r="A2562">
        <v>2561</v>
      </c>
      <c r="B2562" s="5">
        <v>45897</v>
      </c>
      <c r="C2562" t="s">
        <v>916</v>
      </c>
      <c r="D2562" t="s">
        <v>917</v>
      </c>
      <c r="E2562" t="s">
        <v>918</v>
      </c>
      <c r="F2562">
        <v>18</v>
      </c>
      <c r="G2562" t="s">
        <v>1807</v>
      </c>
      <c r="H2562" t="s">
        <v>1808</v>
      </c>
      <c r="I2562" t="s">
        <v>16</v>
      </c>
      <c r="J2562" t="s">
        <v>52</v>
      </c>
      <c r="K2562" t="s">
        <v>35</v>
      </c>
      <c r="L2562" s="6">
        <v>0</v>
      </c>
      <c r="M2562" s="6">
        <v>400</v>
      </c>
      <c r="N2562" s="6">
        <v>400</v>
      </c>
      <c r="O2562" s="6">
        <v>21151.43</v>
      </c>
      <c r="P2562" s="7">
        <v>0</v>
      </c>
      <c r="Q2562" s="6">
        <v>0</v>
      </c>
    </row>
    <row r="2563" spans="1:17">
      <c r="A2563">
        <v>2562</v>
      </c>
      <c r="B2563" s="5">
        <v>45897</v>
      </c>
      <c r="C2563" t="s">
        <v>916</v>
      </c>
      <c r="D2563" t="s">
        <v>917</v>
      </c>
      <c r="E2563" t="s">
        <v>918</v>
      </c>
      <c r="F2563">
        <v>18</v>
      </c>
      <c r="G2563" t="s">
        <v>1809</v>
      </c>
      <c r="H2563" t="s">
        <v>66</v>
      </c>
      <c r="I2563" t="s">
        <v>22</v>
      </c>
      <c r="J2563" t="s">
        <v>67</v>
      </c>
      <c r="K2563" t="s">
        <v>34</v>
      </c>
      <c r="L2563" s="6">
        <v>301.07</v>
      </c>
      <c r="M2563" s="6">
        <v>0</v>
      </c>
      <c r="N2563" s="6">
        <v>-301.07</v>
      </c>
      <c r="O2563" s="6">
        <v>20850.36</v>
      </c>
      <c r="P2563" s="7">
        <v>0</v>
      </c>
      <c r="Q2563" s="6">
        <v>0</v>
      </c>
    </row>
    <row r="2564" spans="1:17">
      <c r="A2564">
        <v>2563</v>
      </c>
      <c r="B2564" s="5">
        <v>45897</v>
      </c>
      <c r="C2564" t="s">
        <v>916</v>
      </c>
      <c r="D2564" t="s">
        <v>917</v>
      </c>
      <c r="E2564" t="s">
        <v>918</v>
      </c>
      <c r="F2564">
        <v>18</v>
      </c>
      <c r="G2564" t="s">
        <v>1810</v>
      </c>
      <c r="H2564" t="s">
        <v>929</v>
      </c>
      <c r="I2564" t="s">
        <v>22</v>
      </c>
      <c r="J2564" t="s">
        <v>67</v>
      </c>
      <c r="K2564" t="s">
        <v>34</v>
      </c>
      <c r="L2564" s="6">
        <v>256</v>
      </c>
      <c r="M2564" s="6">
        <v>0</v>
      </c>
      <c r="N2564" s="6">
        <v>-256</v>
      </c>
      <c r="O2564" s="6">
        <v>20594.36</v>
      </c>
      <c r="P2564" s="7">
        <v>0</v>
      </c>
      <c r="Q2564" s="6">
        <v>0</v>
      </c>
    </row>
    <row r="2565" spans="1:17">
      <c r="A2565">
        <v>2564</v>
      </c>
      <c r="B2565" s="5">
        <v>45897</v>
      </c>
      <c r="C2565" t="s">
        <v>916</v>
      </c>
      <c r="D2565" t="s">
        <v>917</v>
      </c>
      <c r="E2565" t="s">
        <v>918</v>
      </c>
      <c r="F2565">
        <v>18</v>
      </c>
      <c r="G2565" t="s">
        <v>1811</v>
      </c>
      <c r="H2565" t="s">
        <v>929</v>
      </c>
      <c r="I2565" t="s">
        <v>22</v>
      </c>
      <c r="J2565" t="s">
        <v>67</v>
      </c>
      <c r="K2565" t="s">
        <v>34</v>
      </c>
      <c r="L2565" s="6">
        <v>250</v>
      </c>
      <c r="M2565" s="6">
        <v>0</v>
      </c>
      <c r="N2565" s="6">
        <v>-250</v>
      </c>
      <c r="O2565" s="6">
        <v>20344.36</v>
      </c>
      <c r="P2565" s="7">
        <v>0</v>
      </c>
      <c r="Q2565" s="6">
        <v>0</v>
      </c>
    </row>
    <row r="2566" spans="1:17">
      <c r="A2566">
        <v>2565</v>
      </c>
      <c r="B2566" s="5">
        <v>45897</v>
      </c>
      <c r="C2566" t="s">
        <v>916</v>
      </c>
      <c r="D2566" t="s">
        <v>917</v>
      </c>
      <c r="E2566" t="s">
        <v>918</v>
      </c>
      <c r="F2566">
        <v>18</v>
      </c>
      <c r="G2566" t="s">
        <v>1812</v>
      </c>
      <c r="H2566" t="s">
        <v>929</v>
      </c>
      <c r="I2566" t="s">
        <v>22</v>
      </c>
      <c r="J2566" t="s">
        <v>67</v>
      </c>
      <c r="K2566" t="s">
        <v>34</v>
      </c>
      <c r="L2566" s="6">
        <v>45</v>
      </c>
      <c r="M2566" s="6">
        <v>0</v>
      </c>
      <c r="N2566" s="6">
        <v>-45</v>
      </c>
      <c r="O2566" s="6">
        <v>20299.36</v>
      </c>
      <c r="P2566" s="7">
        <v>0</v>
      </c>
      <c r="Q2566" s="6">
        <v>0</v>
      </c>
    </row>
    <row r="2567" spans="1:17">
      <c r="A2567">
        <v>2566</v>
      </c>
      <c r="B2567" s="5">
        <v>45897</v>
      </c>
      <c r="C2567" t="s">
        <v>916</v>
      </c>
      <c r="D2567" t="s">
        <v>917</v>
      </c>
      <c r="E2567" t="s">
        <v>918</v>
      </c>
      <c r="F2567">
        <v>18</v>
      </c>
      <c r="G2567" t="s">
        <v>1813</v>
      </c>
      <c r="H2567" t="s">
        <v>929</v>
      </c>
      <c r="I2567" t="s">
        <v>22</v>
      </c>
      <c r="J2567" t="s">
        <v>67</v>
      </c>
      <c r="K2567" t="s">
        <v>34</v>
      </c>
      <c r="L2567" s="6">
        <v>2500</v>
      </c>
      <c r="M2567" s="6">
        <v>0</v>
      </c>
      <c r="N2567" s="6">
        <v>-2500</v>
      </c>
      <c r="O2567" s="6">
        <v>17799.36</v>
      </c>
      <c r="P2567" s="7">
        <v>0</v>
      </c>
      <c r="Q2567" s="6">
        <v>0</v>
      </c>
    </row>
    <row r="2568" spans="1:17">
      <c r="A2568">
        <v>2567</v>
      </c>
      <c r="B2568" s="5">
        <v>45897</v>
      </c>
      <c r="C2568" t="s">
        <v>916</v>
      </c>
      <c r="D2568" t="s">
        <v>917</v>
      </c>
      <c r="E2568" t="s">
        <v>918</v>
      </c>
      <c r="F2568">
        <v>18</v>
      </c>
      <c r="G2568" t="s">
        <v>1814</v>
      </c>
      <c r="H2568" t="s">
        <v>929</v>
      </c>
      <c r="I2568" t="s">
        <v>22</v>
      </c>
      <c r="J2568" t="s">
        <v>67</v>
      </c>
      <c r="K2568" t="s">
        <v>34</v>
      </c>
      <c r="L2568" s="6">
        <v>461.76</v>
      </c>
      <c r="M2568" s="6">
        <v>0</v>
      </c>
      <c r="N2568" s="6">
        <v>-461.76</v>
      </c>
      <c r="O2568" s="6">
        <v>17337.599999999999</v>
      </c>
      <c r="P2568" s="7">
        <v>0</v>
      </c>
      <c r="Q2568" s="6">
        <v>0</v>
      </c>
    </row>
    <row r="2569" spans="1:17">
      <c r="A2569">
        <v>2568</v>
      </c>
      <c r="B2569" s="5">
        <v>45897</v>
      </c>
      <c r="C2569" t="s">
        <v>916</v>
      </c>
      <c r="D2569" t="s">
        <v>917</v>
      </c>
      <c r="E2569" t="s">
        <v>918</v>
      </c>
      <c r="F2569">
        <v>19</v>
      </c>
      <c r="G2569" t="s">
        <v>1815</v>
      </c>
      <c r="H2569" t="s">
        <v>929</v>
      </c>
      <c r="I2569" t="s">
        <v>22</v>
      </c>
      <c r="J2569" t="s">
        <v>67</v>
      </c>
      <c r="K2569" t="s">
        <v>34</v>
      </c>
      <c r="L2569" s="6">
        <v>100</v>
      </c>
      <c r="M2569" s="6">
        <v>0</v>
      </c>
      <c r="N2569" s="6">
        <v>-100</v>
      </c>
      <c r="O2569" s="6">
        <v>17237.599999999999</v>
      </c>
      <c r="P2569" s="7">
        <v>0</v>
      </c>
      <c r="Q2569" s="6">
        <v>0</v>
      </c>
    </row>
    <row r="2570" spans="1:17">
      <c r="A2570">
        <v>2569</v>
      </c>
      <c r="B2570" s="5">
        <v>45897</v>
      </c>
      <c r="C2570" t="s">
        <v>916</v>
      </c>
      <c r="D2570" t="s">
        <v>917</v>
      </c>
      <c r="E2570" t="s">
        <v>918</v>
      </c>
      <c r="F2570">
        <v>19</v>
      </c>
      <c r="G2570" t="s">
        <v>1816</v>
      </c>
      <c r="H2570" t="s">
        <v>929</v>
      </c>
      <c r="I2570" t="s">
        <v>22</v>
      </c>
      <c r="J2570" t="s">
        <v>67</v>
      </c>
      <c r="K2570" t="s">
        <v>34</v>
      </c>
      <c r="L2570" s="6">
        <v>100</v>
      </c>
      <c r="M2570" s="6">
        <v>0</v>
      </c>
      <c r="N2570" s="6">
        <v>-100</v>
      </c>
      <c r="O2570" s="6">
        <v>17137.599999999999</v>
      </c>
      <c r="P2570" s="7">
        <v>0</v>
      </c>
      <c r="Q2570" s="6">
        <v>0</v>
      </c>
    </row>
    <row r="2571" spans="1:17">
      <c r="A2571">
        <v>2570</v>
      </c>
      <c r="B2571" s="5">
        <v>45897</v>
      </c>
      <c r="C2571" t="s">
        <v>916</v>
      </c>
      <c r="D2571" t="s">
        <v>917</v>
      </c>
      <c r="E2571" t="s">
        <v>918</v>
      </c>
      <c r="F2571">
        <v>19</v>
      </c>
      <c r="G2571" t="s">
        <v>1817</v>
      </c>
      <c r="H2571" t="s">
        <v>929</v>
      </c>
      <c r="I2571" t="s">
        <v>22</v>
      </c>
      <c r="J2571" t="s">
        <v>67</v>
      </c>
      <c r="K2571" t="s">
        <v>34</v>
      </c>
      <c r="L2571" s="6">
        <v>22.25</v>
      </c>
      <c r="M2571" s="6">
        <v>0</v>
      </c>
      <c r="N2571" s="6">
        <v>-22.25</v>
      </c>
      <c r="O2571" s="6">
        <v>17115.349999999999</v>
      </c>
      <c r="P2571" s="7">
        <v>0</v>
      </c>
      <c r="Q2571" s="6">
        <v>0</v>
      </c>
    </row>
    <row r="2572" spans="1:17">
      <c r="A2572">
        <v>2571</v>
      </c>
      <c r="B2572" s="5">
        <v>45897</v>
      </c>
      <c r="C2572" t="s">
        <v>916</v>
      </c>
      <c r="D2572" t="s">
        <v>917</v>
      </c>
      <c r="E2572" t="s">
        <v>918</v>
      </c>
      <c r="F2572">
        <v>19</v>
      </c>
      <c r="G2572" t="s">
        <v>1818</v>
      </c>
      <c r="H2572" t="s">
        <v>929</v>
      </c>
      <c r="I2572" t="s">
        <v>22</v>
      </c>
      <c r="J2572" t="s">
        <v>67</v>
      </c>
      <c r="K2572" t="s">
        <v>34</v>
      </c>
      <c r="L2572" s="6">
        <v>101</v>
      </c>
      <c r="M2572" s="6">
        <v>0</v>
      </c>
      <c r="N2572" s="6">
        <v>-101</v>
      </c>
      <c r="O2572" s="6">
        <v>17014.349999999999</v>
      </c>
      <c r="P2572" s="7">
        <v>0</v>
      </c>
      <c r="Q2572" s="6">
        <v>0</v>
      </c>
    </row>
    <row r="2573" spans="1:17">
      <c r="A2573">
        <v>2572</v>
      </c>
      <c r="B2573" s="5">
        <v>45897</v>
      </c>
      <c r="C2573" t="s">
        <v>916</v>
      </c>
      <c r="D2573" t="s">
        <v>917</v>
      </c>
      <c r="E2573" t="s">
        <v>918</v>
      </c>
      <c r="F2573">
        <v>19</v>
      </c>
      <c r="G2573" t="s">
        <v>1819</v>
      </c>
      <c r="H2573" t="s">
        <v>66</v>
      </c>
      <c r="I2573" t="s">
        <v>22</v>
      </c>
      <c r="J2573" t="s">
        <v>67</v>
      </c>
      <c r="K2573" t="s">
        <v>34</v>
      </c>
      <c r="L2573" s="6">
        <v>1000</v>
      </c>
      <c r="M2573" s="6">
        <v>0</v>
      </c>
      <c r="N2573" s="6">
        <v>-1000</v>
      </c>
      <c r="O2573" s="6">
        <v>16014.35</v>
      </c>
      <c r="P2573" s="7">
        <v>0</v>
      </c>
      <c r="Q2573" s="6">
        <v>0</v>
      </c>
    </row>
    <row r="2574" spans="1:17">
      <c r="A2574">
        <v>2573</v>
      </c>
      <c r="B2574" s="5">
        <v>45897</v>
      </c>
      <c r="C2574" t="s">
        <v>916</v>
      </c>
      <c r="D2574" t="s">
        <v>917</v>
      </c>
      <c r="E2574" t="s">
        <v>918</v>
      </c>
      <c r="F2574">
        <v>19</v>
      </c>
      <c r="G2574" t="s">
        <v>1820</v>
      </c>
      <c r="H2574" t="s">
        <v>66</v>
      </c>
      <c r="I2574" t="s">
        <v>22</v>
      </c>
      <c r="J2574" t="s">
        <v>67</v>
      </c>
      <c r="K2574" t="s">
        <v>34</v>
      </c>
      <c r="L2574" s="6">
        <v>135.88999999999999</v>
      </c>
      <c r="M2574" s="6">
        <v>0</v>
      </c>
      <c r="N2574" s="6">
        <v>-135.88999999999999</v>
      </c>
      <c r="O2574" s="6">
        <v>15878.46</v>
      </c>
      <c r="P2574" s="7">
        <v>0</v>
      </c>
      <c r="Q2574" s="6">
        <v>0</v>
      </c>
    </row>
    <row r="2575" spans="1:17">
      <c r="A2575">
        <v>2574</v>
      </c>
      <c r="B2575" s="5">
        <v>45897</v>
      </c>
      <c r="C2575" t="s">
        <v>916</v>
      </c>
      <c r="D2575" t="s">
        <v>917</v>
      </c>
      <c r="E2575" t="s">
        <v>918</v>
      </c>
      <c r="F2575">
        <v>19</v>
      </c>
      <c r="G2575" t="s">
        <v>1821</v>
      </c>
      <c r="H2575" t="s">
        <v>929</v>
      </c>
      <c r="I2575" t="s">
        <v>22</v>
      </c>
      <c r="J2575" t="s">
        <v>67</v>
      </c>
      <c r="K2575" t="s">
        <v>34</v>
      </c>
      <c r="L2575" s="6">
        <v>160</v>
      </c>
      <c r="M2575" s="6">
        <v>0</v>
      </c>
      <c r="N2575" s="6">
        <v>-160</v>
      </c>
      <c r="O2575" s="6">
        <v>15718.46</v>
      </c>
      <c r="P2575" s="7">
        <v>0</v>
      </c>
      <c r="Q2575" s="6">
        <v>0</v>
      </c>
    </row>
    <row r="2576" spans="1:17">
      <c r="A2576">
        <v>2575</v>
      </c>
      <c r="B2576" s="5">
        <v>45897</v>
      </c>
      <c r="C2576" t="s">
        <v>916</v>
      </c>
      <c r="D2576" t="s">
        <v>917</v>
      </c>
      <c r="E2576" t="s">
        <v>918</v>
      </c>
      <c r="F2576">
        <v>19</v>
      </c>
      <c r="G2576" t="s">
        <v>1822</v>
      </c>
      <c r="H2576" t="s">
        <v>929</v>
      </c>
      <c r="I2576" t="s">
        <v>22</v>
      </c>
      <c r="J2576" t="s">
        <v>67</v>
      </c>
      <c r="K2576" t="s">
        <v>34</v>
      </c>
      <c r="L2576" s="6">
        <v>100</v>
      </c>
      <c r="M2576" s="6">
        <v>0</v>
      </c>
      <c r="N2576" s="6">
        <v>-100</v>
      </c>
      <c r="O2576" s="6">
        <v>15618.46</v>
      </c>
      <c r="P2576" s="7">
        <v>0</v>
      </c>
      <c r="Q2576" s="6">
        <v>0</v>
      </c>
    </row>
    <row r="2577" spans="1:17">
      <c r="A2577">
        <v>2576</v>
      </c>
      <c r="B2577" s="5">
        <v>45897</v>
      </c>
      <c r="C2577" t="s">
        <v>916</v>
      </c>
      <c r="D2577" t="s">
        <v>917</v>
      </c>
      <c r="E2577" t="s">
        <v>918</v>
      </c>
      <c r="F2577">
        <v>19</v>
      </c>
      <c r="G2577" t="s">
        <v>1823</v>
      </c>
      <c r="H2577" t="s">
        <v>929</v>
      </c>
      <c r="I2577" t="s">
        <v>22</v>
      </c>
      <c r="J2577" t="s">
        <v>67</v>
      </c>
      <c r="K2577" t="s">
        <v>34</v>
      </c>
      <c r="L2577" s="6">
        <v>632.73</v>
      </c>
      <c r="M2577" s="6">
        <v>0</v>
      </c>
      <c r="N2577" s="6">
        <v>-632.73</v>
      </c>
      <c r="O2577" s="6">
        <v>14985.73</v>
      </c>
      <c r="P2577" s="7">
        <v>0</v>
      </c>
      <c r="Q2577" s="6">
        <v>0</v>
      </c>
    </row>
    <row r="2578" spans="1:17">
      <c r="A2578">
        <v>2577</v>
      </c>
      <c r="B2578" s="5">
        <v>45897</v>
      </c>
      <c r="C2578" t="s">
        <v>916</v>
      </c>
      <c r="D2578" t="s">
        <v>917</v>
      </c>
      <c r="E2578" t="s">
        <v>918</v>
      </c>
      <c r="F2578">
        <v>19</v>
      </c>
      <c r="G2578" t="s">
        <v>1824</v>
      </c>
      <c r="H2578" t="s">
        <v>929</v>
      </c>
      <c r="I2578" t="s">
        <v>22</v>
      </c>
      <c r="J2578" t="s">
        <v>67</v>
      </c>
      <c r="K2578" t="s">
        <v>34</v>
      </c>
      <c r="L2578" s="6">
        <v>220</v>
      </c>
      <c r="M2578" s="6">
        <v>0</v>
      </c>
      <c r="N2578" s="6">
        <v>-220</v>
      </c>
      <c r="O2578" s="6">
        <v>14765.73</v>
      </c>
      <c r="P2578" s="7">
        <v>0</v>
      </c>
      <c r="Q2578" s="6">
        <v>0</v>
      </c>
    </row>
    <row r="2579" spans="1:17">
      <c r="A2579">
        <v>2578</v>
      </c>
      <c r="B2579" s="5">
        <v>45897</v>
      </c>
      <c r="C2579" t="s">
        <v>916</v>
      </c>
      <c r="D2579" t="s">
        <v>917</v>
      </c>
      <c r="E2579" t="s">
        <v>918</v>
      </c>
      <c r="F2579">
        <v>19</v>
      </c>
      <c r="G2579" t="s">
        <v>1825</v>
      </c>
      <c r="I2579" t="s">
        <v>17</v>
      </c>
      <c r="J2579" t="s">
        <v>64</v>
      </c>
      <c r="K2579" t="s">
        <v>34</v>
      </c>
      <c r="L2579" s="6">
        <v>2000</v>
      </c>
      <c r="M2579" s="6">
        <v>0</v>
      </c>
      <c r="N2579" s="6">
        <v>-2000</v>
      </c>
      <c r="O2579" s="6">
        <v>12765.73</v>
      </c>
      <c r="P2579" s="7">
        <v>0</v>
      </c>
      <c r="Q2579" s="6">
        <v>0</v>
      </c>
    </row>
    <row r="2580" spans="1:17">
      <c r="A2580">
        <v>2579</v>
      </c>
      <c r="B2580" s="5">
        <v>45897</v>
      </c>
      <c r="C2580" t="s">
        <v>916</v>
      </c>
      <c r="D2580" t="s">
        <v>917</v>
      </c>
      <c r="E2580" t="s">
        <v>918</v>
      </c>
      <c r="F2580">
        <v>19</v>
      </c>
      <c r="G2580" t="s">
        <v>1826</v>
      </c>
      <c r="H2580" t="s">
        <v>1827</v>
      </c>
      <c r="I2580" t="s">
        <v>16</v>
      </c>
      <c r="J2580" t="s">
        <v>52</v>
      </c>
      <c r="K2580" t="s">
        <v>35</v>
      </c>
      <c r="L2580" s="6">
        <v>0</v>
      </c>
      <c r="M2580" s="6">
        <v>82</v>
      </c>
      <c r="N2580" s="6">
        <v>82</v>
      </c>
      <c r="O2580" s="6">
        <v>12847.73</v>
      </c>
      <c r="P2580" s="7">
        <v>0</v>
      </c>
      <c r="Q2580" s="6">
        <v>0</v>
      </c>
    </row>
    <row r="2581" spans="1:17">
      <c r="A2581">
        <v>2580</v>
      </c>
      <c r="B2581" s="5">
        <v>45897</v>
      </c>
      <c r="C2581" t="s">
        <v>916</v>
      </c>
      <c r="D2581" t="s">
        <v>917</v>
      </c>
      <c r="E2581" t="s">
        <v>918</v>
      </c>
      <c r="F2581">
        <v>19</v>
      </c>
      <c r="G2581" t="s">
        <v>1828</v>
      </c>
      <c r="I2581" t="s">
        <v>17</v>
      </c>
      <c r="J2581" t="s">
        <v>64</v>
      </c>
      <c r="K2581" t="s">
        <v>34</v>
      </c>
      <c r="L2581" s="6">
        <v>2000</v>
      </c>
      <c r="M2581" s="6">
        <v>0</v>
      </c>
      <c r="N2581" s="6">
        <v>-2000</v>
      </c>
      <c r="O2581" s="6">
        <v>10847.73</v>
      </c>
      <c r="P2581" s="7">
        <v>0</v>
      </c>
      <c r="Q2581" s="6">
        <v>0</v>
      </c>
    </row>
    <row r="2582" spans="1:17">
      <c r="A2582">
        <v>2581</v>
      </c>
      <c r="B2582" s="5">
        <v>45897</v>
      </c>
      <c r="C2582" t="s">
        <v>916</v>
      </c>
      <c r="D2582" t="s">
        <v>917</v>
      </c>
      <c r="E2582" t="s">
        <v>918</v>
      </c>
      <c r="F2582">
        <v>19</v>
      </c>
      <c r="G2582" t="s">
        <v>900</v>
      </c>
      <c r="I2582" t="s">
        <v>16</v>
      </c>
      <c r="J2582" t="s">
        <v>52</v>
      </c>
      <c r="K2582" t="s">
        <v>35</v>
      </c>
      <c r="L2582" s="6">
        <v>0</v>
      </c>
      <c r="M2582" s="6">
        <v>895.38</v>
      </c>
      <c r="N2582" s="6">
        <v>895.38</v>
      </c>
      <c r="O2582" s="6">
        <v>11743.11</v>
      </c>
      <c r="P2582" s="7">
        <v>0</v>
      </c>
      <c r="Q2582" s="6">
        <v>0</v>
      </c>
    </row>
    <row r="2583" spans="1:17">
      <c r="A2583">
        <v>2582</v>
      </c>
      <c r="B2583" s="5">
        <v>45897</v>
      </c>
      <c r="C2583" t="s">
        <v>916</v>
      </c>
      <c r="D2583" t="s">
        <v>917</v>
      </c>
      <c r="E2583" t="s">
        <v>918</v>
      </c>
      <c r="F2583">
        <v>19</v>
      </c>
      <c r="G2583" t="s">
        <v>1829</v>
      </c>
      <c r="H2583" t="s">
        <v>929</v>
      </c>
      <c r="I2583" t="s">
        <v>22</v>
      </c>
      <c r="J2583" t="s">
        <v>67</v>
      </c>
      <c r="K2583" t="s">
        <v>34</v>
      </c>
      <c r="L2583" s="6">
        <v>303.13</v>
      </c>
      <c r="M2583" s="6">
        <v>0</v>
      </c>
      <c r="N2583" s="6">
        <v>-303.13</v>
      </c>
      <c r="O2583" s="6">
        <v>11439.98</v>
      </c>
      <c r="P2583" s="7">
        <v>0</v>
      </c>
      <c r="Q2583" s="6">
        <v>0</v>
      </c>
    </row>
    <row r="2584" spans="1:17">
      <c r="A2584">
        <v>2583</v>
      </c>
      <c r="B2584" s="5">
        <v>45897</v>
      </c>
      <c r="C2584" t="s">
        <v>916</v>
      </c>
      <c r="D2584" t="s">
        <v>917</v>
      </c>
      <c r="E2584" t="s">
        <v>918</v>
      </c>
      <c r="F2584">
        <v>19</v>
      </c>
      <c r="G2584" t="s">
        <v>1830</v>
      </c>
      <c r="H2584" t="s">
        <v>929</v>
      </c>
      <c r="I2584" t="s">
        <v>22</v>
      </c>
      <c r="J2584" t="s">
        <v>67</v>
      </c>
      <c r="K2584" t="s">
        <v>34</v>
      </c>
      <c r="L2584" s="6">
        <v>681.17</v>
      </c>
      <c r="M2584" s="6">
        <v>0</v>
      </c>
      <c r="N2584" s="6">
        <v>-681.17</v>
      </c>
      <c r="O2584" s="6">
        <v>10758.81</v>
      </c>
      <c r="P2584" s="7">
        <v>0</v>
      </c>
      <c r="Q2584" s="6">
        <v>0</v>
      </c>
    </row>
    <row r="2585" spans="1:17">
      <c r="A2585">
        <v>2584</v>
      </c>
      <c r="B2585" s="5">
        <v>45897</v>
      </c>
      <c r="C2585" t="s">
        <v>916</v>
      </c>
      <c r="D2585" t="s">
        <v>917</v>
      </c>
      <c r="E2585" t="s">
        <v>918</v>
      </c>
      <c r="F2585">
        <v>19</v>
      </c>
      <c r="G2585" t="s">
        <v>1831</v>
      </c>
      <c r="H2585" t="s">
        <v>929</v>
      </c>
      <c r="I2585" t="s">
        <v>22</v>
      </c>
      <c r="J2585" t="s">
        <v>67</v>
      </c>
      <c r="K2585" t="s">
        <v>34</v>
      </c>
      <c r="L2585" s="6">
        <v>500</v>
      </c>
      <c r="M2585" s="6">
        <v>0</v>
      </c>
      <c r="N2585" s="6">
        <v>-500</v>
      </c>
      <c r="O2585" s="6">
        <v>10258.81</v>
      </c>
      <c r="P2585" s="7">
        <v>0</v>
      </c>
      <c r="Q2585" s="6">
        <v>0</v>
      </c>
    </row>
    <row r="2586" spans="1:17">
      <c r="A2586">
        <v>2585</v>
      </c>
      <c r="B2586" s="5">
        <v>45897</v>
      </c>
      <c r="C2586" t="s">
        <v>916</v>
      </c>
      <c r="D2586" t="s">
        <v>917</v>
      </c>
      <c r="E2586" t="s">
        <v>918</v>
      </c>
      <c r="F2586">
        <v>19</v>
      </c>
      <c r="G2586" t="s">
        <v>1832</v>
      </c>
      <c r="H2586" t="s">
        <v>929</v>
      </c>
      <c r="I2586" t="s">
        <v>22</v>
      </c>
      <c r="J2586" t="s">
        <v>67</v>
      </c>
      <c r="K2586" t="s">
        <v>34</v>
      </c>
      <c r="L2586" s="6">
        <v>478</v>
      </c>
      <c r="M2586" s="6">
        <v>0</v>
      </c>
      <c r="N2586" s="6">
        <v>-478</v>
      </c>
      <c r="O2586" s="6">
        <v>9780.81</v>
      </c>
      <c r="P2586" s="7">
        <v>0</v>
      </c>
      <c r="Q2586" s="6">
        <v>0</v>
      </c>
    </row>
    <row r="2587" spans="1:17">
      <c r="A2587">
        <v>2586</v>
      </c>
      <c r="B2587" s="5">
        <v>45897</v>
      </c>
      <c r="C2587" t="s">
        <v>916</v>
      </c>
      <c r="D2587" t="s">
        <v>917</v>
      </c>
      <c r="E2587" t="s">
        <v>918</v>
      </c>
      <c r="F2587">
        <v>19</v>
      </c>
      <c r="G2587" t="s">
        <v>1833</v>
      </c>
      <c r="H2587" t="s">
        <v>66</v>
      </c>
      <c r="I2587" t="s">
        <v>22</v>
      </c>
      <c r="J2587" t="s">
        <v>67</v>
      </c>
      <c r="K2587" t="s">
        <v>34</v>
      </c>
      <c r="L2587" s="6">
        <v>290</v>
      </c>
      <c r="M2587" s="6">
        <v>0</v>
      </c>
      <c r="N2587" s="6">
        <v>-290</v>
      </c>
      <c r="O2587" s="6">
        <v>9490.81</v>
      </c>
      <c r="P2587" s="7">
        <v>0</v>
      </c>
      <c r="Q2587" s="6">
        <v>0</v>
      </c>
    </row>
    <row r="2588" spans="1:17">
      <c r="A2588">
        <v>2587</v>
      </c>
      <c r="B2588" s="5">
        <v>45897</v>
      </c>
      <c r="C2588" t="s">
        <v>916</v>
      </c>
      <c r="D2588" t="s">
        <v>917</v>
      </c>
      <c r="E2588" t="s">
        <v>918</v>
      </c>
      <c r="F2588">
        <v>19</v>
      </c>
      <c r="G2588" t="s">
        <v>1834</v>
      </c>
      <c r="H2588" t="s">
        <v>929</v>
      </c>
      <c r="I2588" t="s">
        <v>22</v>
      </c>
      <c r="J2588" t="s">
        <v>67</v>
      </c>
      <c r="K2588" t="s">
        <v>34</v>
      </c>
      <c r="L2588" s="6">
        <v>339.68</v>
      </c>
      <c r="M2588" s="6">
        <v>0</v>
      </c>
      <c r="N2588" s="6">
        <v>-339.68</v>
      </c>
      <c r="O2588" s="6">
        <v>9151.1299999999992</v>
      </c>
      <c r="P2588" s="7">
        <v>0</v>
      </c>
      <c r="Q2588" s="6">
        <v>0</v>
      </c>
    </row>
    <row r="2589" spans="1:17">
      <c r="A2589">
        <v>2588</v>
      </c>
      <c r="B2589" s="5">
        <v>45897</v>
      </c>
      <c r="C2589" t="s">
        <v>916</v>
      </c>
      <c r="D2589" t="s">
        <v>917</v>
      </c>
      <c r="E2589" t="s">
        <v>918</v>
      </c>
      <c r="F2589">
        <v>19</v>
      </c>
      <c r="G2589" t="s">
        <v>1835</v>
      </c>
      <c r="I2589" t="s">
        <v>15</v>
      </c>
      <c r="J2589" t="s">
        <v>52</v>
      </c>
      <c r="K2589" t="s">
        <v>35</v>
      </c>
      <c r="L2589" s="6">
        <v>0</v>
      </c>
      <c r="M2589" s="6">
        <v>26700</v>
      </c>
      <c r="N2589" s="6">
        <v>26700</v>
      </c>
      <c r="O2589" s="6">
        <v>35851.129999999997</v>
      </c>
      <c r="P2589" s="7">
        <v>0</v>
      </c>
      <c r="Q2589" s="6">
        <v>0</v>
      </c>
    </row>
    <row r="2590" spans="1:17">
      <c r="A2590">
        <v>2589</v>
      </c>
      <c r="B2590" s="5">
        <v>45897</v>
      </c>
      <c r="C2590" t="s">
        <v>916</v>
      </c>
      <c r="D2590" t="s">
        <v>917</v>
      </c>
      <c r="E2590" t="s">
        <v>918</v>
      </c>
      <c r="F2590">
        <v>19</v>
      </c>
      <c r="G2590" t="s">
        <v>1836</v>
      </c>
      <c r="H2590" t="s">
        <v>929</v>
      </c>
      <c r="I2590" t="s">
        <v>22</v>
      </c>
      <c r="J2590" t="s">
        <v>67</v>
      </c>
      <c r="K2590" t="s">
        <v>34</v>
      </c>
      <c r="L2590" s="6">
        <v>25000</v>
      </c>
      <c r="M2590" s="6">
        <v>0</v>
      </c>
      <c r="N2590" s="6">
        <v>-25000</v>
      </c>
      <c r="O2590" s="6">
        <v>10851.13</v>
      </c>
      <c r="P2590" s="7">
        <v>0</v>
      </c>
      <c r="Q2590" s="6">
        <v>0</v>
      </c>
    </row>
    <row r="2591" spans="1:17">
      <c r="A2591">
        <v>2590</v>
      </c>
      <c r="B2591" s="5">
        <v>45897</v>
      </c>
      <c r="C2591" t="s">
        <v>916</v>
      </c>
      <c r="D2591" t="s">
        <v>917</v>
      </c>
      <c r="E2591" t="s">
        <v>918</v>
      </c>
      <c r="F2591">
        <v>19</v>
      </c>
      <c r="G2591" t="s">
        <v>1837</v>
      </c>
      <c r="H2591" t="s">
        <v>1838</v>
      </c>
      <c r="I2591" t="s">
        <v>16</v>
      </c>
      <c r="J2591" t="s">
        <v>52</v>
      </c>
      <c r="K2591" t="s">
        <v>35</v>
      </c>
      <c r="L2591" s="6">
        <v>0</v>
      </c>
      <c r="M2591" s="6">
        <v>51</v>
      </c>
      <c r="N2591" s="6">
        <v>51</v>
      </c>
      <c r="O2591" s="6">
        <v>10902.13</v>
      </c>
      <c r="P2591" s="7">
        <v>0</v>
      </c>
      <c r="Q2591" s="6">
        <v>0</v>
      </c>
    </row>
    <row r="2592" spans="1:17">
      <c r="A2592">
        <v>2591</v>
      </c>
      <c r="B2592" s="5">
        <v>45897</v>
      </c>
      <c r="C2592" t="s">
        <v>916</v>
      </c>
      <c r="D2592" t="s">
        <v>917</v>
      </c>
      <c r="E2592" t="s">
        <v>918</v>
      </c>
      <c r="F2592">
        <v>19</v>
      </c>
      <c r="G2592" t="s">
        <v>1839</v>
      </c>
      <c r="H2592" t="s">
        <v>1146</v>
      </c>
      <c r="I2592" t="s">
        <v>16</v>
      </c>
      <c r="J2592" t="s">
        <v>52</v>
      </c>
      <c r="K2592" t="s">
        <v>35</v>
      </c>
      <c r="L2592" s="6">
        <v>0</v>
      </c>
      <c r="M2592" s="6">
        <v>1000</v>
      </c>
      <c r="N2592" s="6">
        <v>1000</v>
      </c>
      <c r="O2592" s="6">
        <v>11902.13</v>
      </c>
      <c r="P2592" s="7">
        <v>0</v>
      </c>
      <c r="Q2592" s="6">
        <v>0</v>
      </c>
    </row>
    <row r="2593" spans="1:18">
      <c r="A2593">
        <v>2592</v>
      </c>
      <c r="B2593" s="5">
        <v>45897</v>
      </c>
      <c r="C2593" t="s">
        <v>916</v>
      </c>
      <c r="D2593" t="s">
        <v>917</v>
      </c>
      <c r="E2593" t="s">
        <v>918</v>
      </c>
      <c r="F2593">
        <v>19</v>
      </c>
      <c r="G2593" t="s">
        <v>1840</v>
      </c>
      <c r="H2593" t="s">
        <v>929</v>
      </c>
      <c r="I2593" t="s">
        <v>22</v>
      </c>
      <c r="J2593" t="s">
        <v>67</v>
      </c>
      <c r="K2593" t="s">
        <v>34</v>
      </c>
      <c r="L2593" s="6">
        <v>50</v>
      </c>
      <c r="M2593" s="6">
        <v>0</v>
      </c>
      <c r="N2593" s="6">
        <v>-50</v>
      </c>
      <c r="O2593" s="6">
        <v>11852.13</v>
      </c>
      <c r="P2593" s="7">
        <v>0</v>
      </c>
      <c r="Q2593" s="6">
        <v>0</v>
      </c>
    </row>
    <row r="2594" spans="1:18">
      <c r="A2594">
        <v>2593</v>
      </c>
      <c r="B2594" s="5">
        <v>45897</v>
      </c>
      <c r="C2594" t="s">
        <v>916</v>
      </c>
      <c r="D2594" t="s">
        <v>917</v>
      </c>
      <c r="E2594" t="s">
        <v>918</v>
      </c>
      <c r="F2594">
        <v>19</v>
      </c>
      <c r="G2594" t="s">
        <v>1841</v>
      </c>
      <c r="H2594" t="s">
        <v>66</v>
      </c>
      <c r="I2594" t="s">
        <v>22</v>
      </c>
      <c r="J2594" t="s">
        <v>67</v>
      </c>
      <c r="K2594" t="s">
        <v>34</v>
      </c>
      <c r="L2594" s="6">
        <v>101</v>
      </c>
      <c r="M2594" s="6">
        <v>0</v>
      </c>
      <c r="N2594" s="6">
        <v>-101</v>
      </c>
      <c r="O2594" s="6">
        <v>11751.13</v>
      </c>
      <c r="P2594" s="7">
        <v>0</v>
      </c>
      <c r="Q2594" s="6">
        <v>0</v>
      </c>
    </row>
    <row r="2595" spans="1:18">
      <c r="A2595">
        <v>2594</v>
      </c>
      <c r="B2595" s="5">
        <v>45897</v>
      </c>
      <c r="C2595" t="s">
        <v>916</v>
      </c>
      <c r="D2595" t="s">
        <v>917</v>
      </c>
      <c r="E2595" t="s">
        <v>918</v>
      </c>
      <c r="F2595">
        <v>19</v>
      </c>
      <c r="G2595" t="s">
        <v>1842</v>
      </c>
      <c r="H2595" t="s">
        <v>66</v>
      </c>
      <c r="I2595" t="s">
        <v>22</v>
      </c>
      <c r="J2595" t="s">
        <v>67</v>
      </c>
      <c r="K2595" t="s">
        <v>34</v>
      </c>
      <c r="L2595" s="6">
        <v>141.41999999999999</v>
      </c>
      <c r="M2595" s="6">
        <v>0</v>
      </c>
      <c r="N2595" s="6">
        <v>-141.41999999999999</v>
      </c>
      <c r="O2595" s="6">
        <v>11609.71</v>
      </c>
      <c r="P2595" s="7">
        <v>0</v>
      </c>
      <c r="Q2595" s="6">
        <v>0</v>
      </c>
    </row>
    <row r="2596" spans="1:18">
      <c r="A2596">
        <v>2595</v>
      </c>
      <c r="B2596" s="5">
        <v>45897</v>
      </c>
      <c r="C2596" t="s">
        <v>916</v>
      </c>
      <c r="D2596" t="s">
        <v>917</v>
      </c>
      <c r="E2596" t="s">
        <v>918</v>
      </c>
      <c r="F2596">
        <v>19</v>
      </c>
      <c r="G2596" t="s">
        <v>1843</v>
      </c>
      <c r="H2596" t="s">
        <v>929</v>
      </c>
      <c r="I2596" t="s">
        <v>22</v>
      </c>
      <c r="J2596" t="s">
        <v>67</v>
      </c>
      <c r="K2596" t="s">
        <v>34</v>
      </c>
      <c r="L2596" s="6">
        <v>300</v>
      </c>
      <c r="M2596" s="6">
        <v>0</v>
      </c>
      <c r="N2596" s="6">
        <v>-300</v>
      </c>
      <c r="O2596" s="6">
        <v>11309.71</v>
      </c>
      <c r="P2596" s="7">
        <v>0</v>
      </c>
      <c r="Q2596" s="6">
        <v>0</v>
      </c>
    </row>
    <row r="2597" spans="1:18">
      <c r="A2597">
        <v>2596</v>
      </c>
      <c r="B2597" s="5">
        <v>45897</v>
      </c>
      <c r="C2597" t="s">
        <v>916</v>
      </c>
      <c r="D2597" t="s">
        <v>917</v>
      </c>
      <c r="E2597" t="s">
        <v>918</v>
      </c>
      <c r="F2597">
        <v>19</v>
      </c>
      <c r="G2597" t="s">
        <v>1844</v>
      </c>
      <c r="H2597" t="s">
        <v>929</v>
      </c>
      <c r="I2597" t="s">
        <v>22</v>
      </c>
      <c r="J2597" t="s">
        <v>67</v>
      </c>
      <c r="K2597" t="s">
        <v>34</v>
      </c>
      <c r="L2597" s="6">
        <v>1000</v>
      </c>
      <c r="M2597" s="6">
        <v>0</v>
      </c>
      <c r="N2597" s="6">
        <v>-1000</v>
      </c>
      <c r="O2597" s="6">
        <v>10309.709999999999</v>
      </c>
      <c r="P2597" s="7">
        <v>0</v>
      </c>
      <c r="Q2597" s="6">
        <v>0</v>
      </c>
    </row>
    <row r="2598" spans="1:18">
      <c r="A2598">
        <v>2597</v>
      </c>
      <c r="B2598" s="5">
        <v>45897</v>
      </c>
      <c r="C2598" t="s">
        <v>916</v>
      </c>
      <c r="D2598" t="s">
        <v>917</v>
      </c>
      <c r="E2598" t="s">
        <v>918</v>
      </c>
      <c r="F2598">
        <v>19</v>
      </c>
      <c r="G2598" t="s">
        <v>1845</v>
      </c>
      <c r="H2598" t="s">
        <v>66</v>
      </c>
      <c r="I2598" t="s">
        <v>22</v>
      </c>
      <c r="J2598" t="s">
        <v>67</v>
      </c>
      <c r="K2598" t="s">
        <v>34</v>
      </c>
      <c r="L2598" s="6">
        <v>6500</v>
      </c>
      <c r="M2598" s="6">
        <v>0</v>
      </c>
      <c r="N2598" s="6">
        <v>-6500</v>
      </c>
      <c r="O2598" s="6">
        <v>3809.71</v>
      </c>
      <c r="P2598" s="7">
        <v>0</v>
      </c>
      <c r="Q2598" s="6">
        <v>0</v>
      </c>
    </row>
    <row r="2599" spans="1:18">
      <c r="A2599">
        <v>2598</v>
      </c>
      <c r="B2599" s="5">
        <v>45897</v>
      </c>
      <c r="C2599" t="s">
        <v>916</v>
      </c>
      <c r="D2599" t="s">
        <v>917</v>
      </c>
      <c r="E2599" t="s">
        <v>918</v>
      </c>
      <c r="F2599">
        <v>19</v>
      </c>
      <c r="G2599" t="s">
        <v>1010</v>
      </c>
      <c r="H2599" t="s">
        <v>1011</v>
      </c>
      <c r="I2599" t="s">
        <v>16</v>
      </c>
      <c r="J2599" t="s">
        <v>52</v>
      </c>
      <c r="K2599" t="s">
        <v>35</v>
      </c>
      <c r="L2599" s="6">
        <v>0</v>
      </c>
      <c r="M2599" s="6">
        <v>1000</v>
      </c>
      <c r="N2599" s="6">
        <v>1000</v>
      </c>
      <c r="O2599" s="6">
        <v>4809.71</v>
      </c>
      <c r="P2599" s="7">
        <v>0</v>
      </c>
      <c r="Q2599" s="6">
        <v>0</v>
      </c>
    </row>
    <row r="2600" spans="1:18">
      <c r="A2600">
        <v>2599</v>
      </c>
      <c r="B2600" s="5">
        <v>45897</v>
      </c>
      <c r="C2600" t="s">
        <v>916</v>
      </c>
      <c r="D2600" t="s">
        <v>917</v>
      </c>
      <c r="E2600" t="s">
        <v>918</v>
      </c>
      <c r="F2600">
        <v>19</v>
      </c>
      <c r="G2600" t="s">
        <v>1846</v>
      </c>
      <c r="I2600" t="s">
        <v>16</v>
      </c>
      <c r="J2600" t="s">
        <v>52</v>
      </c>
      <c r="K2600" t="s">
        <v>35</v>
      </c>
      <c r="L2600" s="6">
        <v>0</v>
      </c>
      <c r="M2600" s="6">
        <v>4416</v>
      </c>
      <c r="N2600" s="6">
        <v>4416</v>
      </c>
      <c r="O2600" s="6">
        <v>9225.7099999999991</v>
      </c>
      <c r="P2600" s="7">
        <v>0</v>
      </c>
      <c r="Q2600" s="6">
        <v>0</v>
      </c>
    </row>
    <row r="2601" spans="1:18">
      <c r="A2601">
        <v>2600</v>
      </c>
      <c r="B2601" s="5">
        <v>45898</v>
      </c>
      <c r="C2601" t="s">
        <v>916</v>
      </c>
      <c r="D2601" t="s">
        <v>917</v>
      </c>
      <c r="E2601" t="s">
        <v>918</v>
      </c>
      <c r="F2601">
        <v>19</v>
      </c>
      <c r="G2601" t="s">
        <v>1847</v>
      </c>
      <c r="I2601" t="s">
        <v>21</v>
      </c>
      <c r="J2601" t="s">
        <v>171</v>
      </c>
      <c r="K2601" t="s">
        <v>34</v>
      </c>
      <c r="L2601" s="6">
        <v>45</v>
      </c>
      <c r="M2601" s="6">
        <v>0</v>
      </c>
      <c r="N2601" s="6">
        <v>-45</v>
      </c>
      <c r="O2601" s="6">
        <v>9180.7099999999991</v>
      </c>
      <c r="P2601" s="7">
        <v>0</v>
      </c>
      <c r="Q2601" s="6">
        <v>0</v>
      </c>
      <c r="R2601" t="s">
        <v>169</v>
      </c>
    </row>
    <row r="2602" spans="1:18">
      <c r="A2602">
        <v>2601</v>
      </c>
      <c r="B2602" s="5">
        <v>45898</v>
      </c>
      <c r="C2602" t="s">
        <v>916</v>
      </c>
      <c r="D2602" t="s">
        <v>917</v>
      </c>
      <c r="E2602" t="s">
        <v>918</v>
      </c>
      <c r="F2602">
        <v>19</v>
      </c>
      <c r="G2602" t="s">
        <v>1848</v>
      </c>
      <c r="I2602" t="s">
        <v>22</v>
      </c>
      <c r="J2602" t="s">
        <v>67</v>
      </c>
      <c r="K2602" t="s">
        <v>34</v>
      </c>
      <c r="L2602" s="6">
        <v>1500</v>
      </c>
      <c r="M2602" s="6">
        <v>0</v>
      </c>
      <c r="N2602" s="6">
        <v>-1500</v>
      </c>
      <c r="O2602" s="6">
        <v>7680.71</v>
      </c>
      <c r="P2602" s="7">
        <v>0</v>
      </c>
      <c r="Q2602" s="6">
        <v>0</v>
      </c>
    </row>
    <row r="2603" spans="1:18">
      <c r="A2603">
        <v>2602</v>
      </c>
      <c r="B2603" s="5">
        <v>45898</v>
      </c>
      <c r="C2603" t="s">
        <v>916</v>
      </c>
      <c r="D2603" t="s">
        <v>917</v>
      </c>
      <c r="E2603" t="s">
        <v>918</v>
      </c>
      <c r="F2603">
        <v>19</v>
      </c>
      <c r="G2603" t="s">
        <v>1849</v>
      </c>
      <c r="H2603" t="s">
        <v>1850</v>
      </c>
      <c r="I2603" t="s">
        <v>16</v>
      </c>
      <c r="J2603" t="s">
        <v>52</v>
      </c>
      <c r="K2603" t="s">
        <v>35</v>
      </c>
      <c r="L2603" s="6">
        <v>0</v>
      </c>
      <c r="M2603" s="6">
        <v>250</v>
      </c>
      <c r="N2603" s="6">
        <v>250</v>
      </c>
      <c r="O2603" s="6">
        <v>7930.71</v>
      </c>
      <c r="P2603" s="7">
        <v>0</v>
      </c>
      <c r="Q2603" s="6">
        <v>0</v>
      </c>
    </row>
    <row r="2604" spans="1:18">
      <c r="A2604">
        <v>2603</v>
      </c>
      <c r="B2604" s="5">
        <v>45898</v>
      </c>
      <c r="C2604" t="s">
        <v>916</v>
      </c>
      <c r="D2604" t="s">
        <v>917</v>
      </c>
      <c r="E2604" t="s">
        <v>918</v>
      </c>
      <c r="F2604">
        <v>19</v>
      </c>
      <c r="G2604" t="s">
        <v>1851</v>
      </c>
      <c r="I2604" t="s">
        <v>22</v>
      </c>
      <c r="J2604" t="s">
        <v>67</v>
      </c>
      <c r="K2604" t="s">
        <v>34</v>
      </c>
      <c r="L2604" s="6">
        <v>2000</v>
      </c>
      <c r="M2604" s="6">
        <v>0</v>
      </c>
      <c r="N2604" s="6">
        <v>-2000</v>
      </c>
      <c r="O2604" s="6">
        <v>5930.71</v>
      </c>
      <c r="P2604" s="7">
        <v>0</v>
      </c>
      <c r="Q2604" s="6">
        <v>0</v>
      </c>
    </row>
    <row r="2605" spans="1:18">
      <c r="A2605">
        <v>2604</v>
      </c>
      <c r="B2605" s="5">
        <v>45898</v>
      </c>
      <c r="C2605" t="s">
        <v>916</v>
      </c>
      <c r="D2605" t="s">
        <v>917</v>
      </c>
      <c r="E2605" t="s">
        <v>918</v>
      </c>
      <c r="F2605">
        <v>19</v>
      </c>
      <c r="G2605" t="s">
        <v>1852</v>
      </c>
      <c r="I2605" t="s">
        <v>15</v>
      </c>
      <c r="J2605" t="s">
        <v>52</v>
      </c>
      <c r="K2605" t="s">
        <v>35</v>
      </c>
      <c r="L2605" s="6">
        <v>0</v>
      </c>
      <c r="M2605" s="6">
        <v>54674.59</v>
      </c>
      <c r="N2605" s="6">
        <v>54674.59</v>
      </c>
      <c r="O2605" s="6">
        <v>60605.3</v>
      </c>
      <c r="P2605" s="7">
        <v>0</v>
      </c>
      <c r="Q2605" s="6">
        <v>0</v>
      </c>
    </row>
    <row r="2606" spans="1:18">
      <c r="A2606">
        <v>2605</v>
      </c>
      <c r="B2606" s="5">
        <v>45898</v>
      </c>
      <c r="C2606" t="s">
        <v>916</v>
      </c>
      <c r="D2606" t="s">
        <v>917</v>
      </c>
      <c r="E2606" t="s">
        <v>918</v>
      </c>
      <c r="F2606">
        <v>19</v>
      </c>
      <c r="G2606" t="s">
        <v>1853</v>
      </c>
      <c r="H2606" t="s">
        <v>66</v>
      </c>
      <c r="I2606" t="s">
        <v>22</v>
      </c>
      <c r="J2606" t="s">
        <v>67</v>
      </c>
      <c r="K2606" t="s">
        <v>34</v>
      </c>
      <c r="L2606" s="6">
        <v>40000</v>
      </c>
      <c r="M2606" s="6">
        <v>0</v>
      </c>
      <c r="N2606" s="6">
        <v>-40000</v>
      </c>
      <c r="O2606" s="6">
        <v>20605.3</v>
      </c>
      <c r="P2606" s="7">
        <v>0</v>
      </c>
      <c r="Q2606" s="6">
        <v>0</v>
      </c>
    </row>
    <row r="2607" spans="1:18">
      <c r="A2607">
        <v>2606</v>
      </c>
      <c r="B2607" s="5">
        <v>45898</v>
      </c>
      <c r="C2607" t="s">
        <v>916</v>
      </c>
      <c r="D2607" t="s">
        <v>917</v>
      </c>
      <c r="E2607" t="s">
        <v>918</v>
      </c>
      <c r="F2607">
        <v>19</v>
      </c>
      <c r="G2607" t="s">
        <v>900</v>
      </c>
      <c r="I2607" t="s">
        <v>16</v>
      </c>
      <c r="J2607" t="s">
        <v>52</v>
      </c>
      <c r="K2607" t="s">
        <v>35</v>
      </c>
      <c r="L2607" s="6">
        <v>0</v>
      </c>
      <c r="M2607" s="6">
        <v>235.62</v>
      </c>
      <c r="N2607" s="6">
        <v>235.62</v>
      </c>
      <c r="O2607" s="6">
        <v>20840.919999999998</v>
      </c>
      <c r="P2607" s="7">
        <v>0</v>
      </c>
      <c r="Q2607" s="6">
        <v>0</v>
      </c>
    </row>
    <row r="2608" spans="1:18">
      <c r="A2608">
        <v>2607</v>
      </c>
      <c r="B2608" s="5">
        <v>45898</v>
      </c>
      <c r="C2608" t="s">
        <v>916</v>
      </c>
      <c r="D2608" t="s">
        <v>917</v>
      </c>
      <c r="E2608" t="s">
        <v>918</v>
      </c>
      <c r="F2608">
        <v>19</v>
      </c>
      <c r="G2608" t="s">
        <v>1854</v>
      </c>
      <c r="H2608" t="s">
        <v>929</v>
      </c>
      <c r="I2608" t="s">
        <v>22</v>
      </c>
      <c r="J2608" t="s">
        <v>67</v>
      </c>
      <c r="K2608" t="s">
        <v>34</v>
      </c>
      <c r="L2608" s="6">
        <v>200</v>
      </c>
      <c r="M2608" s="6">
        <v>0</v>
      </c>
      <c r="N2608" s="6">
        <v>-200</v>
      </c>
      <c r="O2608" s="6">
        <v>20640.919999999998</v>
      </c>
      <c r="P2608" s="7">
        <v>0</v>
      </c>
      <c r="Q2608" s="6">
        <v>0</v>
      </c>
    </row>
    <row r="2609" spans="1:17">
      <c r="A2609">
        <v>2608</v>
      </c>
      <c r="B2609" s="5">
        <v>45898</v>
      </c>
      <c r="C2609" t="s">
        <v>916</v>
      </c>
      <c r="D2609" t="s">
        <v>917</v>
      </c>
      <c r="E2609" t="s">
        <v>918</v>
      </c>
      <c r="F2609">
        <v>19</v>
      </c>
      <c r="G2609" t="s">
        <v>1855</v>
      </c>
      <c r="H2609" t="s">
        <v>66</v>
      </c>
      <c r="I2609" t="s">
        <v>22</v>
      </c>
      <c r="J2609" t="s">
        <v>67</v>
      </c>
      <c r="K2609" t="s">
        <v>34</v>
      </c>
      <c r="L2609" s="6">
        <v>130</v>
      </c>
      <c r="M2609" s="6">
        <v>0</v>
      </c>
      <c r="N2609" s="6">
        <v>-130</v>
      </c>
      <c r="O2609" s="6">
        <v>20510.919999999998</v>
      </c>
      <c r="P2609" s="7">
        <v>0</v>
      </c>
      <c r="Q2609" s="6">
        <v>0</v>
      </c>
    </row>
    <row r="2610" spans="1:17">
      <c r="A2610">
        <v>2609</v>
      </c>
      <c r="B2610" s="5">
        <v>45898</v>
      </c>
      <c r="C2610" t="s">
        <v>916</v>
      </c>
      <c r="D2610" t="s">
        <v>917</v>
      </c>
      <c r="E2610" t="s">
        <v>918</v>
      </c>
      <c r="F2610">
        <v>19</v>
      </c>
      <c r="G2610" t="s">
        <v>1856</v>
      </c>
      <c r="H2610" t="s">
        <v>929</v>
      </c>
      <c r="I2610" t="s">
        <v>22</v>
      </c>
      <c r="J2610" t="s">
        <v>67</v>
      </c>
      <c r="K2610" t="s">
        <v>34</v>
      </c>
      <c r="L2610" s="6">
        <v>100</v>
      </c>
      <c r="M2610" s="6">
        <v>0</v>
      </c>
      <c r="N2610" s="6">
        <v>-100</v>
      </c>
      <c r="O2610" s="6">
        <v>20410.919999999998</v>
      </c>
      <c r="P2610" s="7">
        <v>0</v>
      </c>
      <c r="Q2610" s="6">
        <v>0</v>
      </c>
    </row>
    <row r="2611" spans="1:17">
      <c r="A2611">
        <v>2610</v>
      </c>
      <c r="B2611" s="5">
        <v>45898</v>
      </c>
      <c r="C2611" t="s">
        <v>916</v>
      </c>
      <c r="D2611" t="s">
        <v>917</v>
      </c>
      <c r="E2611" t="s">
        <v>918</v>
      </c>
      <c r="F2611">
        <v>19</v>
      </c>
      <c r="G2611" t="s">
        <v>1857</v>
      </c>
      <c r="H2611" t="s">
        <v>929</v>
      </c>
      <c r="I2611" t="s">
        <v>22</v>
      </c>
      <c r="J2611" t="s">
        <v>67</v>
      </c>
      <c r="K2611" t="s">
        <v>34</v>
      </c>
      <c r="L2611" s="6">
        <v>200</v>
      </c>
      <c r="M2611" s="6">
        <v>0</v>
      </c>
      <c r="N2611" s="6">
        <v>-200</v>
      </c>
      <c r="O2611" s="6">
        <v>20210.919999999998</v>
      </c>
      <c r="P2611" s="7">
        <v>0</v>
      </c>
      <c r="Q2611" s="6">
        <v>0</v>
      </c>
    </row>
    <row r="2612" spans="1:17">
      <c r="A2612">
        <v>2611</v>
      </c>
      <c r="B2612" s="5">
        <v>45898</v>
      </c>
      <c r="C2612" t="s">
        <v>916</v>
      </c>
      <c r="D2612" t="s">
        <v>917</v>
      </c>
      <c r="E2612" t="s">
        <v>918</v>
      </c>
      <c r="F2612">
        <v>19</v>
      </c>
      <c r="G2612" t="s">
        <v>1858</v>
      </c>
      <c r="H2612" t="s">
        <v>929</v>
      </c>
      <c r="I2612" t="s">
        <v>22</v>
      </c>
      <c r="J2612" t="s">
        <v>67</v>
      </c>
      <c r="K2612" t="s">
        <v>34</v>
      </c>
      <c r="L2612" s="6">
        <v>90</v>
      </c>
      <c r="M2612" s="6">
        <v>0</v>
      </c>
      <c r="N2612" s="6">
        <v>-90</v>
      </c>
      <c r="O2612" s="6">
        <v>20120.919999999998</v>
      </c>
      <c r="P2612" s="7">
        <v>0</v>
      </c>
      <c r="Q2612" s="6">
        <v>0</v>
      </c>
    </row>
    <row r="2613" spans="1:17">
      <c r="A2613">
        <v>2612</v>
      </c>
      <c r="B2613" s="5">
        <v>45898</v>
      </c>
      <c r="C2613" t="s">
        <v>916</v>
      </c>
      <c r="D2613" t="s">
        <v>917</v>
      </c>
      <c r="E2613" t="s">
        <v>918</v>
      </c>
      <c r="F2613">
        <v>19</v>
      </c>
      <c r="G2613" t="s">
        <v>1859</v>
      </c>
      <c r="H2613" t="s">
        <v>929</v>
      </c>
      <c r="I2613" t="s">
        <v>22</v>
      </c>
      <c r="J2613" t="s">
        <v>67</v>
      </c>
      <c r="K2613" t="s">
        <v>34</v>
      </c>
      <c r="L2613" s="6">
        <v>100</v>
      </c>
      <c r="M2613" s="6">
        <v>0</v>
      </c>
      <c r="N2613" s="6">
        <v>-100</v>
      </c>
      <c r="O2613" s="6">
        <v>20020.919999999998</v>
      </c>
      <c r="P2613" s="7">
        <v>0</v>
      </c>
      <c r="Q2613" s="6">
        <v>0</v>
      </c>
    </row>
    <row r="2614" spans="1:17">
      <c r="A2614">
        <v>2613</v>
      </c>
      <c r="B2614" s="5">
        <v>45898</v>
      </c>
      <c r="C2614" t="s">
        <v>916</v>
      </c>
      <c r="D2614" t="s">
        <v>917</v>
      </c>
      <c r="E2614" t="s">
        <v>918</v>
      </c>
      <c r="F2614">
        <v>19</v>
      </c>
      <c r="G2614" t="s">
        <v>1860</v>
      </c>
      <c r="H2614" t="s">
        <v>66</v>
      </c>
      <c r="I2614" t="s">
        <v>22</v>
      </c>
      <c r="J2614" t="s">
        <v>67</v>
      </c>
      <c r="K2614" t="s">
        <v>34</v>
      </c>
      <c r="L2614" s="6">
        <v>150</v>
      </c>
      <c r="M2614" s="6">
        <v>0</v>
      </c>
      <c r="N2614" s="6">
        <v>-150</v>
      </c>
      <c r="O2614" s="6">
        <v>19870.919999999998</v>
      </c>
      <c r="P2614" s="7">
        <v>0</v>
      </c>
      <c r="Q2614" s="6">
        <v>0</v>
      </c>
    </row>
    <row r="2615" spans="1:17">
      <c r="A2615">
        <v>2614</v>
      </c>
      <c r="B2615" s="5">
        <v>45898</v>
      </c>
      <c r="C2615" t="s">
        <v>916</v>
      </c>
      <c r="D2615" t="s">
        <v>917</v>
      </c>
      <c r="E2615" t="s">
        <v>918</v>
      </c>
      <c r="F2615">
        <v>19</v>
      </c>
      <c r="G2615" t="s">
        <v>1861</v>
      </c>
      <c r="H2615" t="s">
        <v>929</v>
      </c>
      <c r="I2615" t="s">
        <v>22</v>
      </c>
      <c r="J2615" t="s">
        <v>67</v>
      </c>
      <c r="K2615" t="s">
        <v>34</v>
      </c>
      <c r="L2615" s="6">
        <v>100</v>
      </c>
      <c r="M2615" s="6">
        <v>0</v>
      </c>
      <c r="N2615" s="6">
        <v>-100</v>
      </c>
      <c r="O2615" s="6">
        <v>19770.919999999998</v>
      </c>
      <c r="P2615" s="7">
        <v>0</v>
      </c>
      <c r="Q2615" s="6">
        <v>0</v>
      </c>
    </row>
    <row r="2616" spans="1:17">
      <c r="A2616">
        <v>2615</v>
      </c>
      <c r="B2616" s="5">
        <v>45898</v>
      </c>
      <c r="C2616" t="s">
        <v>916</v>
      </c>
      <c r="D2616" t="s">
        <v>917</v>
      </c>
      <c r="E2616" t="s">
        <v>918</v>
      </c>
      <c r="F2616">
        <v>19</v>
      </c>
      <c r="G2616" t="s">
        <v>1862</v>
      </c>
      <c r="H2616" t="s">
        <v>929</v>
      </c>
      <c r="I2616" t="s">
        <v>22</v>
      </c>
      <c r="J2616" t="s">
        <v>67</v>
      </c>
      <c r="K2616" t="s">
        <v>34</v>
      </c>
      <c r="L2616" s="6">
        <v>2990.46</v>
      </c>
      <c r="M2616" s="6">
        <v>0</v>
      </c>
      <c r="N2616" s="6">
        <v>-2990.46</v>
      </c>
      <c r="O2616" s="6">
        <v>16780.46</v>
      </c>
      <c r="P2616" s="7">
        <v>0</v>
      </c>
      <c r="Q2616" s="6">
        <v>0</v>
      </c>
    </row>
    <row r="2617" spans="1:17">
      <c r="A2617">
        <v>2616</v>
      </c>
      <c r="B2617" s="5">
        <v>45898</v>
      </c>
      <c r="C2617" t="s">
        <v>916</v>
      </c>
      <c r="D2617" t="s">
        <v>917</v>
      </c>
      <c r="E2617" t="s">
        <v>918</v>
      </c>
      <c r="F2617">
        <v>19</v>
      </c>
      <c r="G2617" t="s">
        <v>1863</v>
      </c>
      <c r="H2617" t="s">
        <v>929</v>
      </c>
      <c r="I2617" t="s">
        <v>22</v>
      </c>
      <c r="J2617" t="s">
        <v>67</v>
      </c>
      <c r="K2617" t="s">
        <v>34</v>
      </c>
      <c r="L2617" s="6">
        <v>3000</v>
      </c>
      <c r="M2617" s="6">
        <v>0</v>
      </c>
      <c r="N2617" s="6">
        <v>-3000</v>
      </c>
      <c r="O2617" s="6">
        <v>13780.46</v>
      </c>
      <c r="P2617" s="7">
        <v>0</v>
      </c>
      <c r="Q2617" s="6">
        <v>0</v>
      </c>
    </row>
    <row r="2618" spans="1:17">
      <c r="A2618">
        <v>2617</v>
      </c>
      <c r="B2618" s="5">
        <v>45898</v>
      </c>
      <c r="C2618" t="s">
        <v>916</v>
      </c>
      <c r="D2618" t="s">
        <v>917</v>
      </c>
      <c r="E2618" t="s">
        <v>918</v>
      </c>
      <c r="F2618">
        <v>19</v>
      </c>
      <c r="G2618" t="s">
        <v>1864</v>
      </c>
      <c r="H2618" t="s">
        <v>929</v>
      </c>
      <c r="I2618" t="s">
        <v>22</v>
      </c>
      <c r="J2618" t="s">
        <v>67</v>
      </c>
      <c r="K2618" t="s">
        <v>34</v>
      </c>
      <c r="L2618" s="6">
        <v>1319.25</v>
      </c>
      <c r="M2618" s="6">
        <v>0</v>
      </c>
      <c r="N2618" s="6">
        <v>-1319.25</v>
      </c>
      <c r="O2618" s="6">
        <v>12461.21</v>
      </c>
      <c r="P2618" s="7">
        <v>0</v>
      </c>
      <c r="Q2618" s="6">
        <v>0</v>
      </c>
    </row>
    <row r="2619" spans="1:17">
      <c r="A2619">
        <v>2618</v>
      </c>
      <c r="B2619" s="5">
        <v>45898</v>
      </c>
      <c r="C2619" t="s">
        <v>916</v>
      </c>
      <c r="D2619" t="s">
        <v>917</v>
      </c>
      <c r="E2619" t="s">
        <v>918</v>
      </c>
      <c r="F2619">
        <v>20</v>
      </c>
      <c r="G2619" t="s">
        <v>1865</v>
      </c>
      <c r="H2619" t="s">
        <v>66</v>
      </c>
      <c r="I2619" t="s">
        <v>22</v>
      </c>
      <c r="J2619" t="s">
        <v>67</v>
      </c>
      <c r="K2619" t="s">
        <v>34</v>
      </c>
      <c r="L2619" s="6">
        <v>514.70000000000005</v>
      </c>
      <c r="M2619" s="6">
        <v>0</v>
      </c>
      <c r="N2619" s="6">
        <v>-514.70000000000005</v>
      </c>
      <c r="O2619" s="6">
        <v>11946.51</v>
      </c>
      <c r="P2619" s="7">
        <v>0</v>
      </c>
      <c r="Q2619" s="6">
        <v>0</v>
      </c>
    </row>
    <row r="2620" spans="1:17">
      <c r="A2620">
        <v>2619</v>
      </c>
      <c r="B2620" s="5">
        <v>45898</v>
      </c>
      <c r="C2620" t="s">
        <v>916</v>
      </c>
      <c r="D2620" t="s">
        <v>917</v>
      </c>
      <c r="E2620" t="s">
        <v>918</v>
      </c>
      <c r="F2620">
        <v>20</v>
      </c>
      <c r="G2620" t="s">
        <v>1866</v>
      </c>
      <c r="H2620" t="s">
        <v>929</v>
      </c>
      <c r="I2620" t="s">
        <v>22</v>
      </c>
      <c r="J2620" t="s">
        <v>67</v>
      </c>
      <c r="K2620" t="s">
        <v>34</v>
      </c>
      <c r="L2620" s="6">
        <v>420</v>
      </c>
      <c r="M2620" s="6">
        <v>0</v>
      </c>
      <c r="N2620" s="6">
        <v>-420</v>
      </c>
      <c r="O2620" s="6">
        <v>11526.51</v>
      </c>
      <c r="P2620" s="7">
        <v>0</v>
      </c>
      <c r="Q2620" s="6">
        <v>0</v>
      </c>
    </row>
    <row r="2621" spans="1:17">
      <c r="A2621">
        <v>2620</v>
      </c>
      <c r="B2621" s="5">
        <v>45898</v>
      </c>
      <c r="C2621" t="s">
        <v>916</v>
      </c>
      <c r="D2621" t="s">
        <v>917</v>
      </c>
      <c r="E2621" t="s">
        <v>918</v>
      </c>
      <c r="F2621">
        <v>20</v>
      </c>
      <c r="G2621" t="s">
        <v>1867</v>
      </c>
      <c r="H2621" t="s">
        <v>66</v>
      </c>
      <c r="I2621" t="s">
        <v>22</v>
      </c>
      <c r="J2621" t="s">
        <v>67</v>
      </c>
      <c r="K2621" t="s">
        <v>34</v>
      </c>
      <c r="L2621" s="6">
        <v>253.6</v>
      </c>
      <c r="M2621" s="6">
        <v>0</v>
      </c>
      <c r="N2621" s="6">
        <v>-253.6</v>
      </c>
      <c r="O2621" s="6">
        <v>11272.91</v>
      </c>
      <c r="P2621" s="7">
        <v>0</v>
      </c>
      <c r="Q2621" s="6">
        <v>0</v>
      </c>
    </row>
    <row r="2622" spans="1:17">
      <c r="A2622">
        <v>2621</v>
      </c>
      <c r="B2622" s="5">
        <v>45898</v>
      </c>
      <c r="C2622" t="s">
        <v>916</v>
      </c>
      <c r="D2622" t="s">
        <v>917</v>
      </c>
      <c r="E2622" t="s">
        <v>918</v>
      </c>
      <c r="F2622">
        <v>20</v>
      </c>
      <c r="G2622" t="s">
        <v>1868</v>
      </c>
      <c r="H2622" t="s">
        <v>929</v>
      </c>
      <c r="I2622" t="s">
        <v>22</v>
      </c>
      <c r="J2622" t="s">
        <v>67</v>
      </c>
      <c r="K2622" t="s">
        <v>34</v>
      </c>
      <c r="L2622" s="6">
        <v>500</v>
      </c>
      <c r="M2622" s="6">
        <v>0</v>
      </c>
      <c r="N2622" s="6">
        <v>-500</v>
      </c>
      <c r="O2622" s="6">
        <v>10772.91</v>
      </c>
      <c r="P2622" s="7">
        <v>0</v>
      </c>
      <c r="Q2622" s="6">
        <v>0</v>
      </c>
    </row>
    <row r="2623" spans="1:17">
      <c r="A2623">
        <v>2622</v>
      </c>
      <c r="B2623" s="5">
        <v>45898</v>
      </c>
      <c r="C2623" t="s">
        <v>916</v>
      </c>
      <c r="D2623" t="s">
        <v>917</v>
      </c>
      <c r="E2623" t="s">
        <v>918</v>
      </c>
      <c r="F2623">
        <v>20</v>
      </c>
      <c r="G2623" t="s">
        <v>1869</v>
      </c>
      <c r="H2623" t="s">
        <v>66</v>
      </c>
      <c r="I2623" t="s">
        <v>22</v>
      </c>
      <c r="J2623" t="s">
        <v>67</v>
      </c>
      <c r="K2623" t="s">
        <v>34</v>
      </c>
      <c r="L2623" s="6">
        <v>100</v>
      </c>
      <c r="M2623" s="6">
        <v>0</v>
      </c>
      <c r="N2623" s="6">
        <v>-100</v>
      </c>
      <c r="O2623" s="6">
        <v>10672.91</v>
      </c>
      <c r="P2623" s="7">
        <v>0</v>
      </c>
      <c r="Q2623" s="6">
        <v>0</v>
      </c>
    </row>
    <row r="2624" spans="1:17">
      <c r="A2624">
        <v>2623</v>
      </c>
      <c r="B2624" s="5">
        <v>45898</v>
      </c>
      <c r="C2624" t="s">
        <v>916</v>
      </c>
      <c r="D2624" t="s">
        <v>917</v>
      </c>
      <c r="E2624" t="s">
        <v>918</v>
      </c>
      <c r="F2624">
        <v>20</v>
      </c>
      <c r="G2624" t="s">
        <v>1870</v>
      </c>
      <c r="H2624" t="s">
        <v>66</v>
      </c>
      <c r="I2624" t="s">
        <v>22</v>
      </c>
      <c r="J2624" t="s">
        <v>67</v>
      </c>
      <c r="K2624" t="s">
        <v>34</v>
      </c>
      <c r="L2624" s="6">
        <v>103</v>
      </c>
      <c r="M2624" s="6">
        <v>0</v>
      </c>
      <c r="N2624" s="6">
        <v>-103</v>
      </c>
      <c r="O2624" s="6">
        <v>10569.91</v>
      </c>
      <c r="P2624" s="7">
        <v>0</v>
      </c>
      <c r="Q2624" s="6">
        <v>0</v>
      </c>
    </row>
    <row r="2625" spans="1:17">
      <c r="A2625">
        <v>2624</v>
      </c>
      <c r="B2625" s="5">
        <v>45898</v>
      </c>
      <c r="C2625" t="s">
        <v>916</v>
      </c>
      <c r="D2625" t="s">
        <v>917</v>
      </c>
      <c r="E2625" t="s">
        <v>918</v>
      </c>
      <c r="F2625">
        <v>20</v>
      </c>
      <c r="G2625" t="s">
        <v>1871</v>
      </c>
      <c r="H2625" t="s">
        <v>929</v>
      </c>
      <c r="I2625" t="s">
        <v>22</v>
      </c>
      <c r="J2625" t="s">
        <v>67</v>
      </c>
      <c r="K2625" t="s">
        <v>34</v>
      </c>
      <c r="L2625" s="6">
        <v>200</v>
      </c>
      <c r="M2625" s="6">
        <v>0</v>
      </c>
      <c r="N2625" s="6">
        <v>-200</v>
      </c>
      <c r="O2625" s="6">
        <v>10369.91</v>
      </c>
      <c r="P2625" s="7">
        <v>0</v>
      </c>
      <c r="Q2625" s="6">
        <v>0</v>
      </c>
    </row>
    <row r="2626" spans="1:17">
      <c r="A2626">
        <v>2625</v>
      </c>
      <c r="B2626" s="5">
        <v>45898</v>
      </c>
      <c r="C2626" t="s">
        <v>916</v>
      </c>
      <c r="D2626" t="s">
        <v>917</v>
      </c>
      <c r="E2626" t="s">
        <v>918</v>
      </c>
      <c r="F2626">
        <v>20</v>
      </c>
      <c r="G2626" t="s">
        <v>1872</v>
      </c>
      <c r="H2626" t="s">
        <v>66</v>
      </c>
      <c r="I2626" t="s">
        <v>22</v>
      </c>
      <c r="J2626" t="s">
        <v>67</v>
      </c>
      <c r="K2626" t="s">
        <v>34</v>
      </c>
      <c r="L2626" s="6">
        <v>200</v>
      </c>
      <c r="M2626" s="6">
        <v>0</v>
      </c>
      <c r="N2626" s="6">
        <v>-200</v>
      </c>
      <c r="O2626" s="6">
        <v>10169.91</v>
      </c>
      <c r="P2626" s="7">
        <v>0</v>
      </c>
      <c r="Q2626" s="6">
        <v>0</v>
      </c>
    </row>
    <row r="2627" spans="1:17">
      <c r="A2627">
        <v>2626</v>
      </c>
      <c r="B2627" s="5">
        <v>45898</v>
      </c>
      <c r="C2627" t="s">
        <v>916</v>
      </c>
      <c r="D2627" t="s">
        <v>917</v>
      </c>
      <c r="E2627" t="s">
        <v>918</v>
      </c>
      <c r="F2627">
        <v>20</v>
      </c>
      <c r="G2627" t="s">
        <v>1873</v>
      </c>
      <c r="H2627" t="s">
        <v>66</v>
      </c>
      <c r="I2627" t="s">
        <v>22</v>
      </c>
      <c r="J2627" t="s">
        <v>67</v>
      </c>
      <c r="K2627" t="s">
        <v>34</v>
      </c>
      <c r="L2627" s="6">
        <v>300</v>
      </c>
      <c r="M2627" s="6">
        <v>0</v>
      </c>
      <c r="N2627" s="6">
        <v>-300</v>
      </c>
      <c r="O2627" s="6">
        <v>9869.91</v>
      </c>
      <c r="P2627" s="7">
        <v>0</v>
      </c>
      <c r="Q2627" s="6">
        <v>0</v>
      </c>
    </row>
    <row r="2628" spans="1:17">
      <c r="A2628">
        <v>2627</v>
      </c>
      <c r="B2628" s="5">
        <v>45898</v>
      </c>
      <c r="C2628" t="s">
        <v>916</v>
      </c>
      <c r="D2628" t="s">
        <v>917</v>
      </c>
      <c r="E2628" t="s">
        <v>918</v>
      </c>
      <c r="F2628">
        <v>20</v>
      </c>
      <c r="G2628" t="s">
        <v>1874</v>
      </c>
      <c r="H2628" t="s">
        <v>929</v>
      </c>
      <c r="I2628" t="s">
        <v>22</v>
      </c>
      <c r="J2628" t="s">
        <v>67</v>
      </c>
      <c r="K2628" t="s">
        <v>34</v>
      </c>
      <c r="L2628" s="6">
        <v>500</v>
      </c>
      <c r="M2628" s="6">
        <v>0</v>
      </c>
      <c r="N2628" s="6">
        <v>-500</v>
      </c>
      <c r="O2628" s="6">
        <v>9369.91</v>
      </c>
      <c r="P2628" s="7">
        <v>0</v>
      </c>
      <c r="Q2628" s="6">
        <v>0</v>
      </c>
    </row>
    <row r="2629" spans="1:17">
      <c r="A2629">
        <v>2628</v>
      </c>
      <c r="B2629" s="5">
        <v>45898</v>
      </c>
      <c r="C2629" t="s">
        <v>916</v>
      </c>
      <c r="D2629" t="s">
        <v>917</v>
      </c>
      <c r="E2629" t="s">
        <v>918</v>
      </c>
      <c r="F2629">
        <v>20</v>
      </c>
      <c r="G2629" t="s">
        <v>1875</v>
      </c>
      <c r="H2629" t="s">
        <v>929</v>
      </c>
      <c r="I2629" t="s">
        <v>22</v>
      </c>
      <c r="J2629" t="s">
        <v>67</v>
      </c>
      <c r="K2629" t="s">
        <v>34</v>
      </c>
      <c r="L2629" s="6">
        <v>820.91</v>
      </c>
      <c r="M2629" s="6">
        <v>0</v>
      </c>
      <c r="N2629" s="6">
        <v>-820.91</v>
      </c>
      <c r="O2629" s="6">
        <v>8549</v>
      </c>
      <c r="P2629" s="7">
        <v>0</v>
      </c>
      <c r="Q2629" s="6">
        <v>0</v>
      </c>
    </row>
    <row r="2630" spans="1:17">
      <c r="A2630">
        <v>2629</v>
      </c>
      <c r="B2630" s="5">
        <v>45898</v>
      </c>
      <c r="C2630" t="s">
        <v>916</v>
      </c>
      <c r="D2630" t="s">
        <v>917</v>
      </c>
      <c r="E2630" t="s">
        <v>918</v>
      </c>
      <c r="F2630">
        <v>20</v>
      </c>
      <c r="G2630" t="s">
        <v>1876</v>
      </c>
      <c r="H2630" t="s">
        <v>66</v>
      </c>
      <c r="I2630" t="s">
        <v>22</v>
      </c>
      <c r="J2630" t="s">
        <v>67</v>
      </c>
      <c r="K2630" t="s">
        <v>34</v>
      </c>
      <c r="L2630" s="6">
        <v>883.65</v>
      </c>
      <c r="M2630" s="6">
        <v>0</v>
      </c>
      <c r="N2630" s="6">
        <v>-883.65</v>
      </c>
      <c r="O2630" s="6">
        <v>7665.35</v>
      </c>
      <c r="P2630" s="7">
        <v>0</v>
      </c>
      <c r="Q2630" s="6">
        <v>0</v>
      </c>
    </row>
    <row r="2631" spans="1:17">
      <c r="A2631">
        <v>2630</v>
      </c>
      <c r="B2631" s="5">
        <v>45898</v>
      </c>
      <c r="C2631" t="s">
        <v>916</v>
      </c>
      <c r="D2631" t="s">
        <v>917</v>
      </c>
      <c r="E2631" t="s">
        <v>918</v>
      </c>
      <c r="F2631">
        <v>20</v>
      </c>
      <c r="G2631" t="s">
        <v>1877</v>
      </c>
      <c r="H2631" t="s">
        <v>929</v>
      </c>
      <c r="I2631" t="s">
        <v>22</v>
      </c>
      <c r="J2631" t="s">
        <v>67</v>
      </c>
      <c r="K2631" t="s">
        <v>34</v>
      </c>
      <c r="L2631" s="6">
        <v>1026.03</v>
      </c>
      <c r="M2631" s="6">
        <v>0</v>
      </c>
      <c r="N2631" s="6">
        <v>-1026.03</v>
      </c>
      <c r="O2631" s="6">
        <v>6639.32</v>
      </c>
      <c r="P2631" s="7">
        <v>0</v>
      </c>
      <c r="Q2631" s="6">
        <v>0</v>
      </c>
    </row>
    <row r="2632" spans="1:17">
      <c r="A2632">
        <v>2631</v>
      </c>
      <c r="B2632" s="5">
        <v>45898</v>
      </c>
      <c r="C2632" t="s">
        <v>916</v>
      </c>
      <c r="D2632" t="s">
        <v>917</v>
      </c>
      <c r="E2632" t="s">
        <v>918</v>
      </c>
      <c r="F2632">
        <v>20</v>
      </c>
      <c r="G2632" t="s">
        <v>1878</v>
      </c>
      <c r="H2632" t="s">
        <v>929</v>
      </c>
      <c r="I2632" t="s">
        <v>22</v>
      </c>
      <c r="J2632" t="s">
        <v>67</v>
      </c>
      <c r="K2632" t="s">
        <v>34</v>
      </c>
      <c r="L2632" s="6">
        <v>1738.35</v>
      </c>
      <c r="M2632" s="6">
        <v>0</v>
      </c>
      <c r="N2632" s="6">
        <v>-1738.35</v>
      </c>
      <c r="O2632" s="6">
        <v>4900.97</v>
      </c>
      <c r="P2632" s="7">
        <v>0</v>
      </c>
      <c r="Q2632" s="6">
        <v>0</v>
      </c>
    </row>
    <row r="2633" spans="1:17">
      <c r="A2633">
        <v>2632</v>
      </c>
      <c r="B2633" s="5">
        <v>45898</v>
      </c>
      <c r="C2633" t="s">
        <v>916</v>
      </c>
      <c r="D2633" t="s">
        <v>917</v>
      </c>
      <c r="E2633" t="s">
        <v>918</v>
      </c>
      <c r="F2633">
        <v>20</v>
      </c>
      <c r="G2633" t="s">
        <v>1879</v>
      </c>
      <c r="H2633" t="s">
        <v>1880</v>
      </c>
      <c r="I2633" t="s">
        <v>16</v>
      </c>
      <c r="J2633" t="s">
        <v>52</v>
      </c>
      <c r="K2633" t="s">
        <v>35</v>
      </c>
      <c r="L2633" s="6">
        <v>0</v>
      </c>
      <c r="M2633" s="6">
        <v>140</v>
      </c>
      <c r="N2633" s="6">
        <v>140</v>
      </c>
      <c r="O2633" s="6">
        <v>5040.97</v>
      </c>
      <c r="P2633" s="7">
        <v>0</v>
      </c>
      <c r="Q2633" s="6">
        <v>0</v>
      </c>
    </row>
    <row r="2634" spans="1:17">
      <c r="A2634">
        <v>2633</v>
      </c>
      <c r="B2634" s="5">
        <v>45898</v>
      </c>
      <c r="C2634" t="s">
        <v>916</v>
      </c>
      <c r="D2634" t="s">
        <v>917</v>
      </c>
      <c r="E2634" t="s">
        <v>918</v>
      </c>
      <c r="F2634">
        <v>20</v>
      </c>
      <c r="G2634" t="s">
        <v>1881</v>
      </c>
      <c r="I2634" t="s">
        <v>16</v>
      </c>
      <c r="J2634" t="s">
        <v>52</v>
      </c>
      <c r="K2634" t="s">
        <v>35</v>
      </c>
      <c r="L2634" s="6">
        <v>0</v>
      </c>
      <c r="M2634" s="6">
        <v>200</v>
      </c>
      <c r="N2634" s="6">
        <v>200</v>
      </c>
      <c r="O2634" s="6">
        <v>5240.97</v>
      </c>
      <c r="P2634" s="7">
        <v>0</v>
      </c>
      <c r="Q2634" s="6">
        <v>0</v>
      </c>
    </row>
    <row r="2635" spans="1:17">
      <c r="A2635">
        <v>2634</v>
      </c>
      <c r="B2635" s="5">
        <v>45898</v>
      </c>
      <c r="C2635" t="s">
        <v>916</v>
      </c>
      <c r="D2635" t="s">
        <v>917</v>
      </c>
      <c r="E2635" t="s">
        <v>918</v>
      </c>
      <c r="F2635">
        <v>20</v>
      </c>
      <c r="G2635" t="s">
        <v>1882</v>
      </c>
      <c r="I2635" t="s">
        <v>16</v>
      </c>
      <c r="J2635" t="s">
        <v>52</v>
      </c>
      <c r="K2635" t="s">
        <v>35</v>
      </c>
      <c r="L2635" s="6">
        <v>0</v>
      </c>
      <c r="M2635" s="6">
        <v>1300</v>
      </c>
      <c r="N2635" s="6">
        <v>1300</v>
      </c>
      <c r="O2635" s="6">
        <v>6540.97</v>
      </c>
      <c r="P2635" s="7">
        <v>0</v>
      </c>
      <c r="Q2635" s="6">
        <v>0</v>
      </c>
    </row>
    <row r="2636" spans="1:17">
      <c r="A2636">
        <v>2635</v>
      </c>
      <c r="B2636" s="5">
        <v>45899</v>
      </c>
      <c r="C2636" t="s">
        <v>916</v>
      </c>
      <c r="D2636" t="s">
        <v>917</v>
      </c>
      <c r="E2636" t="s">
        <v>918</v>
      </c>
      <c r="F2636">
        <v>20</v>
      </c>
      <c r="G2636" t="s">
        <v>1883</v>
      </c>
      <c r="I2636" t="s">
        <v>22</v>
      </c>
      <c r="J2636" t="s">
        <v>67</v>
      </c>
      <c r="K2636" t="s">
        <v>34</v>
      </c>
      <c r="L2636" s="6">
        <v>15000</v>
      </c>
      <c r="M2636" s="6">
        <v>0</v>
      </c>
      <c r="N2636" s="6">
        <v>-15000</v>
      </c>
      <c r="O2636" s="6">
        <v>8459.0300000000007</v>
      </c>
      <c r="P2636" s="7">
        <v>0</v>
      </c>
      <c r="Q2636" s="6">
        <v>0</v>
      </c>
    </row>
    <row r="2637" spans="1:17">
      <c r="A2637">
        <v>2636</v>
      </c>
      <c r="B2637" s="5">
        <v>45899</v>
      </c>
      <c r="C2637" t="s">
        <v>916</v>
      </c>
      <c r="D2637" t="s">
        <v>917</v>
      </c>
      <c r="E2637" t="s">
        <v>918</v>
      </c>
      <c r="F2637">
        <v>20</v>
      </c>
      <c r="G2637" t="s">
        <v>1884</v>
      </c>
      <c r="I2637" t="s">
        <v>22</v>
      </c>
      <c r="J2637" t="s">
        <v>67</v>
      </c>
      <c r="K2637" t="s">
        <v>34</v>
      </c>
      <c r="L2637" s="6">
        <v>88000</v>
      </c>
      <c r="M2637" s="6">
        <v>0</v>
      </c>
      <c r="N2637" s="6">
        <v>-88000</v>
      </c>
      <c r="O2637" s="6">
        <v>96459.03</v>
      </c>
      <c r="P2637" s="7">
        <v>0</v>
      </c>
      <c r="Q2637" s="6">
        <v>0</v>
      </c>
    </row>
    <row r="2638" spans="1:17">
      <c r="A2638">
        <v>2637</v>
      </c>
      <c r="B2638" s="5">
        <v>45899</v>
      </c>
      <c r="C2638" t="s">
        <v>916</v>
      </c>
      <c r="D2638" t="s">
        <v>917</v>
      </c>
      <c r="E2638" t="s">
        <v>918</v>
      </c>
      <c r="F2638">
        <v>20</v>
      </c>
      <c r="G2638" t="s">
        <v>1885</v>
      </c>
      <c r="H2638" t="s">
        <v>929</v>
      </c>
      <c r="I2638" t="s">
        <v>22</v>
      </c>
      <c r="J2638" t="s">
        <v>67</v>
      </c>
      <c r="K2638" t="s">
        <v>34</v>
      </c>
      <c r="L2638" s="6">
        <v>100</v>
      </c>
      <c r="M2638" s="6">
        <v>0</v>
      </c>
      <c r="N2638" s="6">
        <v>-100</v>
      </c>
      <c r="O2638" s="6">
        <v>96559.03</v>
      </c>
      <c r="P2638" s="7">
        <v>0</v>
      </c>
      <c r="Q2638" s="6">
        <v>0</v>
      </c>
    </row>
    <row r="2639" spans="1:17">
      <c r="A2639">
        <v>2638</v>
      </c>
      <c r="B2639" s="5">
        <v>45899</v>
      </c>
      <c r="C2639" t="s">
        <v>916</v>
      </c>
      <c r="D2639" t="s">
        <v>917</v>
      </c>
      <c r="E2639" t="s">
        <v>918</v>
      </c>
      <c r="F2639">
        <v>20</v>
      </c>
      <c r="G2639" t="s">
        <v>1886</v>
      </c>
      <c r="H2639" t="s">
        <v>929</v>
      </c>
      <c r="I2639" t="s">
        <v>22</v>
      </c>
      <c r="J2639" t="s">
        <v>67</v>
      </c>
      <c r="K2639" t="s">
        <v>34</v>
      </c>
      <c r="L2639" s="6">
        <v>140</v>
      </c>
      <c r="M2639" s="6">
        <v>0</v>
      </c>
      <c r="N2639" s="6">
        <v>-140</v>
      </c>
      <c r="O2639" s="6">
        <v>96699.03</v>
      </c>
      <c r="P2639" s="7">
        <v>0</v>
      </c>
      <c r="Q2639" s="6">
        <v>0</v>
      </c>
    </row>
    <row r="2640" spans="1:17">
      <c r="A2640">
        <v>2639</v>
      </c>
      <c r="B2640" s="5">
        <v>45899</v>
      </c>
      <c r="C2640" t="s">
        <v>916</v>
      </c>
      <c r="D2640" t="s">
        <v>917</v>
      </c>
      <c r="E2640" t="s">
        <v>918</v>
      </c>
      <c r="F2640">
        <v>20</v>
      </c>
      <c r="G2640" t="s">
        <v>1887</v>
      </c>
      <c r="H2640" t="s">
        <v>66</v>
      </c>
      <c r="I2640" t="s">
        <v>22</v>
      </c>
      <c r="J2640" t="s">
        <v>67</v>
      </c>
      <c r="K2640" t="s">
        <v>34</v>
      </c>
      <c r="L2640" s="6">
        <v>160</v>
      </c>
      <c r="M2640" s="6">
        <v>0</v>
      </c>
      <c r="N2640" s="6">
        <v>-160</v>
      </c>
      <c r="O2640" s="6">
        <v>96859.03</v>
      </c>
      <c r="P2640" s="7">
        <v>0</v>
      </c>
      <c r="Q2640" s="6">
        <v>0</v>
      </c>
    </row>
    <row r="2641" spans="1:18">
      <c r="A2641">
        <v>2640</v>
      </c>
      <c r="B2641" s="5">
        <v>45899</v>
      </c>
      <c r="C2641" t="s">
        <v>916</v>
      </c>
      <c r="D2641" t="s">
        <v>917</v>
      </c>
      <c r="E2641" t="s">
        <v>918</v>
      </c>
      <c r="F2641">
        <v>20</v>
      </c>
      <c r="G2641" t="s">
        <v>1888</v>
      </c>
      <c r="H2641" t="s">
        <v>66</v>
      </c>
      <c r="I2641" t="s">
        <v>22</v>
      </c>
      <c r="J2641" t="s">
        <v>67</v>
      </c>
      <c r="K2641" t="s">
        <v>34</v>
      </c>
      <c r="L2641" s="6">
        <v>199.71</v>
      </c>
      <c r="M2641" s="6">
        <v>0</v>
      </c>
      <c r="N2641" s="6">
        <v>-199.71</v>
      </c>
      <c r="O2641" s="6">
        <v>97058.74</v>
      </c>
      <c r="P2641" s="7">
        <v>0</v>
      </c>
      <c r="Q2641" s="6">
        <v>0</v>
      </c>
    </row>
    <row r="2642" spans="1:18">
      <c r="A2642">
        <v>2641</v>
      </c>
      <c r="B2642" s="5">
        <v>45899</v>
      </c>
      <c r="C2642" t="s">
        <v>916</v>
      </c>
      <c r="D2642" t="s">
        <v>917</v>
      </c>
      <c r="E2642" t="s">
        <v>918</v>
      </c>
      <c r="F2642">
        <v>20</v>
      </c>
      <c r="G2642" t="s">
        <v>1889</v>
      </c>
      <c r="H2642" t="s">
        <v>66</v>
      </c>
      <c r="I2642" t="s">
        <v>22</v>
      </c>
      <c r="J2642" t="s">
        <v>67</v>
      </c>
      <c r="K2642" t="s">
        <v>34</v>
      </c>
      <c r="L2642" s="6">
        <v>200</v>
      </c>
      <c r="M2642" s="6">
        <v>0</v>
      </c>
      <c r="N2642" s="6">
        <v>-200</v>
      </c>
      <c r="O2642" s="6">
        <v>97258.74</v>
      </c>
      <c r="P2642" s="7">
        <v>0</v>
      </c>
      <c r="Q2642" s="6">
        <v>0</v>
      </c>
    </row>
    <row r="2643" spans="1:18">
      <c r="A2643">
        <v>2642</v>
      </c>
      <c r="B2643" s="5">
        <v>45899</v>
      </c>
      <c r="C2643" t="s">
        <v>916</v>
      </c>
      <c r="D2643" t="s">
        <v>917</v>
      </c>
      <c r="E2643" t="s">
        <v>918</v>
      </c>
      <c r="F2643">
        <v>20</v>
      </c>
      <c r="G2643" t="s">
        <v>1890</v>
      </c>
      <c r="H2643" t="s">
        <v>66</v>
      </c>
      <c r="I2643" t="s">
        <v>22</v>
      </c>
      <c r="J2643" t="s">
        <v>67</v>
      </c>
      <c r="K2643" t="s">
        <v>34</v>
      </c>
      <c r="L2643" s="6">
        <v>200.39</v>
      </c>
      <c r="M2643" s="6">
        <v>0</v>
      </c>
      <c r="N2643" s="6">
        <v>-200.39</v>
      </c>
      <c r="O2643" s="6">
        <v>97459.13</v>
      </c>
      <c r="P2643" s="7">
        <v>0</v>
      </c>
      <c r="Q2643" s="6">
        <v>0</v>
      </c>
    </row>
    <row r="2644" spans="1:18">
      <c r="A2644">
        <v>2643</v>
      </c>
      <c r="B2644" s="5">
        <v>45899</v>
      </c>
      <c r="C2644" t="s">
        <v>916</v>
      </c>
      <c r="D2644" t="s">
        <v>917</v>
      </c>
      <c r="E2644" t="s">
        <v>918</v>
      </c>
      <c r="F2644">
        <v>20</v>
      </c>
      <c r="G2644" t="s">
        <v>1891</v>
      </c>
      <c r="H2644" t="s">
        <v>929</v>
      </c>
      <c r="I2644" t="s">
        <v>22</v>
      </c>
      <c r="J2644" t="s">
        <v>67</v>
      </c>
      <c r="K2644" t="s">
        <v>34</v>
      </c>
      <c r="L2644" s="6">
        <v>250</v>
      </c>
      <c r="M2644" s="6">
        <v>0</v>
      </c>
      <c r="N2644" s="6">
        <v>-250</v>
      </c>
      <c r="O2644" s="6">
        <v>97709.13</v>
      </c>
      <c r="P2644" s="7">
        <v>0</v>
      </c>
      <c r="Q2644" s="6">
        <v>0</v>
      </c>
    </row>
    <row r="2645" spans="1:18">
      <c r="A2645">
        <v>2644</v>
      </c>
      <c r="B2645" s="5">
        <v>45899</v>
      </c>
      <c r="C2645" t="s">
        <v>916</v>
      </c>
      <c r="D2645" t="s">
        <v>917</v>
      </c>
      <c r="E2645" t="s">
        <v>918</v>
      </c>
      <c r="F2645">
        <v>20</v>
      </c>
      <c r="G2645" t="s">
        <v>1892</v>
      </c>
      <c r="H2645" t="s">
        <v>66</v>
      </c>
      <c r="I2645" t="s">
        <v>22</v>
      </c>
      <c r="J2645" t="s">
        <v>67</v>
      </c>
      <c r="K2645" t="s">
        <v>34</v>
      </c>
      <c r="L2645" s="6">
        <v>300</v>
      </c>
      <c r="M2645" s="6">
        <v>0</v>
      </c>
      <c r="N2645" s="6">
        <v>-300</v>
      </c>
      <c r="O2645" s="6">
        <v>98009.13</v>
      </c>
      <c r="P2645" s="7">
        <v>0</v>
      </c>
      <c r="Q2645" s="6">
        <v>0</v>
      </c>
    </row>
    <row r="2646" spans="1:18">
      <c r="A2646">
        <v>2645</v>
      </c>
      <c r="B2646" s="5">
        <v>45899</v>
      </c>
      <c r="C2646" t="s">
        <v>916</v>
      </c>
      <c r="D2646" t="s">
        <v>917</v>
      </c>
      <c r="E2646" t="s">
        <v>918</v>
      </c>
      <c r="F2646">
        <v>20</v>
      </c>
      <c r="G2646" t="s">
        <v>1893</v>
      </c>
      <c r="H2646" t="s">
        <v>66</v>
      </c>
      <c r="I2646" t="s">
        <v>22</v>
      </c>
      <c r="J2646" t="s">
        <v>67</v>
      </c>
      <c r="K2646" t="s">
        <v>34</v>
      </c>
      <c r="L2646" s="6">
        <v>300</v>
      </c>
      <c r="M2646" s="6">
        <v>0</v>
      </c>
      <c r="N2646" s="6">
        <v>-300</v>
      </c>
      <c r="O2646" s="6">
        <v>98309.13</v>
      </c>
      <c r="P2646" s="7">
        <v>0</v>
      </c>
      <c r="Q2646" s="6">
        <v>0</v>
      </c>
    </row>
    <row r="2647" spans="1:18">
      <c r="A2647">
        <v>2646</v>
      </c>
      <c r="B2647" s="5">
        <v>45899</v>
      </c>
      <c r="C2647" t="s">
        <v>916</v>
      </c>
      <c r="D2647" t="s">
        <v>917</v>
      </c>
      <c r="E2647" t="s">
        <v>918</v>
      </c>
      <c r="F2647">
        <v>20</v>
      </c>
      <c r="G2647" t="s">
        <v>1894</v>
      </c>
      <c r="H2647" t="s">
        <v>929</v>
      </c>
      <c r="I2647" t="s">
        <v>22</v>
      </c>
      <c r="J2647" t="s">
        <v>67</v>
      </c>
      <c r="K2647" t="s">
        <v>34</v>
      </c>
      <c r="L2647" s="6">
        <v>1100</v>
      </c>
      <c r="M2647" s="6">
        <v>0</v>
      </c>
      <c r="N2647" s="6">
        <v>-1100</v>
      </c>
      <c r="O2647" s="6">
        <v>99409.13</v>
      </c>
      <c r="P2647" s="7">
        <v>0</v>
      </c>
      <c r="Q2647" s="6">
        <v>0</v>
      </c>
    </row>
    <row r="2648" spans="1:18">
      <c r="A2648">
        <v>2647</v>
      </c>
      <c r="B2648" s="5">
        <v>45899</v>
      </c>
      <c r="C2648" t="s">
        <v>916</v>
      </c>
      <c r="D2648" t="s">
        <v>917</v>
      </c>
      <c r="E2648" t="s">
        <v>918</v>
      </c>
      <c r="F2648">
        <v>20</v>
      </c>
      <c r="G2648" t="s">
        <v>1895</v>
      </c>
      <c r="I2648" t="s">
        <v>20</v>
      </c>
      <c r="J2648" t="s">
        <v>20</v>
      </c>
      <c r="K2648" t="s">
        <v>35</v>
      </c>
      <c r="L2648" s="6">
        <v>0</v>
      </c>
      <c r="M2648" s="6">
        <v>100000</v>
      </c>
      <c r="N2648" s="6">
        <v>100000</v>
      </c>
      <c r="O2648" s="6">
        <v>590.87</v>
      </c>
      <c r="P2648" s="7">
        <v>0</v>
      </c>
      <c r="Q2648" s="6">
        <v>0</v>
      </c>
      <c r="R2648" t="s">
        <v>169</v>
      </c>
    </row>
    <row r="2649" spans="1:18">
      <c r="A2649">
        <v>2648</v>
      </c>
      <c r="B2649" s="5">
        <v>45899</v>
      </c>
      <c r="C2649" t="s">
        <v>916</v>
      </c>
      <c r="D2649" t="s">
        <v>917</v>
      </c>
      <c r="E2649" t="s">
        <v>918</v>
      </c>
      <c r="F2649">
        <v>20</v>
      </c>
      <c r="G2649" t="s">
        <v>1896</v>
      </c>
      <c r="H2649" t="s">
        <v>1550</v>
      </c>
      <c r="I2649" t="s">
        <v>18</v>
      </c>
      <c r="J2649" t="s">
        <v>345</v>
      </c>
      <c r="K2649" t="s">
        <v>34</v>
      </c>
      <c r="L2649" s="6">
        <v>99</v>
      </c>
      <c r="M2649" s="6">
        <v>0</v>
      </c>
      <c r="N2649" s="6">
        <v>-99</v>
      </c>
      <c r="O2649" s="6">
        <v>491.87</v>
      </c>
      <c r="P2649" s="7">
        <v>0</v>
      </c>
      <c r="Q2649" s="6">
        <v>0</v>
      </c>
    </row>
    <row r="2650" spans="1:18">
      <c r="A2650">
        <v>2649</v>
      </c>
      <c r="B2650" s="5">
        <v>45899</v>
      </c>
      <c r="C2650" t="s">
        <v>916</v>
      </c>
      <c r="D2650" t="s">
        <v>917</v>
      </c>
      <c r="E2650" t="s">
        <v>918</v>
      </c>
      <c r="F2650">
        <v>20</v>
      </c>
      <c r="G2650" t="s">
        <v>1897</v>
      </c>
      <c r="H2650" t="s">
        <v>1277</v>
      </c>
      <c r="I2650" t="s">
        <v>18</v>
      </c>
      <c r="J2650" t="s">
        <v>345</v>
      </c>
      <c r="K2650" t="s">
        <v>34</v>
      </c>
      <c r="L2650" s="6">
        <v>110</v>
      </c>
      <c r="M2650" s="6">
        <v>0</v>
      </c>
      <c r="N2650" s="6">
        <v>-110</v>
      </c>
      <c r="O2650" s="6">
        <v>381.87</v>
      </c>
      <c r="P2650" s="7">
        <v>0</v>
      </c>
      <c r="Q2650" s="6">
        <v>0</v>
      </c>
    </row>
    <row r="2651" spans="1:18">
      <c r="A2651">
        <v>2650</v>
      </c>
      <c r="B2651" s="5">
        <v>45899</v>
      </c>
      <c r="C2651" t="s">
        <v>916</v>
      </c>
      <c r="D2651" t="s">
        <v>917</v>
      </c>
      <c r="E2651" t="s">
        <v>918</v>
      </c>
      <c r="F2651">
        <v>20</v>
      </c>
      <c r="G2651" t="s">
        <v>346</v>
      </c>
      <c r="I2651" t="s">
        <v>14</v>
      </c>
      <c r="J2651" t="s">
        <v>46</v>
      </c>
      <c r="K2651" t="s">
        <v>34</v>
      </c>
      <c r="L2651" s="6">
        <v>20</v>
      </c>
      <c r="M2651" s="6">
        <v>0</v>
      </c>
      <c r="N2651" s="6">
        <v>-20</v>
      </c>
      <c r="O2651" s="6">
        <v>361.87</v>
      </c>
      <c r="P2651" s="7">
        <v>0.15</v>
      </c>
      <c r="Q2651" s="6">
        <v>2.61</v>
      </c>
    </row>
    <row r="2652" spans="1:18">
      <c r="A2652">
        <v>2651</v>
      </c>
      <c r="B2652" s="5">
        <v>45899</v>
      </c>
      <c r="C2652" t="s">
        <v>916</v>
      </c>
      <c r="D2652" t="s">
        <v>917</v>
      </c>
      <c r="E2652" t="s">
        <v>918</v>
      </c>
      <c r="F2652">
        <v>20</v>
      </c>
      <c r="G2652" t="s">
        <v>346</v>
      </c>
      <c r="I2652" t="s">
        <v>14</v>
      </c>
      <c r="J2652" t="s">
        <v>46</v>
      </c>
      <c r="K2652" t="s">
        <v>34</v>
      </c>
      <c r="L2652" s="6">
        <v>40</v>
      </c>
      <c r="M2652" s="6">
        <v>0</v>
      </c>
      <c r="N2652" s="6">
        <v>-40</v>
      </c>
      <c r="O2652" s="6">
        <v>321.87</v>
      </c>
      <c r="P2652" s="7">
        <v>0.15</v>
      </c>
      <c r="Q2652" s="6">
        <v>5.22</v>
      </c>
    </row>
    <row r="2653" spans="1:18">
      <c r="A2653">
        <v>2652</v>
      </c>
      <c r="B2653" s="5">
        <v>45900</v>
      </c>
      <c r="C2653" t="s">
        <v>916</v>
      </c>
      <c r="D2653" t="s">
        <v>917</v>
      </c>
      <c r="E2653" t="s">
        <v>918</v>
      </c>
      <c r="F2653">
        <v>20</v>
      </c>
      <c r="G2653" t="s">
        <v>346</v>
      </c>
      <c r="I2653" t="s">
        <v>14</v>
      </c>
      <c r="J2653" t="s">
        <v>46</v>
      </c>
      <c r="K2653" t="s">
        <v>34</v>
      </c>
      <c r="L2653" s="6">
        <v>93</v>
      </c>
      <c r="M2653" s="6">
        <v>0</v>
      </c>
      <c r="N2653" s="6">
        <v>-93</v>
      </c>
      <c r="O2653" s="6">
        <v>228.87</v>
      </c>
      <c r="P2653" s="7">
        <v>0.15</v>
      </c>
      <c r="Q2653" s="6">
        <v>12.13</v>
      </c>
    </row>
  </sheetData>
  <conditionalFormatting sqref="R2:R2653">
    <cfRule type="expression" dxfId="2" priority="1">
      <formula>$R2="Review"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'Category Rules'!$A$2:$A$10</xm:f>
          </x14:formula1>
          <xm:sqref>I2:I2653</xm:sqref>
        </x14:dataValidation>
        <x14:dataValidation type="list" xr:uid="{00000000-0002-0000-0100-000001000000}">
          <x14:formula1>
            <xm:f>'Category Rules'!$B$2:$B$10</xm:f>
          </x14:formula1>
          <xm:sqref>J2:J2653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"/>
  <sheetViews>
    <sheetView workbookViewId="0">
      <selection activeCell="E16" sqref="E16"/>
    </sheetView>
  </sheetViews>
  <sheetFormatPr defaultRowHeight="14.25"/>
  <cols>
    <col min="1" max="1" width="7.5" bestFit="1" customWidth="1"/>
    <col min="2" max="3" width="11.375" bestFit="1" customWidth="1"/>
    <col min="4" max="4" width="14.625" customWidth="1"/>
    <col min="5" max="5" width="16.75" customWidth="1"/>
    <col min="6" max="6" width="13.25" customWidth="1"/>
    <col min="7" max="7" width="18.875" customWidth="1"/>
    <col min="8" max="8" width="17.25" customWidth="1"/>
    <col min="9" max="9" width="17.125" customWidth="1"/>
  </cols>
  <sheetData>
    <row r="1" spans="1:19" ht="21.95" customHeight="1">
      <c r="A1" s="2" t="s">
        <v>25</v>
      </c>
      <c r="B1" s="2" t="s">
        <v>1898</v>
      </c>
      <c r="C1" s="2" t="s">
        <v>1899</v>
      </c>
      <c r="D1" s="2" t="s">
        <v>1900</v>
      </c>
      <c r="E1" s="2" t="s">
        <v>1901</v>
      </c>
      <c r="F1" s="2" t="s">
        <v>14</v>
      </c>
      <c r="G1" s="2" t="s">
        <v>1902</v>
      </c>
      <c r="H1" s="2" t="s">
        <v>16</v>
      </c>
      <c r="I1" s="2" t="s">
        <v>1903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42</v>
      </c>
      <c r="B2" s="6">
        <f>SUMIFS(Transactions!$L:$L,Transactions!$C:$C,A2)</f>
        <v>89</v>
      </c>
      <c r="C2" s="6">
        <f>SUMIFS(Transactions!$M:$M,Transactions!$C:$C,A2)</f>
        <v>0</v>
      </c>
      <c r="D2" s="6">
        <f t="shared" ref="D2:D7" si="0">C2-B2</f>
        <v>-89</v>
      </c>
      <c r="E2" s="6">
        <f>COUNTIFS(Transactions!$C:$C,A2)</f>
        <v>1</v>
      </c>
      <c r="F2" s="6">
        <f>SUMIFS(Transactions!$L:$L,Transactions!$C:$C,A2,Transactions!$I:$I,"Bank Charges")</f>
        <v>89</v>
      </c>
      <c r="G2" s="6">
        <f>SUMIFS(Transactions!$Q:$Q,Transactions!$C:$C,A2)</f>
        <v>11.61</v>
      </c>
      <c r="H2" s="6">
        <f>SUMIFS(Transactions!$M:$M,Transactions!$C:$C,A2,Transactions!$I:$I,"Customer Receipts")+SUMIFS(Transactions!$M:$M,Transactions!$C:$C,A2,Transactions!$I:$I,"Card / Payment Gateway Receipts")</f>
        <v>0</v>
      </c>
      <c r="I2" s="6">
        <f>SUMIFS(Transactions!$L:$L,Transactions!$C:$C,A2,Transactions!$I:$I,"Supplier / Payout Payments")</f>
        <v>0</v>
      </c>
    </row>
    <row r="3" spans="1:19">
      <c r="A3" t="s">
        <v>47</v>
      </c>
      <c r="B3" s="6">
        <f>SUMIFS(Transactions!$L:$L,Transactions!$C:$C,A3)</f>
        <v>290914.57999999996</v>
      </c>
      <c r="C3" s="6">
        <f>SUMIFS(Transactions!$M:$M,Transactions!$C:$C,A3)</f>
        <v>388949.24</v>
      </c>
      <c r="D3" s="6">
        <f t="shared" si="0"/>
        <v>98034.660000000033</v>
      </c>
      <c r="E3" s="6">
        <f>COUNTIFS(Transactions!$C:$C,A3)</f>
        <v>123</v>
      </c>
      <c r="F3" s="6">
        <f>SUMIFS(Transactions!$L:$L,Transactions!$C:$C,A3,Transactions!$I:$I,"Bank Charges")</f>
        <v>89</v>
      </c>
      <c r="G3" s="6">
        <f>SUMIFS(Transactions!$Q:$Q,Transactions!$C:$C,A3)</f>
        <v>11.61</v>
      </c>
      <c r="H3" s="6">
        <f>SUMIFS(Transactions!$M:$M,Transactions!$C:$C,A3,Transactions!$I:$I,"Customer Receipts")+SUMIFS(Transactions!$M:$M,Transactions!$C:$C,A3,Transactions!$I:$I,"Card / Payment Gateway Receipts")</f>
        <v>239465</v>
      </c>
      <c r="I3" s="6">
        <f>SUMIFS(Transactions!$L:$L,Transactions!$C:$C,A3,Transactions!$I:$I,"Supplier / Payout Payments")</f>
        <v>290720.57999999996</v>
      </c>
    </row>
    <row r="4" spans="1:19">
      <c r="A4" t="s">
        <v>172</v>
      </c>
      <c r="B4" s="6">
        <f>SUMIFS(Transactions!$L:$L,Transactions!$C:$C,A4)</f>
        <v>919668.20999999985</v>
      </c>
      <c r="C4" s="6">
        <f>SUMIFS(Transactions!$M:$M,Transactions!$C:$C,A4)</f>
        <v>923115</v>
      </c>
      <c r="D4" s="6">
        <f t="shared" si="0"/>
        <v>3446.7900000001537</v>
      </c>
      <c r="E4" s="6">
        <f>COUNTIFS(Transactions!$C:$C,A4)</f>
        <v>508</v>
      </c>
      <c r="F4" s="6">
        <f>SUMIFS(Transactions!$L:$L,Transactions!$C:$C,A4,Transactions!$I:$I,"Bank Charges")</f>
        <v>139</v>
      </c>
      <c r="G4" s="6">
        <f>SUMIFS(Transactions!$Q:$Q,Transactions!$C:$C,A4)</f>
        <v>18.13</v>
      </c>
      <c r="H4" s="6">
        <f>SUMIFS(Transactions!$M:$M,Transactions!$C:$C,A4,Transactions!$I:$I,"Customer Receipts")+SUMIFS(Transactions!$M:$M,Transactions!$C:$C,A4,Transactions!$I:$I,"Card / Payment Gateway Receipts")</f>
        <v>623115</v>
      </c>
      <c r="I4" s="6">
        <f>SUMIFS(Transactions!$L:$L,Transactions!$C:$C,A4,Transactions!$I:$I,"Supplier / Payout Payments")</f>
        <v>836657.20999999985</v>
      </c>
    </row>
    <row r="5" spans="1:19">
      <c r="A5" t="s">
        <v>525</v>
      </c>
      <c r="B5" s="6">
        <f>SUMIFS(Transactions!$L:$L,Transactions!$C:$C,A5)</f>
        <v>513921.38000000012</v>
      </c>
      <c r="C5" s="6">
        <f>SUMIFS(Transactions!$M:$M,Transactions!$C:$C,A5)</f>
        <v>504908.94</v>
      </c>
      <c r="D5" s="6">
        <f t="shared" si="0"/>
        <v>-9012.4400000001187</v>
      </c>
      <c r="E5" s="6">
        <f>COUNTIFS(Transactions!$C:$C,A5)</f>
        <v>474</v>
      </c>
      <c r="F5" s="6">
        <f>SUMIFS(Transactions!$L:$L,Transactions!$C:$C,A5,Transactions!$I:$I,"Bank Charges")</f>
        <v>579</v>
      </c>
      <c r="G5" s="6">
        <f>SUMIFS(Transactions!$Q:$Q,Transactions!$C:$C,A5)</f>
        <v>75.479999999999976</v>
      </c>
      <c r="H5" s="6">
        <f>SUMIFS(Transactions!$M:$M,Transactions!$C:$C,A5,Transactions!$I:$I,"Customer Receipts")+SUMIFS(Transactions!$M:$M,Transactions!$C:$C,A5,Transactions!$I:$I,"Card / Payment Gateway Receipts")</f>
        <v>500746</v>
      </c>
      <c r="I5" s="6">
        <f>SUMIFS(Transactions!$L:$L,Transactions!$C:$C,A5,Transactions!$I:$I,"Supplier / Payout Payments")</f>
        <v>489456.58</v>
      </c>
    </row>
    <row r="6" spans="1:19">
      <c r="A6" t="s">
        <v>791</v>
      </c>
      <c r="B6" s="6">
        <f>SUMIFS(Transactions!$L:$L,Transactions!$C:$C,A6)</f>
        <v>428038.5</v>
      </c>
      <c r="C6" s="6">
        <f>SUMIFS(Transactions!$M:$M,Transactions!$C:$C,A6)</f>
        <v>437864</v>
      </c>
      <c r="D6" s="6">
        <f t="shared" si="0"/>
        <v>9825.5</v>
      </c>
      <c r="E6" s="6">
        <f>COUNTIFS(Transactions!$C:$C,A6)</f>
        <v>496</v>
      </c>
      <c r="F6" s="6">
        <f>SUMIFS(Transactions!$L:$L,Transactions!$C:$C,A6,Transactions!$I:$I,"Bank Charges")</f>
        <v>100</v>
      </c>
      <c r="G6" s="6">
        <f>SUMIFS(Transactions!$Q:$Q,Transactions!$C:$C,A6)</f>
        <v>13.04</v>
      </c>
      <c r="H6" s="6">
        <f>SUMIFS(Transactions!$M:$M,Transactions!$C:$C,A6,Transactions!$I:$I,"Customer Receipts")+SUMIFS(Transactions!$M:$M,Transactions!$C:$C,A6,Transactions!$I:$I,"Card / Payment Gateway Receipts")</f>
        <v>437864</v>
      </c>
      <c r="I6" s="6">
        <f>SUMIFS(Transactions!$L:$L,Transactions!$C:$C,A6,Transactions!$I:$I,"Supplier / Payout Payments")</f>
        <v>328228.42000000004</v>
      </c>
    </row>
    <row r="7" spans="1:19">
      <c r="A7" t="s">
        <v>916</v>
      </c>
      <c r="B7" s="6">
        <f>SUMIFS(Transactions!$L:$L,Transactions!$C:$C,A7)</f>
        <v>1883515.01</v>
      </c>
      <c r="C7" s="6">
        <f>SUMIFS(Transactions!$M:$M,Transactions!$C:$C,A7)</f>
        <v>1833061.1900000002</v>
      </c>
      <c r="D7" s="6">
        <f t="shared" si="0"/>
        <v>-50453.819999999832</v>
      </c>
      <c r="E7" s="6">
        <f>COUNTIFS(Transactions!$C:$C,A7)</f>
        <v>1050</v>
      </c>
      <c r="F7" s="6">
        <f>SUMIFS(Transactions!$L:$L,Transactions!$C:$C,A7,Transactions!$I:$I,"Bank Charges")</f>
        <v>843</v>
      </c>
      <c r="G7" s="6">
        <f>SUMIFS(Transactions!$Q:$Q,Transactions!$C:$C,A7)</f>
        <v>109.99999999999999</v>
      </c>
      <c r="H7" s="6">
        <f>SUMIFS(Transactions!$M:$M,Transactions!$C:$C,A7,Transactions!$I:$I,"Customer Receipts")+SUMIFS(Transactions!$M:$M,Transactions!$C:$C,A7,Transactions!$I:$I,"Card / Payment Gateway Receipts")</f>
        <v>1581082.19</v>
      </c>
      <c r="I7" s="6">
        <f>SUMIFS(Transactions!$L:$L,Transactions!$C:$C,A7,Transactions!$I:$I,"Supplier / Payout Payments")</f>
        <v>1341531.1500000001</v>
      </c>
    </row>
    <row r="8" spans="1:19">
      <c r="B8" s="6"/>
      <c r="C8" s="6"/>
      <c r="D8" s="6"/>
      <c r="E8" s="6"/>
      <c r="F8" s="6"/>
      <c r="G8" s="6"/>
      <c r="H8" s="6"/>
      <c r="I8" s="6"/>
    </row>
    <row r="9" spans="1:19">
      <c r="B9" s="6"/>
      <c r="C9" s="6"/>
      <c r="D9" s="6"/>
      <c r="E9" s="6"/>
      <c r="F9" s="6"/>
      <c r="G9" s="6"/>
      <c r="H9" s="6"/>
      <c r="I9" s="6"/>
    </row>
    <row r="10" spans="1:19">
      <c r="B10" s="6"/>
      <c r="C10" s="6"/>
      <c r="D10" s="6"/>
      <c r="E10" s="6"/>
      <c r="F10" s="6"/>
      <c r="G10" s="6"/>
      <c r="H10" s="6"/>
      <c r="I10" s="6"/>
    </row>
    <row r="11" spans="1:19">
      <c r="B11" s="6"/>
      <c r="C11" s="6"/>
      <c r="D11" s="6"/>
      <c r="E11" s="6"/>
      <c r="F11" s="6"/>
      <c r="G11" s="6"/>
      <c r="H11" s="6"/>
      <c r="I11" s="6"/>
    </row>
    <row r="12" spans="1:19">
      <c r="B12" s="6"/>
      <c r="C12" s="6"/>
      <c r="D12" s="6"/>
      <c r="E12" s="6"/>
      <c r="F12" s="6"/>
      <c r="G12" s="6"/>
      <c r="H12" s="6"/>
      <c r="I12" s="6"/>
    </row>
    <row r="13" spans="1:19">
      <c r="B13" s="6"/>
      <c r="C13" s="6"/>
      <c r="D13" s="6"/>
      <c r="E13" s="6"/>
      <c r="F13" s="6"/>
      <c r="G13" s="6"/>
      <c r="H13" s="6"/>
      <c r="I13" s="6"/>
    </row>
    <row r="14" spans="1:19">
      <c r="B14" s="6"/>
      <c r="C14" s="6"/>
      <c r="D14" s="6"/>
      <c r="E14" s="6"/>
      <c r="F14" s="6"/>
      <c r="G14" s="6"/>
      <c r="H14" s="6"/>
      <c r="I14" s="6"/>
    </row>
    <row r="15" spans="1:19">
      <c r="B15" s="6"/>
      <c r="C15" s="6"/>
      <c r="D15" s="6"/>
      <c r="E15" s="6"/>
      <c r="F15" s="6"/>
      <c r="G15" s="6"/>
      <c r="H15" s="6"/>
      <c r="I15" s="6"/>
    </row>
    <row r="16" spans="1:19">
      <c r="B16" s="6"/>
      <c r="C16" s="6"/>
      <c r="D16" s="6"/>
      <c r="E16" s="6"/>
      <c r="F16" s="6"/>
      <c r="G16" s="6"/>
      <c r="H16" s="6"/>
      <c r="I16" s="6"/>
    </row>
    <row r="17" spans="2:9">
      <c r="B17" s="6"/>
      <c r="C17" s="6"/>
      <c r="D17" s="6"/>
      <c r="E17" s="6"/>
      <c r="F17" s="6"/>
      <c r="G17" s="6"/>
      <c r="H17" s="6"/>
      <c r="I17" s="6"/>
    </row>
    <row r="18" spans="2:9">
      <c r="B18" s="6"/>
      <c r="C18" s="6"/>
      <c r="D18" s="6"/>
      <c r="E18" s="6"/>
      <c r="F18" s="6"/>
      <c r="G18" s="6"/>
      <c r="H18" s="6"/>
      <c r="I18" s="6"/>
    </row>
    <row r="19" spans="2:9">
      <c r="B19" s="6"/>
      <c r="C19" s="6"/>
      <c r="D19" s="6"/>
      <c r="E19" s="6"/>
      <c r="F19" s="6"/>
      <c r="G19" s="6"/>
      <c r="H19" s="6"/>
      <c r="I19" s="6"/>
    </row>
    <row r="20" spans="2:9">
      <c r="B20" s="6"/>
      <c r="C20" s="6"/>
      <c r="D20" s="6"/>
      <c r="E20" s="6"/>
      <c r="F20" s="6"/>
      <c r="G20" s="6"/>
      <c r="H20" s="6"/>
      <c r="I20" s="6"/>
    </row>
    <row r="21" spans="2:9">
      <c r="B21" s="6"/>
      <c r="C21" s="6"/>
      <c r="D21" s="6"/>
      <c r="E21" s="6"/>
      <c r="F21" s="6"/>
      <c r="G21" s="6"/>
      <c r="H21" s="6"/>
      <c r="I21" s="6"/>
    </row>
    <row r="22" spans="2:9">
      <c r="B22" s="6"/>
      <c r="C22" s="6"/>
      <c r="D22" s="6"/>
      <c r="E22" s="6"/>
      <c r="F22" s="6"/>
      <c r="G22" s="6"/>
      <c r="H22" s="6"/>
      <c r="I22" s="6"/>
    </row>
    <row r="23" spans="2:9">
      <c r="B23" s="6"/>
      <c r="C23" s="6"/>
      <c r="D23" s="6"/>
      <c r="E23" s="6"/>
      <c r="F23" s="6"/>
      <c r="G23" s="6"/>
      <c r="H23" s="6"/>
      <c r="I23" s="6"/>
    </row>
    <row r="24" spans="2:9">
      <c r="B24" s="6"/>
      <c r="C24" s="6"/>
      <c r="D24" s="6"/>
      <c r="E24" s="6"/>
      <c r="F24" s="6"/>
      <c r="G24" s="6"/>
      <c r="H24" s="6"/>
      <c r="I24" s="6"/>
    </row>
    <row r="25" spans="2:9">
      <c r="B25" s="6"/>
      <c r="C25" s="6"/>
      <c r="D25" s="6"/>
      <c r="E25" s="6"/>
      <c r="F25" s="6"/>
      <c r="G25" s="6"/>
      <c r="H25" s="6"/>
      <c r="I25" s="6"/>
    </row>
    <row r="26" spans="2:9">
      <c r="B26" s="6"/>
      <c r="C26" s="6"/>
      <c r="D26" s="6"/>
      <c r="E26" s="6"/>
      <c r="F26" s="6"/>
      <c r="G26" s="6"/>
      <c r="H26" s="6"/>
      <c r="I26" s="6"/>
    </row>
    <row r="27" spans="2:9">
      <c r="B27" s="6"/>
      <c r="C27" s="6"/>
      <c r="D27" s="6"/>
      <c r="E27" s="6"/>
      <c r="F27" s="6"/>
      <c r="G27" s="6"/>
      <c r="H27" s="6"/>
      <c r="I27" s="6"/>
    </row>
    <row r="28" spans="2:9">
      <c r="B28" s="6"/>
      <c r="C28" s="6"/>
      <c r="D28" s="6"/>
      <c r="E28" s="6"/>
      <c r="F28" s="6"/>
      <c r="G28" s="6"/>
      <c r="H28" s="6"/>
      <c r="I28" s="6"/>
    </row>
    <row r="29" spans="2:9">
      <c r="B29" s="6"/>
      <c r="C29" s="6"/>
      <c r="D29" s="6"/>
      <c r="E29" s="6"/>
      <c r="F29" s="6"/>
      <c r="G29" s="6"/>
      <c r="H29" s="6"/>
      <c r="I29" s="6"/>
    </row>
    <row r="30" spans="2:9">
      <c r="B30" s="6"/>
      <c r="C30" s="6"/>
      <c r="D30" s="6"/>
      <c r="E30" s="6"/>
      <c r="F30" s="6"/>
      <c r="G30" s="6"/>
      <c r="H30" s="6"/>
      <c r="I30" s="6"/>
    </row>
    <row r="31" spans="2:9">
      <c r="B31" s="6"/>
      <c r="C31" s="6"/>
      <c r="D31" s="6"/>
      <c r="E31" s="6"/>
      <c r="F31" s="6"/>
      <c r="G31" s="6"/>
      <c r="H31" s="6"/>
      <c r="I31" s="6"/>
    </row>
    <row r="32" spans="2:9">
      <c r="B32" s="6"/>
      <c r="C32" s="6"/>
      <c r="D32" s="6"/>
      <c r="E32" s="6"/>
      <c r="F32" s="6"/>
      <c r="G32" s="6"/>
      <c r="H32" s="6"/>
      <c r="I32" s="6"/>
    </row>
    <row r="33" spans="2:9">
      <c r="B33" s="6"/>
      <c r="C33" s="6"/>
      <c r="D33" s="6"/>
      <c r="E33" s="6"/>
      <c r="F33" s="6"/>
      <c r="G33" s="6"/>
      <c r="H33" s="6"/>
      <c r="I33" s="6"/>
    </row>
    <row r="34" spans="2:9">
      <c r="B34" s="6"/>
      <c r="C34" s="6"/>
      <c r="D34" s="6"/>
      <c r="E34" s="6"/>
      <c r="F34" s="6"/>
      <c r="G34" s="6"/>
      <c r="H34" s="6"/>
      <c r="I34" s="6"/>
    </row>
    <row r="35" spans="2:9">
      <c r="B35" s="6"/>
      <c r="C35" s="6"/>
      <c r="D35" s="6"/>
      <c r="E35" s="6"/>
      <c r="F35" s="6"/>
      <c r="G35" s="6"/>
      <c r="H35" s="6"/>
      <c r="I35" s="6"/>
    </row>
    <row r="36" spans="2:9">
      <c r="B36" s="6"/>
      <c r="C36" s="6"/>
      <c r="D36" s="6"/>
      <c r="E36" s="6"/>
      <c r="F36" s="6"/>
      <c r="G36" s="6"/>
      <c r="H36" s="6"/>
      <c r="I36" s="6"/>
    </row>
    <row r="37" spans="2:9">
      <c r="B37" s="6"/>
      <c r="C37" s="6"/>
      <c r="D37" s="6"/>
      <c r="E37" s="6"/>
      <c r="F37" s="6"/>
      <c r="G37" s="6"/>
      <c r="H37" s="6"/>
      <c r="I37" s="6"/>
    </row>
    <row r="38" spans="2:9">
      <c r="B38" s="6"/>
      <c r="C38" s="6"/>
      <c r="D38" s="6"/>
      <c r="E38" s="6"/>
      <c r="F38" s="6"/>
      <c r="G38" s="6"/>
      <c r="H38" s="6"/>
      <c r="I38" s="6"/>
    </row>
    <row r="39" spans="2:9">
      <c r="B39" s="6"/>
      <c r="C39" s="6"/>
      <c r="D39" s="6"/>
      <c r="E39" s="6"/>
      <c r="F39" s="6"/>
      <c r="G39" s="6"/>
      <c r="H39" s="6"/>
      <c r="I39" s="6"/>
    </row>
    <row r="40" spans="2:9">
      <c r="B40" s="6"/>
      <c r="C40" s="6"/>
      <c r="D40" s="6"/>
      <c r="E40" s="6"/>
      <c r="F40" s="6"/>
      <c r="G40" s="6"/>
      <c r="H40" s="6"/>
      <c r="I40" s="6"/>
    </row>
    <row r="41" spans="2:9">
      <c r="B41" s="6"/>
      <c r="C41" s="6"/>
      <c r="D41" s="6"/>
      <c r="E41" s="6"/>
      <c r="F41" s="6"/>
      <c r="G41" s="6"/>
      <c r="H41" s="6"/>
      <c r="I41" s="6"/>
    </row>
    <row r="42" spans="2:9">
      <c r="B42" s="6"/>
      <c r="C42" s="6"/>
      <c r="D42" s="6"/>
      <c r="E42" s="6"/>
      <c r="F42" s="6"/>
      <c r="G42" s="6"/>
      <c r="H42" s="6"/>
      <c r="I42" s="6"/>
    </row>
    <row r="43" spans="2:9">
      <c r="B43" s="6"/>
      <c r="C43" s="6"/>
      <c r="D43" s="6"/>
      <c r="E43" s="6"/>
      <c r="F43" s="6"/>
      <c r="G43" s="6"/>
      <c r="H43" s="6"/>
      <c r="I43" s="6"/>
    </row>
    <row r="44" spans="2:9">
      <c r="B44" s="6"/>
      <c r="C44" s="6"/>
      <c r="D44" s="6"/>
      <c r="E44" s="6"/>
      <c r="F44" s="6"/>
      <c r="G44" s="6"/>
      <c r="H44" s="6"/>
      <c r="I44" s="6"/>
    </row>
    <row r="45" spans="2:9">
      <c r="B45" s="6"/>
      <c r="C45" s="6"/>
      <c r="D45" s="6"/>
      <c r="E45" s="6"/>
      <c r="F45" s="6"/>
      <c r="G45" s="6"/>
      <c r="H45" s="6"/>
      <c r="I45" s="6"/>
    </row>
    <row r="46" spans="2:9">
      <c r="B46" s="6"/>
      <c r="C46" s="6"/>
      <c r="D46" s="6"/>
      <c r="E46" s="6"/>
      <c r="F46" s="6"/>
      <c r="G46" s="6"/>
      <c r="H46" s="6"/>
      <c r="I46" s="6"/>
    </row>
    <row r="47" spans="2:9">
      <c r="B47" s="6"/>
      <c r="C47" s="6"/>
      <c r="D47" s="6"/>
      <c r="E47" s="6"/>
      <c r="F47" s="6"/>
      <c r="G47" s="6"/>
      <c r="H47" s="6"/>
      <c r="I47" s="6"/>
    </row>
    <row r="48" spans="2:9">
      <c r="B48" s="6"/>
      <c r="C48" s="6"/>
      <c r="D48" s="6"/>
      <c r="E48" s="6"/>
      <c r="F48" s="6"/>
      <c r="G48" s="6"/>
      <c r="H48" s="6"/>
      <c r="I48" s="6"/>
    </row>
    <row r="49" spans="2:9">
      <c r="B49" s="6"/>
      <c r="C49" s="6"/>
      <c r="D49" s="6"/>
      <c r="E49" s="6"/>
      <c r="F49" s="6"/>
      <c r="G49" s="6"/>
      <c r="H49" s="6"/>
      <c r="I49" s="6"/>
    </row>
    <row r="50" spans="2:9">
      <c r="B50" s="6"/>
      <c r="C50" s="6"/>
      <c r="D50" s="6"/>
      <c r="E50" s="6"/>
      <c r="F50" s="6"/>
      <c r="G50" s="6"/>
      <c r="H50" s="6"/>
      <c r="I50" s="6"/>
    </row>
    <row r="51" spans="2:9">
      <c r="B51" s="6"/>
      <c r="C51" s="6"/>
      <c r="D51" s="6"/>
      <c r="E51" s="6"/>
      <c r="F51" s="6"/>
      <c r="G51" s="6"/>
      <c r="H51" s="6"/>
      <c r="I51" s="6"/>
    </row>
    <row r="52" spans="2:9">
      <c r="B52" s="6"/>
      <c r="C52" s="6"/>
      <c r="D52" s="6"/>
      <c r="E52" s="6"/>
      <c r="F52" s="6"/>
      <c r="G52" s="6"/>
      <c r="H52" s="6"/>
      <c r="I52" s="6"/>
    </row>
    <row r="53" spans="2:9">
      <c r="B53" s="6"/>
      <c r="C53" s="6"/>
      <c r="D53" s="6"/>
      <c r="E53" s="6"/>
      <c r="F53" s="6"/>
      <c r="G53" s="6"/>
      <c r="H53" s="6"/>
      <c r="I53" s="6"/>
    </row>
    <row r="54" spans="2:9">
      <c r="B54" s="6"/>
      <c r="C54" s="6"/>
      <c r="D54" s="6"/>
      <c r="E54" s="6"/>
      <c r="F54" s="6"/>
      <c r="G54" s="6"/>
      <c r="H54" s="6"/>
      <c r="I54" s="6"/>
    </row>
    <row r="55" spans="2:9">
      <c r="B55" s="6"/>
      <c r="C55" s="6"/>
      <c r="D55" s="6"/>
      <c r="E55" s="6"/>
      <c r="F55" s="6"/>
      <c r="G55" s="6"/>
      <c r="H55" s="6"/>
      <c r="I55" s="6"/>
    </row>
    <row r="56" spans="2:9">
      <c r="B56" s="6"/>
      <c r="C56" s="6"/>
      <c r="D56" s="6"/>
      <c r="E56" s="6"/>
      <c r="F56" s="6"/>
      <c r="G56" s="6"/>
      <c r="H56" s="6"/>
      <c r="I56" s="6"/>
    </row>
    <row r="57" spans="2:9">
      <c r="B57" s="6"/>
      <c r="C57" s="6"/>
      <c r="D57" s="6"/>
      <c r="E57" s="6"/>
      <c r="F57" s="6"/>
      <c r="G57" s="6"/>
      <c r="H57" s="6"/>
      <c r="I57" s="6"/>
    </row>
    <row r="58" spans="2:9">
      <c r="B58" s="6"/>
      <c r="C58" s="6"/>
      <c r="D58" s="6"/>
      <c r="E58" s="6"/>
      <c r="F58" s="6"/>
      <c r="G58" s="6"/>
      <c r="H58" s="6"/>
      <c r="I58" s="6"/>
    </row>
    <row r="59" spans="2:9">
      <c r="B59" s="6"/>
      <c r="C59" s="6"/>
      <c r="D59" s="6"/>
      <c r="E59" s="6"/>
      <c r="F59" s="6"/>
      <c r="G59" s="6"/>
      <c r="H59" s="6"/>
      <c r="I59" s="6"/>
    </row>
    <row r="60" spans="2:9">
      <c r="B60" s="6"/>
      <c r="C60" s="6"/>
      <c r="D60" s="6"/>
      <c r="E60" s="6"/>
      <c r="F60" s="6"/>
      <c r="G60" s="6"/>
      <c r="H60" s="6"/>
      <c r="I60" s="6"/>
    </row>
    <row r="61" spans="2:9">
      <c r="B61" s="6"/>
      <c r="C61" s="6"/>
      <c r="D61" s="6"/>
      <c r="E61" s="6"/>
      <c r="F61" s="6"/>
      <c r="G61" s="6"/>
      <c r="H61" s="6"/>
      <c r="I61" s="6"/>
    </row>
    <row r="62" spans="2:9">
      <c r="B62" s="6"/>
      <c r="C62" s="6"/>
      <c r="D62" s="6"/>
      <c r="E62" s="6"/>
      <c r="F62" s="6"/>
      <c r="G62" s="6"/>
      <c r="H62" s="6"/>
      <c r="I62" s="6"/>
    </row>
    <row r="63" spans="2:9">
      <c r="B63" s="6"/>
      <c r="C63" s="6"/>
      <c r="D63" s="6"/>
      <c r="E63" s="6"/>
      <c r="F63" s="6"/>
      <c r="G63" s="6"/>
      <c r="H63" s="6"/>
      <c r="I63" s="6"/>
    </row>
    <row r="64" spans="2:9">
      <c r="B64" s="6"/>
      <c r="C64" s="6"/>
      <c r="D64" s="6"/>
      <c r="E64" s="6"/>
      <c r="F64" s="6"/>
      <c r="G64" s="6"/>
      <c r="H64" s="6"/>
      <c r="I64" s="6"/>
    </row>
    <row r="65" spans="2:9">
      <c r="B65" s="6"/>
      <c r="C65" s="6"/>
      <c r="D65" s="6"/>
      <c r="E65" s="6"/>
      <c r="F65" s="6"/>
      <c r="G65" s="6"/>
      <c r="H65" s="6"/>
      <c r="I65" s="6"/>
    </row>
    <row r="66" spans="2:9">
      <c r="B66" s="6"/>
      <c r="C66" s="6"/>
      <c r="D66" s="6"/>
      <c r="E66" s="6"/>
      <c r="F66" s="6"/>
      <c r="G66" s="6"/>
      <c r="H66" s="6"/>
      <c r="I66" s="6"/>
    </row>
    <row r="67" spans="2:9">
      <c r="B67" s="6"/>
      <c r="C67" s="6"/>
      <c r="D67" s="6"/>
      <c r="E67" s="6"/>
      <c r="F67" s="6"/>
      <c r="G67" s="6"/>
      <c r="H67" s="6"/>
      <c r="I67" s="6"/>
    </row>
    <row r="68" spans="2:9">
      <c r="B68" s="6"/>
      <c r="C68" s="6"/>
      <c r="D68" s="6"/>
      <c r="E68" s="6"/>
      <c r="F68" s="6"/>
      <c r="G68" s="6"/>
      <c r="H68" s="6"/>
      <c r="I68" s="6"/>
    </row>
    <row r="69" spans="2:9">
      <c r="B69" s="6"/>
      <c r="C69" s="6"/>
      <c r="D69" s="6"/>
      <c r="E69" s="6"/>
      <c r="F69" s="6"/>
      <c r="G69" s="6"/>
      <c r="H69" s="6"/>
      <c r="I69" s="6"/>
    </row>
    <row r="70" spans="2:9">
      <c r="B70" s="6"/>
      <c r="C70" s="6"/>
      <c r="D70" s="6"/>
      <c r="E70" s="6"/>
      <c r="F70" s="6"/>
      <c r="G70" s="6"/>
      <c r="H70" s="6"/>
      <c r="I70" s="6"/>
    </row>
    <row r="71" spans="2:9">
      <c r="B71" s="6"/>
      <c r="C71" s="6"/>
      <c r="D71" s="6"/>
      <c r="E71" s="6"/>
      <c r="F71" s="6"/>
      <c r="G71" s="6"/>
      <c r="H71" s="6"/>
      <c r="I71" s="6"/>
    </row>
    <row r="72" spans="2:9">
      <c r="B72" s="6"/>
      <c r="C72" s="6"/>
      <c r="D72" s="6"/>
      <c r="E72" s="6"/>
      <c r="F72" s="6"/>
      <c r="G72" s="6"/>
      <c r="H72" s="6"/>
      <c r="I72" s="6"/>
    </row>
    <row r="73" spans="2:9">
      <c r="B73" s="6"/>
      <c r="C73" s="6"/>
      <c r="D73" s="6"/>
      <c r="E73" s="6"/>
      <c r="F73" s="6"/>
      <c r="G73" s="6"/>
      <c r="H73" s="6"/>
      <c r="I73" s="6"/>
    </row>
    <row r="74" spans="2:9">
      <c r="B74" s="6"/>
      <c r="C74" s="6"/>
      <c r="D74" s="6"/>
      <c r="E74" s="6"/>
      <c r="F74" s="6"/>
      <c r="G74" s="6"/>
      <c r="H74" s="6"/>
      <c r="I74" s="6"/>
    </row>
    <row r="75" spans="2:9">
      <c r="B75" s="6"/>
      <c r="C75" s="6"/>
      <c r="D75" s="6"/>
      <c r="E75" s="6"/>
      <c r="F75" s="6"/>
      <c r="G75" s="6"/>
      <c r="H75" s="6"/>
      <c r="I75" s="6"/>
    </row>
    <row r="76" spans="2:9">
      <c r="B76" s="6"/>
      <c r="C76" s="6"/>
      <c r="D76" s="6"/>
      <c r="E76" s="6"/>
      <c r="F76" s="6"/>
      <c r="G76" s="6"/>
      <c r="H76" s="6"/>
      <c r="I76" s="6"/>
    </row>
    <row r="77" spans="2:9">
      <c r="B77" s="6"/>
      <c r="C77" s="6"/>
      <c r="D77" s="6"/>
      <c r="E77" s="6"/>
      <c r="F77" s="6"/>
      <c r="G77" s="6"/>
      <c r="H77" s="6"/>
      <c r="I77" s="6"/>
    </row>
    <row r="78" spans="2:9">
      <c r="B78" s="6"/>
      <c r="C78" s="6"/>
      <c r="D78" s="6"/>
      <c r="E78" s="6"/>
      <c r="F78" s="6"/>
      <c r="G78" s="6"/>
      <c r="H78" s="6"/>
      <c r="I78" s="6"/>
    </row>
    <row r="79" spans="2:9">
      <c r="B79" s="6"/>
      <c r="C79" s="6"/>
      <c r="D79" s="6"/>
      <c r="E79" s="6"/>
      <c r="F79" s="6"/>
      <c r="G79" s="6"/>
      <c r="H79" s="6"/>
      <c r="I79" s="6"/>
    </row>
    <row r="80" spans="2:9">
      <c r="B80" s="6"/>
      <c r="C80" s="6"/>
      <c r="D80" s="6"/>
      <c r="E80" s="6"/>
      <c r="F80" s="6"/>
      <c r="G80" s="6"/>
      <c r="H80" s="6"/>
      <c r="I80" s="6"/>
    </row>
    <row r="81" spans="2:9">
      <c r="B81" s="6"/>
      <c r="C81" s="6"/>
      <c r="D81" s="6"/>
      <c r="E81" s="6"/>
      <c r="F81" s="6"/>
      <c r="G81" s="6"/>
      <c r="H81" s="6"/>
      <c r="I81" s="6"/>
    </row>
    <row r="82" spans="2:9">
      <c r="B82" s="6"/>
      <c r="C82" s="6"/>
      <c r="D82" s="6"/>
      <c r="E82" s="6"/>
      <c r="F82" s="6"/>
      <c r="G82" s="6"/>
      <c r="H82" s="6"/>
      <c r="I82" s="6"/>
    </row>
    <row r="83" spans="2:9">
      <c r="B83" s="6"/>
      <c r="C83" s="6"/>
      <c r="D83" s="6"/>
      <c r="E83" s="6"/>
      <c r="F83" s="6"/>
      <c r="G83" s="6"/>
      <c r="H83" s="6"/>
      <c r="I83" s="6"/>
    </row>
    <row r="84" spans="2:9">
      <c r="B84" s="6"/>
      <c r="C84" s="6"/>
      <c r="D84" s="6"/>
      <c r="E84" s="6"/>
      <c r="F84" s="6"/>
      <c r="G84" s="6"/>
      <c r="H84" s="6"/>
      <c r="I84" s="6"/>
    </row>
    <row r="85" spans="2:9">
      <c r="B85" s="6"/>
      <c r="C85" s="6"/>
      <c r="D85" s="6"/>
      <c r="E85" s="6"/>
      <c r="F85" s="6"/>
      <c r="G85" s="6"/>
      <c r="H85" s="6"/>
      <c r="I85" s="6"/>
    </row>
    <row r="86" spans="2:9">
      <c r="B86" s="6"/>
      <c r="C86" s="6"/>
      <c r="D86" s="6"/>
      <c r="E86" s="6"/>
      <c r="F86" s="6"/>
      <c r="G86" s="6"/>
      <c r="H86" s="6"/>
      <c r="I86" s="6"/>
    </row>
    <row r="87" spans="2:9">
      <c r="B87" s="6"/>
      <c r="C87" s="6"/>
      <c r="D87" s="6"/>
      <c r="E87" s="6"/>
      <c r="F87" s="6"/>
      <c r="G87" s="6"/>
      <c r="H87" s="6"/>
      <c r="I87" s="6"/>
    </row>
    <row r="88" spans="2:9">
      <c r="B88" s="6"/>
      <c r="C88" s="6"/>
      <c r="D88" s="6"/>
      <c r="E88" s="6"/>
      <c r="F88" s="6"/>
      <c r="G88" s="6"/>
      <c r="H88" s="6"/>
      <c r="I88" s="6"/>
    </row>
    <row r="89" spans="2:9">
      <c r="B89" s="6"/>
      <c r="C89" s="6"/>
      <c r="D89" s="6"/>
      <c r="E89" s="6"/>
      <c r="F89" s="6"/>
      <c r="G89" s="6"/>
      <c r="H89" s="6"/>
      <c r="I89" s="6"/>
    </row>
    <row r="90" spans="2:9">
      <c r="B90" s="6"/>
      <c r="C90" s="6"/>
      <c r="D90" s="6"/>
      <c r="E90" s="6"/>
      <c r="F90" s="6"/>
      <c r="G90" s="6"/>
      <c r="H90" s="6"/>
      <c r="I90" s="6"/>
    </row>
    <row r="91" spans="2:9">
      <c r="B91" s="6"/>
      <c r="C91" s="6"/>
      <c r="D91" s="6"/>
      <c r="E91" s="6"/>
      <c r="F91" s="6"/>
      <c r="G91" s="6"/>
      <c r="H91" s="6"/>
      <c r="I91" s="6"/>
    </row>
    <row r="92" spans="2:9">
      <c r="B92" s="6"/>
      <c r="C92" s="6"/>
      <c r="D92" s="6"/>
      <c r="E92" s="6"/>
      <c r="F92" s="6"/>
      <c r="G92" s="6"/>
      <c r="H92" s="6"/>
      <c r="I92" s="6"/>
    </row>
    <row r="93" spans="2:9">
      <c r="B93" s="6"/>
      <c r="C93" s="6"/>
      <c r="D93" s="6"/>
      <c r="E93" s="6"/>
      <c r="F93" s="6"/>
      <c r="G93" s="6"/>
      <c r="H93" s="6"/>
      <c r="I93" s="6"/>
    </row>
    <row r="94" spans="2:9">
      <c r="B94" s="6"/>
      <c r="C94" s="6"/>
      <c r="D94" s="6"/>
      <c r="E94" s="6"/>
      <c r="F94" s="6"/>
      <c r="G94" s="6"/>
      <c r="H94" s="6"/>
      <c r="I94" s="6"/>
    </row>
    <row r="95" spans="2:9">
      <c r="B95" s="6"/>
      <c r="C95" s="6"/>
      <c r="D95" s="6"/>
      <c r="E95" s="6"/>
      <c r="F95" s="6"/>
      <c r="G95" s="6"/>
      <c r="H95" s="6"/>
      <c r="I95" s="6"/>
    </row>
    <row r="96" spans="2:9">
      <c r="B96" s="6"/>
      <c r="C96" s="6"/>
      <c r="D96" s="6"/>
      <c r="E96" s="6"/>
      <c r="F96" s="6"/>
      <c r="G96" s="6"/>
      <c r="H96" s="6"/>
      <c r="I96" s="6"/>
    </row>
    <row r="97" spans="2:9">
      <c r="B97" s="6"/>
      <c r="C97" s="6"/>
      <c r="D97" s="6"/>
      <c r="E97" s="6"/>
      <c r="F97" s="6"/>
      <c r="G97" s="6"/>
      <c r="H97" s="6"/>
      <c r="I97" s="6"/>
    </row>
    <row r="98" spans="2:9">
      <c r="B98" s="6"/>
      <c r="C98" s="6"/>
      <c r="D98" s="6"/>
      <c r="E98" s="6"/>
      <c r="F98" s="6"/>
      <c r="G98" s="6"/>
      <c r="H98" s="6"/>
      <c r="I98" s="6"/>
    </row>
    <row r="99" spans="2:9">
      <c r="B99" s="6"/>
      <c r="C99" s="6"/>
      <c r="D99" s="6"/>
      <c r="E99" s="6"/>
      <c r="F99" s="6"/>
      <c r="G99" s="6"/>
      <c r="H99" s="6"/>
      <c r="I99" s="6"/>
    </row>
    <row r="100" spans="2:9">
      <c r="B100" s="6"/>
      <c r="C100" s="6"/>
      <c r="D100" s="6"/>
      <c r="E100" s="6"/>
      <c r="F100" s="6"/>
      <c r="G100" s="6"/>
      <c r="H100" s="6"/>
      <c r="I100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"/>
  <sheetViews>
    <sheetView workbookViewId="0"/>
  </sheetViews>
  <sheetFormatPr defaultRowHeight="14.25"/>
  <cols>
    <col min="1" max="1" width="25.625" customWidth="1"/>
    <col min="2" max="2" width="25.25" customWidth="1"/>
    <col min="3" max="3" width="11.375" customWidth="1"/>
    <col min="4" max="4" width="11.75" customWidth="1"/>
    <col min="5" max="5" width="12" bestFit="1" customWidth="1"/>
    <col min="6" max="6" width="15.875" customWidth="1"/>
  </cols>
  <sheetData>
    <row r="1" spans="1:19" ht="21.95" customHeight="1">
      <c r="A1" s="2" t="s">
        <v>31</v>
      </c>
      <c r="B1" s="2" t="s">
        <v>32</v>
      </c>
      <c r="C1" s="2" t="s">
        <v>1904</v>
      </c>
      <c r="D1" s="2" t="s">
        <v>1905</v>
      </c>
      <c r="E1" s="2" t="s">
        <v>13</v>
      </c>
      <c r="F1" s="2" t="s">
        <v>1906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14</v>
      </c>
      <c r="B2" s="6" t="s">
        <v>46</v>
      </c>
      <c r="C2" s="6">
        <f>SUMIFS(Transactions!$L:$L,Transactions!$I:$I,A2)</f>
        <v>1839</v>
      </c>
      <c r="D2" s="6">
        <f>SUMIFS(Transactions!$M:$M,Transactions!$I:$I,A2)</f>
        <v>0</v>
      </c>
      <c r="E2" s="6">
        <f t="shared" ref="E2:E10" si="0">D2-C2</f>
        <v>-1839</v>
      </c>
      <c r="F2" s="6" t="str">
        <f t="shared" ref="F2:F10" si="1">IF(OR(A2="Other Income",A2="Other Payments"),"Yes","")</f>
        <v/>
      </c>
      <c r="G2" s="6"/>
      <c r="H2" s="6"/>
      <c r="I2" s="6"/>
    </row>
    <row r="3" spans="1:19">
      <c r="A3" t="s">
        <v>15</v>
      </c>
      <c r="B3" s="6" t="s">
        <v>52</v>
      </c>
      <c r="C3" s="6">
        <f>SUMIFS(Transactions!$L:$L,Transactions!$I:$I,A3)</f>
        <v>0</v>
      </c>
      <c r="D3" s="6">
        <f>SUMIFS(Transactions!$M:$M,Transactions!$I:$I,A3)</f>
        <v>886200.57</v>
      </c>
      <c r="E3" s="6">
        <f t="shared" si="0"/>
        <v>886200.57</v>
      </c>
      <c r="F3" s="6" t="str">
        <f t="shared" si="1"/>
        <v/>
      </c>
      <c r="G3" s="6"/>
      <c r="H3" s="6"/>
      <c r="I3" s="6"/>
    </row>
    <row r="4" spans="1:19">
      <c r="A4" t="s">
        <v>16</v>
      </c>
      <c r="B4" s="6" t="s">
        <v>52</v>
      </c>
      <c r="C4" s="6">
        <f>SUMIFS(Transactions!$L:$L,Transactions!$I:$I,A4)</f>
        <v>0</v>
      </c>
      <c r="D4" s="6">
        <f>SUMIFS(Transactions!$M:$M,Transactions!$I:$I,A4)</f>
        <v>2496071.6200000006</v>
      </c>
      <c r="E4" s="6">
        <f t="shared" si="0"/>
        <v>2496071.6200000006</v>
      </c>
      <c r="F4" s="6" t="str">
        <f t="shared" si="1"/>
        <v/>
      </c>
      <c r="G4" s="6"/>
      <c r="H4" s="6"/>
      <c r="I4" s="6"/>
    </row>
    <row r="5" spans="1:19">
      <c r="A5" t="s">
        <v>17</v>
      </c>
      <c r="B5" s="6" t="s">
        <v>64</v>
      </c>
      <c r="C5" s="6">
        <f>SUMIFS(Transactions!$L:$L,Transactions!$I:$I,A5)</f>
        <v>696000</v>
      </c>
      <c r="D5" s="6">
        <f>SUMIFS(Transactions!$M:$M,Transactions!$I:$I,A5)</f>
        <v>470000</v>
      </c>
      <c r="E5" s="6">
        <f t="shared" si="0"/>
        <v>-226000</v>
      </c>
      <c r="F5" s="6" t="str">
        <f t="shared" si="1"/>
        <v/>
      </c>
      <c r="G5" s="6"/>
      <c r="H5" s="6"/>
      <c r="I5" s="6"/>
    </row>
    <row r="6" spans="1:19">
      <c r="A6" t="s">
        <v>18</v>
      </c>
      <c r="B6" s="6" t="s">
        <v>345</v>
      </c>
      <c r="C6" s="6">
        <f>SUMIFS(Transactions!$L:$L,Transactions!$I:$I,A6)</f>
        <v>51438.74</v>
      </c>
      <c r="D6" s="6">
        <f>SUMIFS(Transactions!$M:$M,Transactions!$I:$I,A6)</f>
        <v>0</v>
      </c>
      <c r="E6" s="6">
        <f t="shared" si="0"/>
        <v>-51438.74</v>
      </c>
      <c r="F6" s="6" t="str">
        <f t="shared" si="1"/>
        <v/>
      </c>
      <c r="G6" s="6"/>
      <c r="H6" s="6"/>
      <c r="I6" s="6"/>
    </row>
    <row r="7" spans="1:19">
      <c r="A7" t="s">
        <v>19</v>
      </c>
      <c r="B7" s="6" t="s">
        <v>19</v>
      </c>
      <c r="C7" s="6">
        <f>SUMIFS(Transactions!$L:$L,Transactions!$I:$I,A7)</f>
        <v>100</v>
      </c>
      <c r="D7" s="6">
        <f>SUMIFS(Transactions!$M:$M,Transactions!$I:$I,A7)</f>
        <v>0</v>
      </c>
      <c r="E7" s="6">
        <f t="shared" si="0"/>
        <v>-100</v>
      </c>
      <c r="F7" s="6" t="str">
        <f t="shared" si="1"/>
        <v/>
      </c>
      <c r="G7" s="6"/>
      <c r="H7" s="6"/>
      <c r="I7" s="6"/>
    </row>
    <row r="8" spans="1:19">
      <c r="A8" t="s">
        <v>20</v>
      </c>
      <c r="B8" s="6" t="s">
        <v>20</v>
      </c>
      <c r="C8" s="6">
        <f>SUMIFS(Transactions!$L:$L,Transactions!$I:$I,A8)</f>
        <v>0</v>
      </c>
      <c r="D8" s="6">
        <f>SUMIFS(Transactions!$M:$M,Transactions!$I:$I,A8)</f>
        <v>235626.18</v>
      </c>
      <c r="E8" s="6">
        <f t="shared" si="0"/>
        <v>235626.18</v>
      </c>
      <c r="F8" s="6" t="str">
        <f t="shared" si="1"/>
        <v>Yes</v>
      </c>
      <c r="G8" s="6"/>
      <c r="H8" s="6"/>
      <c r="I8" s="6"/>
    </row>
    <row r="9" spans="1:19">
      <c r="A9" t="s">
        <v>21</v>
      </c>
      <c r="B9" s="6" t="s">
        <v>171</v>
      </c>
      <c r="C9" s="6">
        <f>SUMIFS(Transactions!$L:$L,Transactions!$I:$I,A9)</f>
        <v>175</v>
      </c>
      <c r="D9" s="6">
        <f>SUMIFS(Transactions!$M:$M,Transactions!$I:$I,A9)</f>
        <v>0</v>
      </c>
      <c r="E9" s="6">
        <f t="shared" si="0"/>
        <v>-175</v>
      </c>
      <c r="F9" s="6" t="str">
        <f t="shared" si="1"/>
        <v>Yes</v>
      </c>
      <c r="G9" s="6"/>
      <c r="H9" s="6"/>
      <c r="I9" s="6"/>
    </row>
    <row r="10" spans="1:19">
      <c r="A10" t="s">
        <v>22</v>
      </c>
      <c r="B10" s="6" t="s">
        <v>67</v>
      </c>
      <c r="C10" s="6">
        <f>SUMIFS(Transactions!$L:$L,Transactions!$I:$I,A10)</f>
        <v>3286593.9399999985</v>
      </c>
      <c r="D10" s="6">
        <f>SUMIFS(Transactions!$M:$M,Transactions!$I:$I,A10)</f>
        <v>0</v>
      </c>
      <c r="E10" s="6">
        <f t="shared" si="0"/>
        <v>-3286593.9399999985</v>
      </c>
      <c r="F10" s="6" t="str">
        <f t="shared" si="1"/>
        <v/>
      </c>
      <c r="G10" s="6"/>
      <c r="H10" s="6"/>
      <c r="I10" s="6"/>
    </row>
    <row r="11" spans="1:19">
      <c r="B11" s="6"/>
      <c r="C11" s="6"/>
      <c r="D11" s="6"/>
      <c r="E11" s="6"/>
      <c r="F11" s="6"/>
      <c r="G11" s="6"/>
      <c r="H11" s="6"/>
      <c r="I11" s="6"/>
    </row>
    <row r="12" spans="1:19">
      <c r="B12" s="6"/>
      <c r="C12" s="6"/>
      <c r="D12" s="6"/>
      <c r="E12" s="6"/>
      <c r="F12" s="6"/>
      <c r="G12" s="6"/>
      <c r="H12" s="6"/>
      <c r="I12" s="6"/>
    </row>
    <row r="13" spans="1:19">
      <c r="B13" s="6"/>
      <c r="C13" s="6"/>
      <c r="D13" s="6"/>
      <c r="E13" s="6"/>
      <c r="F13" s="6"/>
      <c r="G13" s="6"/>
      <c r="H13" s="6"/>
      <c r="I13" s="6"/>
    </row>
    <row r="14" spans="1:19">
      <c r="B14" s="6"/>
      <c r="C14" s="6"/>
      <c r="D14" s="6"/>
      <c r="E14" s="6"/>
      <c r="F14" s="6"/>
      <c r="G14" s="6"/>
      <c r="H14" s="6"/>
      <c r="I14" s="6"/>
    </row>
    <row r="15" spans="1:19">
      <c r="B15" s="6"/>
      <c r="C15" s="6"/>
      <c r="D15" s="6"/>
      <c r="E15" s="6"/>
      <c r="F15" s="6"/>
      <c r="G15" s="6"/>
      <c r="H15" s="6"/>
      <c r="I15" s="6"/>
    </row>
    <row r="16" spans="1:19">
      <c r="B16" s="6"/>
      <c r="C16" s="6"/>
      <c r="D16" s="6"/>
      <c r="E16" s="6"/>
      <c r="F16" s="6"/>
      <c r="G16" s="6"/>
      <c r="H16" s="6"/>
      <c r="I16" s="6"/>
    </row>
    <row r="17" spans="2:9">
      <c r="B17" s="6"/>
      <c r="C17" s="6"/>
      <c r="D17" s="6"/>
      <c r="E17" s="6"/>
      <c r="F17" s="6"/>
      <c r="G17" s="6"/>
      <c r="H17" s="6"/>
      <c r="I17" s="6"/>
    </row>
    <row r="18" spans="2:9">
      <c r="B18" s="6"/>
      <c r="C18" s="6"/>
      <c r="D18" s="6"/>
      <c r="E18" s="6"/>
      <c r="F18" s="6"/>
      <c r="G18" s="6"/>
      <c r="H18" s="6"/>
      <c r="I18" s="6"/>
    </row>
    <row r="19" spans="2:9">
      <c r="B19" s="6"/>
      <c r="C19" s="6"/>
      <c r="D19" s="6"/>
      <c r="E19" s="6"/>
      <c r="F19" s="6"/>
      <c r="G19" s="6"/>
      <c r="H19" s="6"/>
      <c r="I19" s="6"/>
    </row>
    <row r="20" spans="2:9">
      <c r="B20" s="6"/>
      <c r="C20" s="6"/>
      <c r="D20" s="6"/>
      <c r="E20" s="6"/>
      <c r="F20" s="6"/>
      <c r="G20" s="6"/>
      <c r="H20" s="6"/>
      <c r="I20" s="6"/>
    </row>
    <row r="21" spans="2:9">
      <c r="B21" s="6"/>
      <c r="C21" s="6"/>
      <c r="D21" s="6"/>
      <c r="E21" s="6"/>
      <c r="F21" s="6"/>
      <c r="G21" s="6"/>
      <c r="H21" s="6"/>
      <c r="I21" s="6"/>
    </row>
    <row r="22" spans="2:9">
      <c r="B22" s="6"/>
      <c r="C22" s="6"/>
      <c r="D22" s="6"/>
      <c r="E22" s="6"/>
      <c r="F22" s="6"/>
      <c r="G22" s="6"/>
      <c r="H22" s="6"/>
      <c r="I22" s="6"/>
    </row>
    <row r="23" spans="2:9">
      <c r="B23" s="6"/>
      <c r="C23" s="6"/>
      <c r="D23" s="6"/>
      <c r="E23" s="6"/>
      <c r="F23" s="6"/>
      <c r="G23" s="6"/>
      <c r="H23" s="6"/>
      <c r="I23" s="6"/>
    </row>
    <row r="24" spans="2:9">
      <c r="B24" s="6"/>
      <c r="C24" s="6"/>
      <c r="D24" s="6"/>
      <c r="E24" s="6"/>
      <c r="F24" s="6"/>
      <c r="G24" s="6"/>
      <c r="H24" s="6"/>
      <c r="I24" s="6"/>
    </row>
    <row r="25" spans="2:9">
      <c r="B25" s="6"/>
      <c r="C25" s="6"/>
      <c r="D25" s="6"/>
      <c r="E25" s="6"/>
      <c r="F25" s="6"/>
      <c r="G25" s="6"/>
      <c r="H25" s="6"/>
      <c r="I25" s="6"/>
    </row>
    <row r="26" spans="2:9">
      <c r="B26" s="6"/>
      <c r="C26" s="6"/>
      <c r="D26" s="6"/>
      <c r="E26" s="6"/>
      <c r="F26" s="6"/>
      <c r="G26" s="6"/>
      <c r="H26" s="6"/>
      <c r="I26" s="6"/>
    </row>
    <row r="27" spans="2:9">
      <c r="B27" s="6"/>
      <c r="C27" s="6"/>
      <c r="D27" s="6"/>
      <c r="E27" s="6"/>
      <c r="F27" s="6"/>
      <c r="G27" s="6"/>
      <c r="H27" s="6"/>
      <c r="I27" s="6"/>
    </row>
    <row r="28" spans="2:9">
      <c r="B28" s="6"/>
      <c r="C28" s="6"/>
      <c r="D28" s="6"/>
      <c r="E28" s="6"/>
      <c r="F28" s="6"/>
      <c r="G28" s="6"/>
      <c r="H28" s="6"/>
      <c r="I28" s="6"/>
    </row>
    <row r="29" spans="2:9">
      <c r="B29" s="6"/>
      <c r="C29" s="6"/>
      <c r="D29" s="6"/>
      <c r="E29" s="6"/>
      <c r="F29" s="6"/>
      <c r="G29" s="6"/>
      <c r="H29" s="6"/>
      <c r="I29" s="6"/>
    </row>
    <row r="30" spans="2:9">
      <c r="B30" s="6"/>
      <c r="C30" s="6"/>
      <c r="D30" s="6"/>
      <c r="E30" s="6"/>
      <c r="F30" s="6"/>
      <c r="G30" s="6"/>
      <c r="H30" s="6"/>
      <c r="I30" s="6"/>
    </row>
    <row r="31" spans="2:9">
      <c r="B31" s="6"/>
      <c r="C31" s="6"/>
      <c r="D31" s="6"/>
      <c r="E31" s="6"/>
      <c r="F31" s="6"/>
      <c r="G31" s="6"/>
      <c r="H31" s="6"/>
      <c r="I31" s="6"/>
    </row>
    <row r="32" spans="2:9">
      <c r="B32" s="6"/>
      <c r="C32" s="6"/>
      <c r="D32" s="6"/>
      <c r="E32" s="6"/>
      <c r="F32" s="6"/>
      <c r="G32" s="6"/>
      <c r="H32" s="6"/>
      <c r="I32" s="6"/>
    </row>
    <row r="33" spans="2:9">
      <c r="B33" s="6"/>
      <c r="C33" s="6"/>
      <c r="D33" s="6"/>
      <c r="E33" s="6"/>
      <c r="F33" s="6"/>
      <c r="G33" s="6"/>
      <c r="H33" s="6"/>
      <c r="I33" s="6"/>
    </row>
    <row r="34" spans="2:9">
      <c r="B34" s="6"/>
      <c r="C34" s="6"/>
      <c r="D34" s="6"/>
      <c r="E34" s="6"/>
      <c r="F34" s="6"/>
      <c r="G34" s="6"/>
      <c r="H34" s="6"/>
      <c r="I34" s="6"/>
    </row>
    <row r="35" spans="2:9">
      <c r="B35" s="6"/>
      <c r="C35" s="6"/>
      <c r="D35" s="6"/>
      <c r="E35" s="6"/>
      <c r="F35" s="6"/>
      <c r="G35" s="6"/>
      <c r="H35" s="6"/>
      <c r="I35" s="6"/>
    </row>
    <row r="36" spans="2:9">
      <c r="B36" s="6"/>
      <c r="C36" s="6"/>
      <c r="D36" s="6"/>
      <c r="E36" s="6"/>
      <c r="F36" s="6"/>
      <c r="G36" s="6"/>
      <c r="H36" s="6"/>
      <c r="I36" s="6"/>
    </row>
    <row r="37" spans="2:9">
      <c r="B37" s="6"/>
      <c r="C37" s="6"/>
      <c r="D37" s="6"/>
      <c r="E37" s="6"/>
      <c r="F37" s="6"/>
      <c r="G37" s="6"/>
      <c r="H37" s="6"/>
      <c r="I37" s="6"/>
    </row>
    <row r="38" spans="2:9">
      <c r="B38" s="6"/>
      <c r="C38" s="6"/>
      <c r="D38" s="6"/>
      <c r="E38" s="6"/>
      <c r="F38" s="6"/>
      <c r="G38" s="6"/>
      <c r="H38" s="6"/>
      <c r="I38" s="6"/>
    </row>
    <row r="39" spans="2:9">
      <c r="B39" s="6"/>
      <c r="C39" s="6"/>
      <c r="D39" s="6"/>
      <c r="E39" s="6"/>
      <c r="F39" s="6"/>
      <c r="G39" s="6"/>
      <c r="H39" s="6"/>
      <c r="I39" s="6"/>
    </row>
    <row r="40" spans="2:9">
      <c r="B40" s="6"/>
      <c r="C40" s="6"/>
      <c r="D40" s="6"/>
      <c r="E40" s="6"/>
      <c r="F40" s="6"/>
      <c r="G40" s="6"/>
      <c r="H40" s="6"/>
      <c r="I40" s="6"/>
    </row>
    <row r="41" spans="2:9">
      <c r="B41" s="6"/>
      <c r="C41" s="6"/>
      <c r="D41" s="6"/>
      <c r="E41" s="6"/>
      <c r="F41" s="6"/>
      <c r="G41" s="6"/>
      <c r="H41" s="6"/>
      <c r="I41" s="6"/>
    </row>
    <row r="42" spans="2:9">
      <c r="B42" s="6"/>
      <c r="C42" s="6"/>
      <c r="D42" s="6"/>
      <c r="E42" s="6"/>
      <c r="F42" s="6"/>
      <c r="G42" s="6"/>
      <c r="H42" s="6"/>
      <c r="I42" s="6"/>
    </row>
    <row r="43" spans="2:9">
      <c r="B43" s="6"/>
      <c r="C43" s="6"/>
      <c r="D43" s="6"/>
      <c r="E43" s="6"/>
      <c r="F43" s="6"/>
      <c r="G43" s="6"/>
      <c r="H43" s="6"/>
      <c r="I43" s="6"/>
    </row>
    <row r="44" spans="2:9">
      <c r="B44" s="6"/>
      <c r="C44" s="6"/>
      <c r="D44" s="6"/>
      <c r="E44" s="6"/>
      <c r="F44" s="6"/>
      <c r="G44" s="6"/>
      <c r="H44" s="6"/>
      <c r="I44" s="6"/>
    </row>
    <row r="45" spans="2:9">
      <c r="B45" s="6"/>
      <c r="C45" s="6"/>
      <c r="D45" s="6"/>
      <c r="E45" s="6"/>
      <c r="F45" s="6"/>
      <c r="G45" s="6"/>
      <c r="H45" s="6"/>
      <c r="I45" s="6"/>
    </row>
    <row r="46" spans="2:9">
      <c r="B46" s="6"/>
      <c r="C46" s="6"/>
      <c r="D46" s="6"/>
      <c r="E46" s="6"/>
      <c r="F46" s="6"/>
      <c r="G46" s="6"/>
      <c r="H46" s="6"/>
      <c r="I46" s="6"/>
    </row>
    <row r="47" spans="2:9">
      <c r="B47" s="6"/>
      <c r="C47" s="6"/>
      <c r="D47" s="6"/>
      <c r="E47" s="6"/>
      <c r="F47" s="6"/>
      <c r="G47" s="6"/>
      <c r="H47" s="6"/>
      <c r="I47" s="6"/>
    </row>
    <row r="48" spans="2:9">
      <c r="B48" s="6"/>
      <c r="C48" s="6"/>
      <c r="D48" s="6"/>
      <c r="E48" s="6"/>
      <c r="F48" s="6"/>
      <c r="G48" s="6"/>
      <c r="H48" s="6"/>
      <c r="I48" s="6"/>
    </row>
    <row r="49" spans="2:9">
      <c r="B49" s="6"/>
      <c r="C49" s="6"/>
      <c r="D49" s="6"/>
      <c r="E49" s="6"/>
      <c r="F49" s="6"/>
      <c r="G49" s="6"/>
      <c r="H49" s="6"/>
      <c r="I49" s="6"/>
    </row>
    <row r="50" spans="2:9">
      <c r="B50" s="6"/>
      <c r="C50" s="6"/>
      <c r="D50" s="6"/>
      <c r="E50" s="6"/>
      <c r="F50" s="6"/>
      <c r="G50" s="6"/>
      <c r="H50" s="6"/>
      <c r="I50" s="6"/>
    </row>
    <row r="51" spans="2:9">
      <c r="B51" s="6"/>
      <c r="C51" s="6"/>
      <c r="D51" s="6"/>
      <c r="E51" s="6"/>
      <c r="F51" s="6"/>
      <c r="G51" s="6"/>
      <c r="H51" s="6"/>
      <c r="I51" s="6"/>
    </row>
    <row r="52" spans="2:9">
      <c r="B52" s="6"/>
      <c r="C52" s="6"/>
      <c r="D52" s="6"/>
      <c r="E52" s="6"/>
      <c r="F52" s="6"/>
      <c r="G52" s="6"/>
      <c r="H52" s="6"/>
      <c r="I52" s="6"/>
    </row>
    <row r="53" spans="2:9">
      <c r="B53" s="6"/>
      <c r="C53" s="6"/>
      <c r="D53" s="6"/>
      <c r="E53" s="6"/>
      <c r="F53" s="6"/>
      <c r="G53" s="6"/>
      <c r="H53" s="6"/>
      <c r="I53" s="6"/>
    </row>
    <row r="54" spans="2:9">
      <c r="B54" s="6"/>
      <c r="C54" s="6"/>
      <c r="D54" s="6"/>
      <c r="E54" s="6"/>
      <c r="F54" s="6"/>
      <c r="G54" s="6"/>
      <c r="H54" s="6"/>
      <c r="I54" s="6"/>
    </row>
    <row r="55" spans="2:9">
      <c r="B55" s="6"/>
      <c r="C55" s="6"/>
      <c r="D55" s="6"/>
      <c r="E55" s="6"/>
      <c r="F55" s="6"/>
      <c r="G55" s="6"/>
      <c r="H55" s="6"/>
      <c r="I55" s="6"/>
    </row>
    <row r="56" spans="2:9">
      <c r="B56" s="6"/>
      <c r="C56" s="6"/>
      <c r="D56" s="6"/>
      <c r="E56" s="6"/>
      <c r="F56" s="6"/>
      <c r="G56" s="6"/>
      <c r="H56" s="6"/>
      <c r="I56" s="6"/>
    </row>
    <row r="57" spans="2:9">
      <c r="B57" s="6"/>
      <c r="C57" s="6"/>
      <c r="D57" s="6"/>
      <c r="E57" s="6"/>
      <c r="F57" s="6"/>
      <c r="G57" s="6"/>
      <c r="H57" s="6"/>
      <c r="I57" s="6"/>
    </row>
    <row r="58" spans="2:9">
      <c r="B58" s="6"/>
      <c r="C58" s="6"/>
      <c r="D58" s="6"/>
      <c r="E58" s="6"/>
      <c r="F58" s="6"/>
      <c r="G58" s="6"/>
      <c r="H58" s="6"/>
      <c r="I58" s="6"/>
    </row>
    <row r="59" spans="2:9">
      <c r="B59" s="6"/>
      <c r="C59" s="6"/>
      <c r="D59" s="6"/>
      <c r="E59" s="6"/>
      <c r="F59" s="6"/>
      <c r="G59" s="6"/>
      <c r="H59" s="6"/>
      <c r="I59" s="6"/>
    </row>
    <row r="60" spans="2:9">
      <c r="B60" s="6"/>
      <c r="C60" s="6"/>
      <c r="D60" s="6"/>
      <c r="E60" s="6"/>
      <c r="F60" s="6"/>
      <c r="G60" s="6"/>
      <c r="H60" s="6"/>
      <c r="I60" s="6"/>
    </row>
    <row r="61" spans="2:9">
      <c r="B61" s="6"/>
      <c r="C61" s="6"/>
      <c r="D61" s="6"/>
      <c r="E61" s="6"/>
      <c r="F61" s="6"/>
      <c r="G61" s="6"/>
      <c r="H61" s="6"/>
      <c r="I61" s="6"/>
    </row>
    <row r="62" spans="2:9">
      <c r="B62" s="6"/>
      <c r="C62" s="6"/>
      <c r="D62" s="6"/>
      <c r="E62" s="6"/>
      <c r="F62" s="6"/>
      <c r="G62" s="6"/>
      <c r="H62" s="6"/>
      <c r="I62" s="6"/>
    </row>
    <row r="63" spans="2:9">
      <c r="B63" s="6"/>
      <c r="C63" s="6"/>
      <c r="D63" s="6"/>
      <c r="E63" s="6"/>
      <c r="F63" s="6"/>
      <c r="G63" s="6"/>
      <c r="H63" s="6"/>
      <c r="I63" s="6"/>
    </row>
    <row r="64" spans="2:9">
      <c r="B64" s="6"/>
      <c r="C64" s="6"/>
      <c r="D64" s="6"/>
      <c r="E64" s="6"/>
      <c r="F64" s="6"/>
      <c r="G64" s="6"/>
      <c r="H64" s="6"/>
      <c r="I64" s="6"/>
    </row>
    <row r="65" spans="2:9">
      <c r="B65" s="6"/>
      <c r="C65" s="6"/>
      <c r="D65" s="6"/>
      <c r="E65" s="6"/>
      <c r="F65" s="6"/>
      <c r="G65" s="6"/>
      <c r="H65" s="6"/>
      <c r="I65" s="6"/>
    </row>
    <row r="66" spans="2:9">
      <c r="B66" s="6"/>
      <c r="C66" s="6"/>
      <c r="D66" s="6"/>
      <c r="E66" s="6"/>
      <c r="F66" s="6"/>
      <c r="G66" s="6"/>
      <c r="H66" s="6"/>
      <c r="I66" s="6"/>
    </row>
    <row r="67" spans="2:9">
      <c r="B67" s="6"/>
      <c r="C67" s="6"/>
      <c r="D67" s="6"/>
      <c r="E67" s="6"/>
      <c r="F67" s="6"/>
      <c r="G67" s="6"/>
      <c r="H67" s="6"/>
      <c r="I67" s="6"/>
    </row>
    <row r="68" spans="2:9">
      <c r="B68" s="6"/>
      <c r="C68" s="6"/>
      <c r="D68" s="6"/>
      <c r="E68" s="6"/>
      <c r="F68" s="6"/>
      <c r="G68" s="6"/>
      <c r="H68" s="6"/>
      <c r="I68" s="6"/>
    </row>
    <row r="69" spans="2:9">
      <c r="B69" s="6"/>
      <c r="C69" s="6"/>
      <c r="D69" s="6"/>
      <c r="E69" s="6"/>
      <c r="F69" s="6"/>
      <c r="G69" s="6"/>
      <c r="H69" s="6"/>
      <c r="I69" s="6"/>
    </row>
    <row r="70" spans="2:9">
      <c r="B70" s="6"/>
      <c r="C70" s="6"/>
      <c r="D70" s="6"/>
      <c r="E70" s="6"/>
      <c r="F70" s="6"/>
      <c r="G70" s="6"/>
      <c r="H70" s="6"/>
      <c r="I70" s="6"/>
    </row>
    <row r="71" spans="2:9">
      <c r="B71" s="6"/>
      <c r="C71" s="6"/>
      <c r="D71" s="6"/>
      <c r="E71" s="6"/>
      <c r="F71" s="6"/>
      <c r="G71" s="6"/>
      <c r="H71" s="6"/>
      <c r="I71" s="6"/>
    </row>
    <row r="72" spans="2:9">
      <c r="B72" s="6"/>
      <c r="C72" s="6"/>
      <c r="D72" s="6"/>
      <c r="E72" s="6"/>
      <c r="F72" s="6"/>
      <c r="G72" s="6"/>
      <c r="H72" s="6"/>
      <c r="I72" s="6"/>
    </row>
    <row r="73" spans="2:9">
      <c r="B73" s="6"/>
      <c r="C73" s="6"/>
      <c r="D73" s="6"/>
      <c r="E73" s="6"/>
      <c r="F73" s="6"/>
      <c r="G73" s="6"/>
      <c r="H73" s="6"/>
      <c r="I73" s="6"/>
    </row>
    <row r="74" spans="2:9">
      <c r="B74" s="6"/>
      <c r="C74" s="6"/>
      <c r="D74" s="6"/>
      <c r="E74" s="6"/>
      <c r="F74" s="6"/>
      <c r="G74" s="6"/>
      <c r="H74" s="6"/>
      <c r="I74" s="6"/>
    </row>
    <row r="75" spans="2:9">
      <c r="B75" s="6"/>
      <c r="C75" s="6"/>
      <c r="D75" s="6"/>
      <c r="E75" s="6"/>
      <c r="F75" s="6"/>
      <c r="G75" s="6"/>
      <c r="H75" s="6"/>
      <c r="I75" s="6"/>
    </row>
    <row r="76" spans="2:9">
      <c r="B76" s="6"/>
      <c r="C76" s="6"/>
      <c r="D76" s="6"/>
      <c r="E76" s="6"/>
      <c r="F76" s="6"/>
      <c r="G76" s="6"/>
      <c r="H76" s="6"/>
      <c r="I76" s="6"/>
    </row>
    <row r="77" spans="2:9">
      <c r="B77" s="6"/>
      <c r="C77" s="6"/>
      <c r="D77" s="6"/>
      <c r="E77" s="6"/>
      <c r="F77" s="6"/>
      <c r="G77" s="6"/>
      <c r="H77" s="6"/>
      <c r="I77" s="6"/>
    </row>
    <row r="78" spans="2:9">
      <c r="B78" s="6"/>
      <c r="C78" s="6"/>
      <c r="D78" s="6"/>
      <c r="E78" s="6"/>
      <c r="F78" s="6"/>
      <c r="G78" s="6"/>
      <c r="H78" s="6"/>
      <c r="I78" s="6"/>
    </row>
    <row r="79" spans="2:9">
      <c r="B79" s="6"/>
      <c r="C79" s="6"/>
      <c r="D79" s="6"/>
      <c r="E79" s="6"/>
      <c r="F79" s="6"/>
      <c r="G79" s="6"/>
      <c r="H79" s="6"/>
      <c r="I79" s="6"/>
    </row>
    <row r="80" spans="2:9">
      <c r="B80" s="6"/>
      <c r="C80" s="6"/>
      <c r="D80" s="6"/>
      <c r="E80" s="6"/>
      <c r="F80" s="6"/>
      <c r="G80" s="6"/>
      <c r="H80" s="6"/>
      <c r="I80" s="6"/>
    </row>
    <row r="81" spans="2:9">
      <c r="B81" s="6"/>
      <c r="C81" s="6"/>
      <c r="D81" s="6"/>
      <c r="E81" s="6"/>
      <c r="F81" s="6"/>
      <c r="G81" s="6"/>
      <c r="H81" s="6"/>
      <c r="I81" s="6"/>
    </row>
    <row r="82" spans="2:9">
      <c r="B82" s="6"/>
      <c r="C82" s="6"/>
      <c r="D82" s="6"/>
      <c r="E82" s="6"/>
      <c r="F82" s="6"/>
      <c r="G82" s="6"/>
      <c r="H82" s="6"/>
      <c r="I82" s="6"/>
    </row>
    <row r="83" spans="2:9">
      <c r="B83" s="6"/>
      <c r="C83" s="6"/>
      <c r="D83" s="6"/>
      <c r="E83" s="6"/>
      <c r="F83" s="6"/>
      <c r="G83" s="6"/>
      <c r="H83" s="6"/>
      <c r="I83" s="6"/>
    </row>
    <row r="84" spans="2:9">
      <c r="B84" s="6"/>
      <c r="C84" s="6"/>
      <c r="D84" s="6"/>
      <c r="E84" s="6"/>
      <c r="F84" s="6"/>
      <c r="G84" s="6"/>
      <c r="H84" s="6"/>
      <c r="I84" s="6"/>
    </row>
    <row r="85" spans="2:9">
      <c r="B85" s="6"/>
      <c r="C85" s="6"/>
      <c r="D85" s="6"/>
      <c r="E85" s="6"/>
      <c r="F85" s="6"/>
      <c r="G85" s="6"/>
      <c r="H85" s="6"/>
      <c r="I85" s="6"/>
    </row>
    <row r="86" spans="2:9">
      <c r="B86" s="6"/>
      <c r="C86" s="6"/>
      <c r="D86" s="6"/>
      <c r="E86" s="6"/>
      <c r="F86" s="6"/>
      <c r="G86" s="6"/>
      <c r="H86" s="6"/>
      <c r="I86" s="6"/>
    </row>
    <row r="87" spans="2:9">
      <c r="B87" s="6"/>
      <c r="C87" s="6"/>
      <c r="D87" s="6"/>
      <c r="E87" s="6"/>
      <c r="F87" s="6"/>
      <c r="G87" s="6"/>
      <c r="H87" s="6"/>
      <c r="I87" s="6"/>
    </row>
    <row r="88" spans="2:9">
      <c r="B88" s="6"/>
      <c r="C88" s="6"/>
      <c r="D88" s="6"/>
      <c r="E88" s="6"/>
      <c r="F88" s="6"/>
      <c r="G88" s="6"/>
      <c r="H88" s="6"/>
      <c r="I88" s="6"/>
    </row>
    <row r="89" spans="2:9">
      <c r="B89" s="6"/>
      <c r="C89" s="6"/>
      <c r="D89" s="6"/>
      <c r="E89" s="6"/>
      <c r="F89" s="6"/>
      <c r="G89" s="6"/>
      <c r="H89" s="6"/>
      <c r="I89" s="6"/>
    </row>
    <row r="90" spans="2:9">
      <c r="B90" s="6"/>
      <c r="C90" s="6"/>
      <c r="D90" s="6"/>
      <c r="E90" s="6"/>
      <c r="F90" s="6"/>
      <c r="G90" s="6"/>
      <c r="H90" s="6"/>
      <c r="I90" s="6"/>
    </row>
    <row r="91" spans="2:9">
      <c r="B91" s="6"/>
      <c r="C91" s="6"/>
      <c r="D91" s="6"/>
      <c r="E91" s="6"/>
      <c r="F91" s="6"/>
      <c r="G91" s="6"/>
      <c r="H91" s="6"/>
      <c r="I91" s="6"/>
    </row>
    <row r="92" spans="2:9">
      <c r="B92" s="6"/>
      <c r="C92" s="6"/>
      <c r="D92" s="6"/>
      <c r="E92" s="6"/>
      <c r="F92" s="6"/>
      <c r="G92" s="6"/>
      <c r="H92" s="6"/>
      <c r="I92" s="6"/>
    </row>
    <row r="93" spans="2:9">
      <c r="B93" s="6"/>
      <c r="C93" s="6"/>
      <c r="D93" s="6"/>
      <c r="E93" s="6"/>
      <c r="F93" s="6"/>
      <c r="G93" s="6"/>
      <c r="H93" s="6"/>
      <c r="I93" s="6"/>
    </row>
    <row r="94" spans="2:9">
      <c r="B94" s="6"/>
      <c r="C94" s="6"/>
      <c r="D94" s="6"/>
      <c r="E94" s="6"/>
      <c r="F94" s="6"/>
      <c r="G94" s="6"/>
      <c r="H94" s="6"/>
      <c r="I94" s="6"/>
    </row>
    <row r="95" spans="2:9">
      <c r="B95" s="6"/>
      <c r="C95" s="6"/>
      <c r="D95" s="6"/>
      <c r="E95" s="6"/>
      <c r="F95" s="6"/>
      <c r="G95" s="6"/>
      <c r="H95" s="6"/>
      <c r="I95" s="6"/>
    </row>
    <row r="96" spans="2:9">
      <c r="B96" s="6"/>
      <c r="C96" s="6"/>
      <c r="D96" s="6"/>
      <c r="E96" s="6"/>
      <c r="F96" s="6"/>
      <c r="G96" s="6"/>
      <c r="H96" s="6"/>
      <c r="I96" s="6"/>
    </row>
    <row r="97" spans="2:9">
      <c r="B97" s="6"/>
      <c r="C97" s="6"/>
      <c r="D97" s="6"/>
      <c r="E97" s="6"/>
      <c r="F97" s="6"/>
      <c r="G97" s="6"/>
      <c r="H97" s="6"/>
      <c r="I97" s="6"/>
    </row>
    <row r="98" spans="2:9">
      <c r="B98" s="6"/>
      <c r="C98" s="6"/>
      <c r="D98" s="6"/>
      <c r="E98" s="6"/>
      <c r="F98" s="6"/>
      <c r="G98" s="6"/>
      <c r="H98" s="6"/>
      <c r="I98" s="6"/>
    </row>
    <row r="99" spans="2:9">
      <c r="B99" s="6"/>
      <c r="C99" s="6"/>
      <c r="D99" s="6"/>
      <c r="E99" s="6"/>
      <c r="F99" s="6"/>
      <c r="G99" s="6"/>
      <c r="H99" s="6"/>
      <c r="I99" s="6"/>
    </row>
    <row r="100" spans="2:9">
      <c r="B100" s="6"/>
      <c r="C100" s="6"/>
      <c r="D100" s="6"/>
      <c r="E100" s="6"/>
      <c r="F100" s="6"/>
      <c r="G100" s="6"/>
      <c r="H100" s="6"/>
      <c r="I100" s="6"/>
    </row>
  </sheetData>
  <conditionalFormatting sqref="F2:F10">
    <cfRule type="expression" dxfId="1" priority="1">
      <formula>$F2="Yes"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"/>
  <sheetViews>
    <sheetView workbookViewId="0"/>
  </sheetViews>
  <sheetFormatPr defaultRowHeight="14.25"/>
  <cols>
    <col min="1" max="1" width="36.125" bestFit="1" customWidth="1"/>
    <col min="2" max="2" width="63.25" customWidth="1"/>
  </cols>
  <sheetData>
    <row r="1" spans="1:19" ht="21.95" customHeight="1">
      <c r="A1" s="2" t="s">
        <v>1907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1908</v>
      </c>
      <c r="B2" s="6">
        <f>SUM(Transactions!M:M)</f>
        <v>4087898.37</v>
      </c>
    </row>
    <row r="3" spans="1:19">
      <c r="A3" t="s">
        <v>1909</v>
      </c>
      <c r="B3" s="6">
        <f>SUM(Transactions!L:L)</f>
        <v>4036146.6799999974</v>
      </c>
    </row>
    <row r="4" spans="1:19">
      <c r="A4" t="s">
        <v>9</v>
      </c>
      <c r="B4" s="6">
        <f>B2-B3</f>
        <v>51751.690000002738</v>
      </c>
    </row>
    <row r="5" spans="1:19">
      <c r="A5" t="s">
        <v>1910</v>
      </c>
      <c r="B5" s="6" t="e">
        <f ca="1">_xludf.MINIFS('Source Statements'!C:C,'Source Statements'!C:C,"&gt;0")</f>
        <v>#NAME?</v>
      </c>
    </row>
    <row r="6" spans="1:19">
      <c r="A6" t="s">
        <v>1911</v>
      </c>
      <c r="B6" s="6" t="e">
        <f>INDEX('Source Statements'!D:D,MATCH(MAX('Source Statements'!B:B),'Source Statements'!B:B,0))</f>
        <v>#N/A</v>
      </c>
    </row>
    <row r="7" spans="1:19">
      <c r="A7" t="s">
        <v>1912</v>
      </c>
      <c r="B7" s="6" t="e">
        <f ca="1">B5+B4</f>
        <v>#NAME?</v>
      </c>
    </row>
    <row r="8" spans="1:19">
      <c r="A8" t="s">
        <v>1913</v>
      </c>
      <c r="B8" s="6" t="e">
        <f ca="1">B6-B7</f>
        <v>#N/A</v>
      </c>
    </row>
    <row r="9" spans="1:19">
      <c r="A9" t="s">
        <v>1914</v>
      </c>
      <c r="B9" t="s">
        <v>1915</v>
      </c>
    </row>
  </sheetData>
  <conditionalFormatting sqref="B8">
    <cfRule type="expression" dxfId="0" priority="1">
      <formula>ABS(B8)&gt;1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"/>
  <sheetViews>
    <sheetView workbookViewId="0"/>
  </sheetViews>
  <sheetFormatPr defaultRowHeight="14.25"/>
  <cols>
    <col min="1" max="1" width="25.625" customWidth="1"/>
    <col min="2" max="2" width="25.25" customWidth="1"/>
    <col min="3" max="3" width="38.875" customWidth="1"/>
    <col min="4" max="4" width="40.125" customWidth="1"/>
  </cols>
  <sheetData>
    <row r="1" spans="1:19" ht="21.95" customHeight="1">
      <c r="A1" s="2" t="s">
        <v>31</v>
      </c>
      <c r="B1" s="2" t="s">
        <v>32</v>
      </c>
      <c r="C1" s="2" t="s">
        <v>1916</v>
      </c>
      <c r="D1" s="2" t="s">
        <v>1917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16</v>
      </c>
      <c r="B2" t="s">
        <v>52</v>
      </c>
      <c r="C2" t="s">
        <v>1918</v>
      </c>
      <c r="D2" t="s">
        <v>1919</v>
      </c>
    </row>
    <row r="3" spans="1:19">
      <c r="A3" t="s">
        <v>15</v>
      </c>
      <c r="B3" t="s">
        <v>52</v>
      </c>
      <c r="C3" t="s">
        <v>1920</v>
      </c>
      <c r="D3" t="s">
        <v>1921</v>
      </c>
    </row>
    <row r="4" spans="1:19">
      <c r="A4" t="s">
        <v>22</v>
      </c>
      <c r="B4" t="s">
        <v>67</v>
      </c>
      <c r="C4" t="s">
        <v>1922</v>
      </c>
      <c r="D4" t="s">
        <v>1923</v>
      </c>
    </row>
    <row r="5" spans="1:19">
      <c r="A5" t="s">
        <v>17</v>
      </c>
      <c r="B5" t="s">
        <v>64</v>
      </c>
      <c r="C5" t="s">
        <v>1924</v>
      </c>
      <c r="D5" t="s">
        <v>1925</v>
      </c>
    </row>
    <row r="6" spans="1:19">
      <c r="A6" t="s">
        <v>14</v>
      </c>
      <c r="B6" t="s">
        <v>46</v>
      </c>
      <c r="C6" t="s">
        <v>1926</v>
      </c>
      <c r="D6" t="s">
        <v>1927</v>
      </c>
    </row>
    <row r="7" spans="1:19">
      <c r="A7" t="s">
        <v>18</v>
      </c>
      <c r="B7" t="s">
        <v>345</v>
      </c>
      <c r="C7" t="s">
        <v>1928</v>
      </c>
      <c r="D7" t="s">
        <v>1929</v>
      </c>
    </row>
    <row r="8" spans="1:19">
      <c r="A8" t="s">
        <v>19</v>
      </c>
      <c r="B8" t="s">
        <v>19</v>
      </c>
      <c r="C8" t="s">
        <v>1930</v>
      </c>
      <c r="D8" t="s">
        <v>1931</v>
      </c>
    </row>
    <row r="9" spans="1:19">
      <c r="A9" t="s">
        <v>20</v>
      </c>
      <c r="B9" t="s">
        <v>20</v>
      </c>
      <c r="C9" t="s">
        <v>1932</v>
      </c>
      <c r="D9" t="s">
        <v>1933</v>
      </c>
    </row>
    <row r="10" spans="1:19">
      <c r="A10" t="s">
        <v>21</v>
      </c>
      <c r="B10" t="s">
        <v>171</v>
      </c>
      <c r="C10" t="s">
        <v>1934</v>
      </c>
      <c r="D10" t="s">
        <v>1933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"/>
  <sheetViews>
    <sheetView workbookViewId="0"/>
  </sheetViews>
  <sheetFormatPr defaultRowHeight="14.25"/>
  <cols>
    <col min="1" max="1" width="31.875" bestFit="1" customWidth="1"/>
    <col min="2" max="2" width="13.625" customWidth="1"/>
    <col min="3" max="3" width="15.875" customWidth="1"/>
    <col min="4" max="4" width="14.875" customWidth="1"/>
    <col min="5" max="5" width="14.75" customWidth="1"/>
    <col min="6" max="6" width="12.375" customWidth="1"/>
    <col min="7" max="7" width="12.125" customWidth="1"/>
  </cols>
  <sheetData>
    <row r="1" spans="1:19" ht="21.95" customHeight="1">
      <c r="A1" s="2" t="s">
        <v>27</v>
      </c>
      <c r="B1" s="2" t="s">
        <v>26</v>
      </c>
      <c r="C1" s="2" t="s">
        <v>1935</v>
      </c>
      <c r="D1" s="2" t="s">
        <v>1936</v>
      </c>
      <c r="E1" s="2" t="s">
        <v>1937</v>
      </c>
      <c r="F1" s="2" t="s">
        <v>1938</v>
      </c>
      <c r="G1" s="2" t="s">
        <v>1939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44</v>
      </c>
      <c r="B2" t="s">
        <v>43</v>
      </c>
      <c r="C2" s="6">
        <v>928.82</v>
      </c>
      <c r="D2" s="6">
        <v>839.82</v>
      </c>
      <c r="E2">
        <v>1</v>
      </c>
      <c r="F2" t="s">
        <v>1940</v>
      </c>
      <c r="G2" t="s">
        <v>1940</v>
      </c>
    </row>
    <row r="3" spans="1:19">
      <c r="A3" t="s">
        <v>49</v>
      </c>
      <c r="B3" t="s">
        <v>48</v>
      </c>
      <c r="C3" s="6">
        <v>839.82</v>
      </c>
      <c r="D3" s="6">
        <v>49390.239999999998</v>
      </c>
      <c r="E3">
        <v>123</v>
      </c>
      <c r="F3" t="s">
        <v>1941</v>
      </c>
      <c r="G3" t="s">
        <v>1942</v>
      </c>
    </row>
    <row r="4" spans="1:19">
      <c r="A4" t="s">
        <v>174</v>
      </c>
      <c r="B4" t="s">
        <v>173</v>
      </c>
      <c r="C4" s="6">
        <v>49390.239999999998</v>
      </c>
      <c r="D4" s="6">
        <v>52837.03</v>
      </c>
      <c r="E4">
        <v>508</v>
      </c>
      <c r="F4" t="s">
        <v>1943</v>
      </c>
      <c r="G4" t="s">
        <v>1944</v>
      </c>
    </row>
    <row r="5" spans="1:19">
      <c r="A5" t="s">
        <v>527</v>
      </c>
      <c r="B5" t="s">
        <v>526</v>
      </c>
      <c r="C5" s="6">
        <v>52837.03</v>
      </c>
      <c r="D5" s="6">
        <v>43824.59</v>
      </c>
      <c r="E5">
        <v>474</v>
      </c>
      <c r="F5" t="s">
        <v>1945</v>
      </c>
      <c r="G5" t="s">
        <v>1946</v>
      </c>
    </row>
    <row r="6" spans="1:19">
      <c r="A6" t="s">
        <v>793</v>
      </c>
      <c r="B6" t="s">
        <v>792</v>
      </c>
      <c r="C6" s="6">
        <v>43824.59</v>
      </c>
      <c r="D6" s="6">
        <v>48737.34</v>
      </c>
      <c r="E6">
        <v>496</v>
      </c>
      <c r="F6" t="s">
        <v>1947</v>
      </c>
      <c r="G6" t="s">
        <v>1948</v>
      </c>
    </row>
    <row r="7" spans="1:19">
      <c r="A7" t="s">
        <v>918</v>
      </c>
      <c r="B7" t="s">
        <v>917</v>
      </c>
      <c r="C7" s="6">
        <v>50682.69</v>
      </c>
      <c r="D7" s="6">
        <v>228.87</v>
      </c>
      <c r="E7">
        <v>1050</v>
      </c>
      <c r="F7" t="s">
        <v>1949</v>
      </c>
      <c r="G7" t="s">
        <v>1950</v>
      </c>
    </row>
    <row r="8" spans="1:19">
      <c r="C8" s="6"/>
      <c r="D8" s="6"/>
    </row>
    <row r="9" spans="1:19">
      <c r="C9" s="6"/>
      <c r="D9" s="6"/>
    </row>
    <row r="10" spans="1:19">
      <c r="C10" s="6"/>
      <c r="D10" s="6"/>
    </row>
    <row r="11" spans="1:19">
      <c r="C11" s="6"/>
      <c r="D11" s="6"/>
    </row>
    <row r="12" spans="1:19">
      <c r="C12" s="6"/>
      <c r="D12" s="6"/>
    </row>
    <row r="13" spans="1:19">
      <c r="C13" s="6"/>
      <c r="D13" s="6"/>
    </row>
    <row r="14" spans="1:19">
      <c r="C14" s="6"/>
      <c r="D14" s="6"/>
    </row>
    <row r="15" spans="1:19">
      <c r="C15" s="6"/>
      <c r="D15" s="6"/>
    </row>
    <row r="16" spans="1:19">
      <c r="C16" s="6"/>
      <c r="D16" s="6"/>
    </row>
    <row r="17" spans="3:4">
      <c r="C17" s="6"/>
      <c r="D17" s="6"/>
    </row>
    <row r="18" spans="3:4">
      <c r="C18" s="6"/>
      <c r="D18" s="6"/>
    </row>
    <row r="19" spans="3:4">
      <c r="C19" s="6"/>
      <c r="D19" s="6"/>
    </row>
    <row r="20" spans="3:4">
      <c r="C20" s="6"/>
      <c r="D2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Transactions</vt:lpstr>
      <vt:lpstr>Monthly Summary</vt:lpstr>
      <vt:lpstr>Profit &amp; Loss</vt:lpstr>
      <vt:lpstr>Reconciliation</vt:lpstr>
      <vt:lpstr>Category Rules</vt:lpstr>
      <vt:lpstr>Source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Noer Asmodien</cp:lastModifiedBy>
  <dcterms:modified xsi:type="dcterms:W3CDTF">2026-06-29T13:58:37Z</dcterms:modified>
</cp:coreProperties>
</file>